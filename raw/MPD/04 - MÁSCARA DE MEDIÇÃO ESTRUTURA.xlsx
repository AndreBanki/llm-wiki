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pd2-my.sharepoint.com/personal/mguimaraes_mpd_com_br/Documents/Área de Trabalho/Estrutura/"/>
    </mc:Choice>
  </mc:AlternateContent>
  <xr:revisionPtr revIDLastSave="0" documentId="13_ncr:1_{724E761E-26B3-43FF-8335-900A7E90D192}" xr6:coauthVersionLast="47" xr6:coauthVersionMax="47" xr10:uidLastSave="{00000000-0000-0000-0000-000000000000}"/>
  <bookViews>
    <workbookView xWindow="-120" yWindow="-120" windowWidth="20730" windowHeight="11160" xr2:uid="{F2C3DA9F-3A8A-46C0-A3C8-77B4305DD486}"/>
  </bookViews>
  <sheets>
    <sheet name="MEDIÇÃO" sheetId="1" r:id="rId1"/>
    <sheet name="critérios " sheetId="2" r:id="rId2"/>
    <sheet name="Levantamento descontos " sheetId="3" r:id="rId3"/>
  </sheets>
  <externalReferences>
    <externalReference r:id="rId4"/>
    <externalReference r:id="rId5"/>
  </externalReferences>
  <definedNames>
    <definedName name="__CPU10">[1]cpu!$C$2:$I$1302</definedName>
    <definedName name="_CPU10">[2]cpu!$C$2:$I$1236</definedName>
    <definedName name="_xlnm.Print_Area" localSheetId="0">MEDIÇÃO!$A$1:$AR$212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86" i="1" l="1"/>
  <c r="F8" i="1" l="1"/>
  <c r="AN177" i="1"/>
  <c r="J177" i="1"/>
  <c r="J176" i="1"/>
  <c r="J171" i="1"/>
  <c r="J170" i="1"/>
  <c r="J165" i="1"/>
  <c r="J164" i="1"/>
  <c r="J159" i="1"/>
  <c r="J158" i="1"/>
  <c r="J153" i="1"/>
  <c r="J152" i="1"/>
  <c r="J147" i="1"/>
  <c r="J146" i="1"/>
  <c r="AN17" i="1"/>
  <c r="AN16" i="1"/>
  <c r="J20" i="1"/>
  <c r="J17" i="1"/>
  <c r="J16" i="1"/>
  <c r="J15" i="1"/>
  <c r="AN15" i="1"/>
  <c r="AO15" i="1" s="1"/>
  <c r="AN185" i="1"/>
  <c r="AO185" i="1" s="1"/>
  <c r="AN184" i="1"/>
  <c r="AO184" i="1" s="1"/>
  <c r="AN183" i="1"/>
  <c r="AO183" i="1" s="1"/>
  <c r="AN182" i="1"/>
  <c r="AO182" i="1" s="1"/>
  <c r="AM182" i="1"/>
  <c r="AN181" i="1"/>
  <c r="AO181" i="1" s="1"/>
  <c r="AN180" i="1"/>
  <c r="AO180" i="1" s="1"/>
  <c r="AO179" i="1"/>
  <c r="AN179" i="1"/>
  <c r="AM178" i="1"/>
  <c r="AN178" i="1" s="1"/>
  <c r="AO177" i="1"/>
  <c r="AN176" i="1"/>
  <c r="AO176" i="1" s="1"/>
  <c r="AN175" i="1"/>
  <c r="AO175" i="1" s="1"/>
  <c r="AN174" i="1"/>
  <c r="AO174" i="1" s="1"/>
  <c r="AN173" i="1"/>
  <c r="AO173" i="1" s="1"/>
  <c r="AO172" i="1"/>
  <c r="AN171" i="1"/>
  <c r="AO171" i="1" s="1"/>
  <c r="AN170" i="1"/>
  <c r="AO170" i="1" s="1"/>
  <c r="AN169" i="1"/>
  <c r="AO169" i="1" s="1"/>
  <c r="AO168" i="1"/>
  <c r="AN168" i="1"/>
  <c r="AN167" i="1"/>
  <c r="AO167" i="1" s="1"/>
  <c r="AO166" i="1"/>
  <c r="AO165" i="1"/>
  <c r="AN165" i="1"/>
  <c r="AN164" i="1"/>
  <c r="AO164" i="1" s="1"/>
  <c r="AN163" i="1"/>
  <c r="AO163" i="1" s="1"/>
  <c r="AO162" i="1"/>
  <c r="AN162" i="1"/>
  <c r="AO161" i="1"/>
  <c r="AN161" i="1"/>
  <c r="AO160" i="1"/>
  <c r="AN159" i="1"/>
  <c r="AO159" i="1" s="1"/>
  <c r="AN158" i="1"/>
  <c r="AO158" i="1" s="1"/>
  <c r="AN157" i="1"/>
  <c r="AO157" i="1" s="1"/>
  <c r="AN156" i="1"/>
  <c r="AO156" i="1" s="1"/>
  <c r="AO155" i="1"/>
  <c r="AN155" i="1"/>
  <c r="AO154" i="1"/>
  <c r="AN153" i="1"/>
  <c r="AO153" i="1" s="1"/>
  <c r="AO152" i="1"/>
  <c r="AN152" i="1"/>
  <c r="AN151" i="1"/>
  <c r="AO151" i="1" s="1"/>
  <c r="AN150" i="1"/>
  <c r="AO150" i="1" s="1"/>
  <c r="AO149" i="1"/>
  <c r="AN149" i="1"/>
  <c r="AO148" i="1"/>
  <c r="AN147" i="1"/>
  <c r="AO147" i="1" s="1"/>
  <c r="AO146" i="1"/>
  <c r="AN146" i="1"/>
  <c r="AN145" i="1"/>
  <c r="AO145" i="1" s="1"/>
  <c r="AN144" i="1"/>
  <c r="AO144" i="1" s="1"/>
  <c r="AN143" i="1"/>
  <c r="AO143" i="1" s="1"/>
  <c r="AO142" i="1"/>
  <c r="AN141" i="1"/>
  <c r="AO141" i="1" s="1"/>
  <c r="AO140" i="1"/>
  <c r="AN140" i="1"/>
  <c r="AO139" i="1"/>
  <c r="AN139" i="1"/>
  <c r="AN138" i="1"/>
  <c r="AO138" i="1" s="1"/>
  <c r="AN137" i="1"/>
  <c r="AO137" i="1" s="1"/>
  <c r="AO136" i="1"/>
  <c r="AN135" i="1"/>
  <c r="AO135" i="1" s="1"/>
  <c r="AN134" i="1"/>
  <c r="AO134" i="1" s="1"/>
  <c r="AO133" i="1"/>
  <c r="AN133" i="1"/>
  <c r="AN132" i="1"/>
  <c r="AO132" i="1" s="1"/>
  <c r="AN131" i="1"/>
  <c r="AO131" i="1" s="1"/>
  <c r="AO130" i="1"/>
  <c r="AN129" i="1"/>
  <c r="AO129" i="1" s="1"/>
  <c r="AN128" i="1"/>
  <c r="AO128" i="1" s="1"/>
  <c r="AO127" i="1"/>
  <c r="AN127" i="1"/>
  <c r="AO126" i="1"/>
  <c r="AN126" i="1"/>
  <c r="AN125" i="1"/>
  <c r="AO125" i="1" s="1"/>
  <c r="AO124" i="1"/>
  <c r="AN123" i="1"/>
  <c r="AO123" i="1" s="1"/>
  <c r="AN122" i="1"/>
  <c r="AO122" i="1" s="1"/>
  <c r="AN121" i="1"/>
  <c r="AO121" i="1" s="1"/>
  <c r="AO120" i="1"/>
  <c r="AN120" i="1"/>
  <c r="AN119" i="1"/>
  <c r="AO119" i="1" s="1"/>
  <c r="AO118" i="1"/>
  <c r="AO117" i="1"/>
  <c r="AN117" i="1"/>
  <c r="AN116" i="1"/>
  <c r="AO116" i="1" s="1"/>
  <c r="AN115" i="1"/>
  <c r="AO115" i="1" s="1"/>
  <c r="AO114" i="1"/>
  <c r="AN114" i="1"/>
  <c r="AO113" i="1"/>
  <c r="AN113" i="1"/>
  <c r="AO112" i="1"/>
  <c r="AO111" i="1"/>
  <c r="AN111" i="1"/>
  <c r="AN110" i="1"/>
  <c r="AO110" i="1" s="1"/>
  <c r="AN109" i="1"/>
  <c r="AO109" i="1" s="1"/>
  <c r="AN108" i="1"/>
  <c r="AO108" i="1" s="1"/>
  <c r="AO107" i="1"/>
  <c r="AN107" i="1"/>
  <c r="AO106" i="1"/>
  <c r="AO105" i="1"/>
  <c r="AN105" i="1"/>
  <c r="AO104" i="1"/>
  <c r="AN104" i="1"/>
  <c r="AN103" i="1"/>
  <c r="AO103" i="1" s="1"/>
  <c r="AN102" i="1"/>
  <c r="AO102" i="1" s="1"/>
  <c r="AO101" i="1"/>
  <c r="AN101" i="1"/>
  <c r="AO100" i="1"/>
  <c r="AN99" i="1"/>
  <c r="AO99" i="1" s="1"/>
  <c r="AO98" i="1"/>
  <c r="AN98" i="1"/>
  <c r="AN97" i="1"/>
  <c r="AO97" i="1" s="1"/>
  <c r="AN96" i="1"/>
  <c r="AO96" i="1" s="1"/>
  <c r="AN95" i="1"/>
  <c r="AO95" i="1" s="1"/>
  <c r="AO94" i="1"/>
  <c r="AN93" i="1"/>
  <c r="AO93" i="1" s="1"/>
  <c r="AO92" i="1"/>
  <c r="AN92" i="1"/>
  <c r="AO91" i="1"/>
  <c r="AN91" i="1"/>
  <c r="AN90" i="1"/>
  <c r="AO90" i="1" s="1"/>
  <c r="AN89" i="1"/>
  <c r="AO89" i="1" s="1"/>
  <c r="AO88" i="1"/>
  <c r="AN87" i="1"/>
  <c r="AO87" i="1" s="1"/>
  <c r="AN86" i="1"/>
  <c r="AO86" i="1" s="1"/>
  <c r="AO85" i="1"/>
  <c r="AN85" i="1"/>
  <c r="AN84" i="1"/>
  <c r="AO84" i="1" s="1"/>
  <c r="AN83" i="1"/>
  <c r="AO83" i="1" s="1"/>
  <c r="AO82" i="1"/>
  <c r="AN81" i="1"/>
  <c r="AO81" i="1" s="1"/>
  <c r="AN80" i="1"/>
  <c r="AO80" i="1" s="1"/>
  <c r="AO79" i="1"/>
  <c r="AN79" i="1"/>
  <c r="AO78" i="1"/>
  <c r="AN78" i="1"/>
  <c r="AN77" i="1"/>
  <c r="AO77" i="1" s="1"/>
  <c r="AO76" i="1"/>
  <c r="AN75" i="1"/>
  <c r="AO75" i="1" s="1"/>
  <c r="AN74" i="1"/>
  <c r="AO74" i="1" s="1"/>
  <c r="AO73" i="1"/>
  <c r="AN73" i="1"/>
  <c r="AO72" i="1"/>
  <c r="AN72" i="1"/>
  <c r="AN71" i="1"/>
  <c r="AO71" i="1" s="1"/>
  <c r="AO70" i="1"/>
  <c r="AO69" i="1"/>
  <c r="AN69" i="1"/>
  <c r="AN68" i="1"/>
  <c r="AO68" i="1" s="1"/>
  <c r="AN67" i="1"/>
  <c r="AO67" i="1" s="1"/>
  <c r="AO66" i="1"/>
  <c r="AN66" i="1"/>
  <c r="AO65" i="1"/>
  <c r="AN65" i="1"/>
  <c r="AO64" i="1"/>
  <c r="AO63" i="1"/>
  <c r="AN63" i="1"/>
  <c r="AN62" i="1"/>
  <c r="AO62" i="1" s="1"/>
  <c r="AN61" i="1"/>
  <c r="AO61" i="1" s="1"/>
  <c r="AN60" i="1"/>
  <c r="AO60" i="1" s="1"/>
  <c r="AO59" i="1"/>
  <c r="AN59" i="1"/>
  <c r="AO58" i="1"/>
  <c r="AO57" i="1"/>
  <c r="AN57" i="1"/>
  <c r="AO56" i="1"/>
  <c r="AN56" i="1"/>
  <c r="AN55" i="1"/>
  <c r="AO55" i="1" s="1"/>
  <c r="AN54" i="1"/>
  <c r="AO54" i="1" s="1"/>
  <c r="AO53" i="1"/>
  <c r="AN53" i="1"/>
  <c r="AO52" i="1"/>
  <c r="AN51" i="1"/>
  <c r="AO51" i="1" s="1"/>
  <c r="AO50" i="1"/>
  <c r="AN50" i="1"/>
  <c r="AN49" i="1"/>
  <c r="AO49" i="1" s="1"/>
  <c r="AN48" i="1"/>
  <c r="AO48" i="1" s="1"/>
  <c r="AN47" i="1"/>
  <c r="AO47" i="1" s="1"/>
  <c r="AO46" i="1"/>
  <c r="AN45" i="1"/>
  <c r="AO45" i="1" s="1"/>
  <c r="AO44" i="1"/>
  <c r="AN44" i="1"/>
  <c r="AO43" i="1"/>
  <c r="AN43" i="1"/>
  <c r="AN42" i="1"/>
  <c r="AO42" i="1" s="1"/>
  <c r="AN41" i="1"/>
  <c r="AO41" i="1" s="1"/>
  <c r="AO40" i="1"/>
  <c r="AN39" i="1"/>
  <c r="AO39" i="1" s="1"/>
  <c r="AN38" i="1"/>
  <c r="AO38" i="1" s="1"/>
  <c r="AO37" i="1"/>
  <c r="AN37" i="1"/>
  <c r="AN36" i="1"/>
  <c r="AO36" i="1" s="1"/>
  <c r="AN35" i="1"/>
  <c r="AO35" i="1" s="1"/>
  <c r="AO34" i="1"/>
  <c r="AN33" i="1"/>
  <c r="AO33" i="1" s="1"/>
  <c r="AN32" i="1"/>
  <c r="AO32" i="1" s="1"/>
  <c r="AO31" i="1"/>
  <c r="AN31" i="1"/>
  <c r="AO30" i="1"/>
  <c r="AN30" i="1"/>
  <c r="AO29" i="1"/>
  <c r="AO28" i="1"/>
  <c r="AN28" i="1"/>
  <c r="AN27" i="1"/>
  <c r="AO27" i="1" s="1"/>
  <c r="AN26" i="1"/>
  <c r="AO26" i="1" s="1"/>
  <c r="AN25" i="1"/>
  <c r="AO25" i="1" s="1"/>
  <c r="AO24" i="1"/>
  <c r="AN24" i="1"/>
  <c r="AO23" i="1"/>
  <c r="AO22" i="1"/>
  <c r="AN22" i="1"/>
  <c r="AO20" i="1"/>
  <c r="AN19" i="1"/>
  <c r="AO19" i="1" s="1"/>
  <c r="AO17" i="1"/>
  <c r="AO16" i="1"/>
  <c r="AO14" i="1"/>
  <c r="AN14" i="1"/>
  <c r="AO12" i="1"/>
  <c r="AN11" i="1"/>
  <c r="AO11" i="1" s="1"/>
  <c r="AM10" i="1"/>
  <c r="AN4" i="1"/>
  <c r="AG141" i="1"/>
  <c r="J141" i="1" s="1"/>
  <c r="AG140" i="1"/>
  <c r="AG135" i="1"/>
  <c r="AG134" i="1"/>
  <c r="J134" i="1" s="1"/>
  <c r="AG129" i="1"/>
  <c r="AG128" i="1"/>
  <c r="J129" i="1"/>
  <c r="J128" i="1"/>
  <c r="J184" i="1"/>
  <c r="M184" i="1" s="1"/>
  <c r="N184" i="1" s="1"/>
  <c r="J185" i="1"/>
  <c r="K185" i="1" s="1"/>
  <c r="J183" i="1"/>
  <c r="K183" i="1" s="1"/>
  <c r="L183" i="1" s="1"/>
  <c r="AH15" i="1"/>
  <c r="AG123" i="1"/>
  <c r="AG122" i="1"/>
  <c r="AG117" i="1"/>
  <c r="AG116" i="1"/>
  <c r="AG110" i="1"/>
  <c r="AG104" i="1"/>
  <c r="AG98" i="1"/>
  <c r="AG92" i="1"/>
  <c r="AE182" i="1"/>
  <c r="I182" i="1"/>
  <c r="I183" i="1"/>
  <c r="AK185" i="1"/>
  <c r="AH185" i="1"/>
  <c r="AE185" i="1"/>
  <c r="AB185" i="1"/>
  <c r="Y185" i="1"/>
  <c r="Z185" i="1" s="1"/>
  <c r="V185" i="1"/>
  <c r="I185" i="1"/>
  <c r="AK184" i="1"/>
  <c r="AH184" i="1"/>
  <c r="AE184" i="1"/>
  <c r="AB184" i="1"/>
  <c r="Y184" i="1"/>
  <c r="V184" i="1"/>
  <c r="P184" i="1"/>
  <c r="P182" i="1" s="1"/>
  <c r="I184" i="1"/>
  <c r="AK183" i="1"/>
  <c r="AH183" i="1"/>
  <c r="AE183" i="1"/>
  <c r="AB183" i="1"/>
  <c r="Y183" i="1"/>
  <c r="Z183" i="1" s="1"/>
  <c r="AJ182" i="1"/>
  <c r="AG182" i="1"/>
  <c r="AA182" i="1"/>
  <c r="AB182" i="1" s="1"/>
  <c r="Y182" i="1"/>
  <c r="X182" i="1"/>
  <c r="U182" i="1"/>
  <c r="V182" i="1" s="1"/>
  <c r="R182" i="1"/>
  <c r="S182" i="1" s="1"/>
  <c r="O182" i="1"/>
  <c r="AD157" i="1"/>
  <c r="AD156" i="1"/>
  <c r="J156" i="1" s="1"/>
  <c r="AD155" i="1"/>
  <c r="J155" i="1" s="1"/>
  <c r="AD150" i="1"/>
  <c r="J150" i="1" s="1"/>
  <c r="AD151" i="1"/>
  <c r="AD149" i="1"/>
  <c r="J175" i="1"/>
  <c r="J174" i="1"/>
  <c r="J173" i="1"/>
  <c r="J169" i="1"/>
  <c r="J168" i="1"/>
  <c r="J167" i="1"/>
  <c r="J163" i="1"/>
  <c r="J162" i="1"/>
  <c r="J161" i="1"/>
  <c r="J157" i="1"/>
  <c r="J151" i="1"/>
  <c r="J149" i="1"/>
  <c r="J145" i="1"/>
  <c r="J144" i="1"/>
  <c r="J143" i="1"/>
  <c r="J140" i="1"/>
  <c r="J139" i="1"/>
  <c r="J138" i="1"/>
  <c r="J137" i="1"/>
  <c r="J135" i="1"/>
  <c r="J133" i="1"/>
  <c r="J132" i="1"/>
  <c r="J131" i="1"/>
  <c r="J127" i="1"/>
  <c r="J126" i="1"/>
  <c r="J125" i="1"/>
  <c r="J123" i="1"/>
  <c r="J122" i="1"/>
  <c r="J121" i="1"/>
  <c r="J120" i="1"/>
  <c r="J119" i="1"/>
  <c r="J117" i="1"/>
  <c r="J116" i="1"/>
  <c r="J115" i="1"/>
  <c r="J114" i="1"/>
  <c r="J113" i="1"/>
  <c r="J110" i="1"/>
  <c r="J109" i="1"/>
  <c r="J108" i="1"/>
  <c r="J107" i="1"/>
  <c r="J104" i="1"/>
  <c r="J103" i="1"/>
  <c r="J102" i="1"/>
  <c r="J101" i="1"/>
  <c r="J98" i="1"/>
  <c r="J97" i="1"/>
  <c r="J96" i="1"/>
  <c r="J95" i="1"/>
  <c r="J92" i="1"/>
  <c r="J91" i="1"/>
  <c r="J90" i="1"/>
  <c r="J89" i="1"/>
  <c r="J85" i="1"/>
  <c r="J84" i="1"/>
  <c r="J83" i="1"/>
  <c r="J79" i="1"/>
  <c r="J78" i="1"/>
  <c r="J77" i="1"/>
  <c r="J73" i="1"/>
  <c r="J72" i="1"/>
  <c r="J71" i="1"/>
  <c r="J67" i="1"/>
  <c r="J66" i="1"/>
  <c r="J65" i="1"/>
  <c r="J61" i="1"/>
  <c r="J60" i="1"/>
  <c r="J59" i="1"/>
  <c r="J55" i="1"/>
  <c r="J54" i="1"/>
  <c r="J53" i="1"/>
  <c r="J49" i="1"/>
  <c r="J48" i="1"/>
  <c r="J47" i="1"/>
  <c r="J43" i="1"/>
  <c r="J42" i="1"/>
  <c r="J41" i="1"/>
  <c r="J38" i="1"/>
  <c r="J37" i="1"/>
  <c r="J36" i="1"/>
  <c r="J35" i="1"/>
  <c r="J32" i="1"/>
  <c r="J31" i="1"/>
  <c r="J30" i="1"/>
  <c r="J29" i="1"/>
  <c r="J26" i="1"/>
  <c r="J25" i="1"/>
  <c r="J24" i="1"/>
  <c r="J23" i="1"/>
  <c r="J12" i="1"/>
  <c r="F76" i="1"/>
  <c r="F81" i="1" s="1"/>
  <c r="AD81" i="1" s="1"/>
  <c r="J81" i="1" s="1"/>
  <c r="F70" i="1"/>
  <c r="F75" i="1" s="1"/>
  <c r="AD75" i="1" s="1"/>
  <c r="J75" i="1" s="1"/>
  <c r="AE20" i="1"/>
  <c r="AE12" i="1"/>
  <c r="Y188" i="1"/>
  <c r="AN10" i="1" l="1"/>
  <c r="AO10" i="1" s="1"/>
  <c r="AO178" i="1"/>
  <c r="AH182" i="1"/>
  <c r="N183" i="1"/>
  <c r="K184" i="1"/>
  <c r="L184" i="1" s="1"/>
  <c r="L185" i="1"/>
  <c r="S185" i="1"/>
  <c r="M185" i="1"/>
  <c r="N185" i="1" s="1"/>
  <c r="J182" i="1"/>
  <c r="K182" i="1" s="1"/>
  <c r="L182" i="1" s="1"/>
  <c r="W182" i="1"/>
  <c r="Q182" i="1"/>
  <c r="AK182" i="1" s="1"/>
  <c r="AL182" i="1" s="1"/>
  <c r="Z182" i="1"/>
  <c r="AC182" i="1"/>
  <c r="AI182" i="1"/>
  <c r="T182" i="1"/>
  <c r="AC185" i="1"/>
  <c r="AF185" i="1"/>
  <c r="AI185" i="1"/>
  <c r="AL185" i="1"/>
  <c r="AC184" i="1"/>
  <c r="AC183" i="1"/>
  <c r="AL183" i="1"/>
  <c r="AF183" i="1"/>
  <c r="AI183" i="1"/>
  <c r="Z184" i="1"/>
  <c r="AF184" i="1"/>
  <c r="AI184" i="1"/>
  <c r="AL184" i="1"/>
  <c r="AF182" i="1"/>
  <c r="F80" i="1"/>
  <c r="AD80" i="1" s="1"/>
  <c r="J80" i="1" s="1"/>
  <c r="F74" i="1"/>
  <c r="AD74" i="1" s="1"/>
  <c r="J74" i="1" s="1"/>
  <c r="D7" i="3"/>
  <c r="B39" i="3"/>
  <c r="AM186" i="1" l="1"/>
  <c r="E7" i="3"/>
  <c r="X15" i="1"/>
  <c r="AN189" i="1" l="1"/>
  <c r="J8" i="1"/>
  <c r="M8" i="1" s="1"/>
  <c r="Y15" i="1"/>
  <c r="Y83" i="1"/>
  <c r="E5" i="3"/>
  <c r="E4" i="3"/>
  <c r="C30" i="3"/>
  <c r="D6" i="3"/>
  <c r="E6" i="3" s="1"/>
  <c r="D5" i="3"/>
  <c r="D4" i="3"/>
  <c r="D3" i="3"/>
  <c r="E3" i="3" s="1"/>
  <c r="B29" i="3"/>
  <c r="B25" i="3"/>
  <c r="B21" i="3"/>
  <c r="B12" i="3" l="1"/>
  <c r="B17" i="3"/>
  <c r="V27" i="1" l="1"/>
  <c r="V26" i="1"/>
  <c r="V17" i="1" l="1"/>
  <c r="S17" i="1"/>
  <c r="P17" i="1"/>
  <c r="M17" i="1"/>
  <c r="N17" i="1" s="1"/>
  <c r="I17" i="1"/>
  <c r="AL17" i="1" s="1"/>
  <c r="V16" i="1"/>
  <c r="S16" i="1"/>
  <c r="P16" i="1"/>
  <c r="M16" i="1"/>
  <c r="N16" i="1" s="1"/>
  <c r="I16" i="1"/>
  <c r="AL16" i="1" s="1"/>
  <c r="V15" i="1"/>
  <c r="S15" i="1"/>
  <c r="P15" i="1"/>
  <c r="I15" i="1"/>
  <c r="AL15" i="1" l="1"/>
  <c r="Z15" i="1"/>
  <c r="T16" i="1"/>
  <c r="T15" i="1"/>
  <c r="Q17" i="1"/>
  <c r="T17" i="1"/>
  <c r="W17" i="1"/>
  <c r="Q16" i="1"/>
  <c r="W16" i="1"/>
  <c r="Q15" i="1"/>
  <c r="W15" i="1"/>
  <c r="K16" i="1"/>
  <c r="L16" i="1" s="1"/>
  <c r="K17" i="1"/>
  <c r="L17" i="1" s="1"/>
  <c r="AC15" i="1"/>
  <c r="AC16" i="1"/>
  <c r="AC17" i="1"/>
  <c r="AF15" i="1"/>
  <c r="AF16" i="1"/>
  <c r="AF17" i="1"/>
  <c r="AI15" i="1"/>
  <c r="AI16" i="1"/>
  <c r="AI17" i="1"/>
  <c r="V38" i="1" l="1"/>
  <c r="V32" i="1"/>
  <c r="S26" i="1" l="1"/>
  <c r="AK180" i="1"/>
  <c r="AH180" i="1"/>
  <c r="AE180" i="1"/>
  <c r="AB180" i="1"/>
  <c r="Y180" i="1"/>
  <c r="V180" i="1"/>
  <c r="P180" i="1"/>
  <c r="J180" i="1"/>
  <c r="K180" i="1" s="1"/>
  <c r="I180" i="1"/>
  <c r="AK147" i="1"/>
  <c r="AH147" i="1"/>
  <c r="AE147" i="1"/>
  <c r="AB147" i="1"/>
  <c r="Y147" i="1"/>
  <c r="K147" i="1"/>
  <c r="AK146" i="1"/>
  <c r="AH146" i="1"/>
  <c r="AE146" i="1"/>
  <c r="AB146" i="1"/>
  <c r="Y146" i="1"/>
  <c r="K146" i="1"/>
  <c r="AK145" i="1"/>
  <c r="AH145" i="1"/>
  <c r="AE145" i="1"/>
  <c r="AB145" i="1"/>
  <c r="Y145" i="1"/>
  <c r="V145" i="1"/>
  <c r="S145" i="1"/>
  <c r="P145" i="1"/>
  <c r="M145" i="1"/>
  <c r="N145" i="1" s="1"/>
  <c r="I145" i="1"/>
  <c r="AK144" i="1"/>
  <c r="AH144" i="1"/>
  <c r="AE144" i="1"/>
  <c r="AB144" i="1"/>
  <c r="Y144" i="1"/>
  <c r="V144" i="1"/>
  <c r="S144" i="1"/>
  <c r="P144" i="1"/>
  <c r="M144" i="1"/>
  <c r="N144" i="1" s="1"/>
  <c r="I144" i="1"/>
  <c r="AK143" i="1"/>
  <c r="AH143" i="1"/>
  <c r="AE143" i="1"/>
  <c r="AB143" i="1"/>
  <c r="Y143" i="1"/>
  <c r="V143" i="1"/>
  <c r="S143" i="1"/>
  <c r="P143" i="1"/>
  <c r="K143" i="1"/>
  <c r="I143" i="1"/>
  <c r="V142" i="1"/>
  <c r="F142" i="1"/>
  <c r="F147" i="1" s="1"/>
  <c r="AK141" i="1"/>
  <c r="AH141" i="1"/>
  <c r="AE141" i="1"/>
  <c r="AB141" i="1"/>
  <c r="Y141" i="1"/>
  <c r="K141" i="1"/>
  <c r="AK140" i="1"/>
  <c r="AH140" i="1"/>
  <c r="AE140" i="1"/>
  <c r="AB140" i="1"/>
  <c r="Y140" i="1"/>
  <c r="K140" i="1"/>
  <c r="AK139" i="1"/>
  <c r="AH139" i="1"/>
  <c r="AE139" i="1"/>
  <c r="AB139" i="1"/>
  <c r="Y139" i="1"/>
  <c r="V139" i="1"/>
  <c r="S139" i="1"/>
  <c r="P139" i="1"/>
  <c r="M139" i="1"/>
  <c r="N139" i="1" s="1"/>
  <c r="I139" i="1"/>
  <c r="AK138" i="1"/>
  <c r="AH138" i="1"/>
  <c r="AE138" i="1"/>
  <c r="AB138" i="1"/>
  <c r="Y138" i="1"/>
  <c r="V138" i="1"/>
  <c r="S138" i="1"/>
  <c r="P138" i="1"/>
  <c r="M138" i="1"/>
  <c r="N138" i="1" s="1"/>
  <c r="I138" i="1"/>
  <c r="AK137" i="1"/>
  <c r="AH137" i="1"/>
  <c r="AE137" i="1"/>
  <c r="AB137" i="1"/>
  <c r="Y137" i="1"/>
  <c r="V137" i="1"/>
  <c r="S137" i="1"/>
  <c r="P137" i="1"/>
  <c r="K137" i="1"/>
  <c r="I137" i="1"/>
  <c r="V136" i="1"/>
  <c r="F136" i="1"/>
  <c r="F141" i="1" s="1"/>
  <c r="V20" i="1"/>
  <c r="S20" i="1"/>
  <c r="P20" i="1"/>
  <c r="M20" i="1"/>
  <c r="N20" i="1" s="1"/>
  <c r="I20" i="1"/>
  <c r="AK19" i="1"/>
  <c r="AL19" i="1" s="1"/>
  <c r="AH19" i="1"/>
  <c r="AI19" i="1" s="1"/>
  <c r="AE19" i="1"/>
  <c r="AF19" i="1" s="1"/>
  <c r="AB19" i="1"/>
  <c r="AC19" i="1" s="1"/>
  <c r="Y19" i="1"/>
  <c r="Z19" i="1" s="1"/>
  <c r="V19" i="1"/>
  <c r="AK14" i="1"/>
  <c r="AL14" i="1" s="1"/>
  <c r="AH14" i="1"/>
  <c r="AI14" i="1" s="1"/>
  <c r="AE14" i="1"/>
  <c r="AF14" i="1" s="1"/>
  <c r="AB14" i="1"/>
  <c r="AC14" i="1" s="1"/>
  <c r="Y14" i="1"/>
  <c r="Z14" i="1" s="1"/>
  <c r="V14" i="1"/>
  <c r="F22" i="1"/>
  <c r="F27" i="1" s="1"/>
  <c r="AD27" i="1" s="1"/>
  <c r="J27" i="1" s="1"/>
  <c r="V12" i="1"/>
  <c r="S12" i="1"/>
  <c r="P12" i="1"/>
  <c r="M12" i="1"/>
  <c r="N12" i="1" s="1"/>
  <c r="I12" i="1"/>
  <c r="AI12" i="1" s="1"/>
  <c r="AK22" i="1"/>
  <c r="AH22" i="1"/>
  <c r="AE22" i="1"/>
  <c r="AB22" i="1"/>
  <c r="Y22" i="1"/>
  <c r="V22" i="1"/>
  <c r="V11" i="1"/>
  <c r="Y11" i="1"/>
  <c r="AB11" i="1"/>
  <c r="AE11" i="1"/>
  <c r="AH11" i="1"/>
  <c r="AK11" i="1"/>
  <c r="AL20" i="1" l="1"/>
  <c r="AF20" i="1"/>
  <c r="L180" i="1"/>
  <c r="F26" i="1"/>
  <c r="P178" i="1"/>
  <c r="M180" i="1"/>
  <c r="N180" i="1" s="1"/>
  <c r="AL180" i="1"/>
  <c r="Z180" i="1"/>
  <c r="AC180" i="1"/>
  <c r="AF180" i="1"/>
  <c r="AI180" i="1"/>
  <c r="Q143" i="1"/>
  <c r="AC137" i="1"/>
  <c r="L137" i="1"/>
  <c r="W143" i="1"/>
  <c r="Q137" i="1"/>
  <c r="AC139" i="1"/>
  <c r="Z143" i="1"/>
  <c r="AF139" i="1"/>
  <c r="AC143" i="1"/>
  <c r="M143" i="1"/>
  <c r="N143" i="1" s="1"/>
  <c r="AL144" i="1"/>
  <c r="AF145" i="1"/>
  <c r="Q144" i="1"/>
  <c r="AI145" i="1"/>
  <c r="T137" i="1"/>
  <c r="T144" i="1"/>
  <c r="W20" i="1"/>
  <c r="W137" i="1"/>
  <c r="Z137" i="1"/>
  <c r="AL138" i="1"/>
  <c r="T138" i="1"/>
  <c r="AL139" i="1"/>
  <c r="L143" i="1"/>
  <c r="W144" i="1"/>
  <c r="Q145" i="1"/>
  <c r="AL145" i="1"/>
  <c r="W138" i="1"/>
  <c r="Q139" i="1"/>
  <c r="AF143" i="1"/>
  <c r="Z144" i="1"/>
  <c r="T145" i="1"/>
  <c r="M137" i="1"/>
  <c r="N137" i="1" s="1"/>
  <c r="AF137" i="1"/>
  <c r="Z138" i="1"/>
  <c r="T139" i="1"/>
  <c r="AI143" i="1"/>
  <c r="AC144" i="1"/>
  <c r="W145" i="1"/>
  <c r="AI138" i="1"/>
  <c r="AI137" i="1"/>
  <c r="AC138" i="1"/>
  <c r="AL143" i="1"/>
  <c r="AF144" i="1"/>
  <c r="Z145" i="1"/>
  <c r="Q138" i="1"/>
  <c r="AL137" i="1"/>
  <c r="AF138" i="1"/>
  <c r="Z139" i="1"/>
  <c r="T143" i="1"/>
  <c r="AI144" i="1"/>
  <c r="AC145" i="1"/>
  <c r="M147" i="1"/>
  <c r="N147" i="1" s="1"/>
  <c r="I147" i="1"/>
  <c r="AL147" i="1" s="1"/>
  <c r="K145" i="1"/>
  <c r="L145" i="1" s="1"/>
  <c r="K144" i="1"/>
  <c r="L144" i="1" s="1"/>
  <c r="F146" i="1"/>
  <c r="I141" i="1"/>
  <c r="L141" i="1" s="1"/>
  <c r="M141" i="1"/>
  <c r="N141" i="1" s="1"/>
  <c r="K139" i="1"/>
  <c r="L139" i="1" s="1"/>
  <c r="W139" i="1"/>
  <c r="AI139" i="1"/>
  <c r="K138" i="1"/>
  <c r="F140" i="1"/>
  <c r="Q20" i="1"/>
  <c r="T20" i="1"/>
  <c r="K20" i="1"/>
  <c r="L20" i="1" s="1"/>
  <c r="AC20" i="1"/>
  <c r="AI20" i="1"/>
  <c r="T12" i="1"/>
  <c r="Q12" i="1"/>
  <c r="AL12" i="1"/>
  <c r="W12" i="1"/>
  <c r="K12" i="1"/>
  <c r="L12" i="1" s="1"/>
  <c r="AC12" i="1"/>
  <c r="AF12" i="1"/>
  <c r="L138" i="1" l="1"/>
  <c r="AI147" i="1"/>
  <c r="AC147" i="1"/>
  <c r="AF147" i="1"/>
  <c r="Z147" i="1"/>
  <c r="L147" i="1"/>
  <c r="I146" i="1"/>
  <c r="M146" i="1"/>
  <c r="N146" i="1" s="1"/>
  <c r="AC141" i="1"/>
  <c r="Z141" i="1"/>
  <c r="AL141" i="1"/>
  <c r="AI141" i="1"/>
  <c r="AF141" i="1"/>
  <c r="I140" i="1"/>
  <c r="M140" i="1"/>
  <c r="N140" i="1" s="1"/>
  <c r="AC146" i="1" l="1"/>
  <c r="I142" i="1"/>
  <c r="AL146" i="1"/>
  <c r="AF146" i="1"/>
  <c r="AI146" i="1"/>
  <c r="L146" i="1"/>
  <c r="Z146" i="1"/>
  <c r="AC140" i="1"/>
  <c r="AL140" i="1"/>
  <c r="Z140" i="1"/>
  <c r="L140" i="1"/>
  <c r="AI140" i="1"/>
  <c r="AF140" i="1"/>
  <c r="I136" i="1"/>
  <c r="AL142" i="1" l="1"/>
  <c r="AI142" i="1"/>
  <c r="AC142" i="1"/>
  <c r="AF142" i="1"/>
  <c r="AF136" i="1"/>
  <c r="AC136" i="1"/>
  <c r="AL136" i="1"/>
  <c r="AI136" i="1"/>
  <c r="AK181" i="1"/>
  <c r="AK179" i="1"/>
  <c r="AL179" i="1" s="1"/>
  <c r="AJ178" i="1"/>
  <c r="AK176" i="1"/>
  <c r="AK175" i="1"/>
  <c r="AK174" i="1"/>
  <c r="AK173" i="1"/>
  <c r="AK171" i="1"/>
  <c r="AK170" i="1"/>
  <c r="AK169" i="1"/>
  <c r="AK168" i="1"/>
  <c r="AK167" i="1"/>
  <c r="AK165" i="1"/>
  <c r="AK164" i="1"/>
  <c r="AK163" i="1"/>
  <c r="AK162" i="1"/>
  <c r="AK161" i="1"/>
  <c r="AK159" i="1"/>
  <c r="AK158" i="1"/>
  <c r="AK157" i="1"/>
  <c r="AK156" i="1"/>
  <c r="AK155" i="1"/>
  <c r="AK153" i="1"/>
  <c r="AK152" i="1"/>
  <c r="AK151" i="1"/>
  <c r="AK150" i="1"/>
  <c r="AK149" i="1"/>
  <c r="AK135" i="1"/>
  <c r="AK134" i="1"/>
  <c r="AK133" i="1"/>
  <c r="AK132" i="1"/>
  <c r="AK131" i="1"/>
  <c r="AK129" i="1"/>
  <c r="AK128" i="1"/>
  <c r="AK127" i="1"/>
  <c r="AK126" i="1"/>
  <c r="AK125" i="1"/>
  <c r="AK123" i="1"/>
  <c r="AK122" i="1"/>
  <c r="AK121" i="1"/>
  <c r="AK120" i="1"/>
  <c r="AK119" i="1"/>
  <c r="AK117" i="1"/>
  <c r="AK116" i="1"/>
  <c r="AK115" i="1"/>
  <c r="AK114" i="1"/>
  <c r="AK113" i="1"/>
  <c r="AK111" i="1"/>
  <c r="AK110" i="1"/>
  <c r="AK109" i="1"/>
  <c r="AK108" i="1"/>
  <c r="AK107" i="1"/>
  <c r="AK105" i="1"/>
  <c r="AK104" i="1"/>
  <c r="AK103" i="1"/>
  <c r="AK102" i="1"/>
  <c r="AK101" i="1"/>
  <c r="AK99" i="1"/>
  <c r="AK98" i="1"/>
  <c r="AK97" i="1"/>
  <c r="AK96" i="1"/>
  <c r="AK95" i="1"/>
  <c r="AK93" i="1"/>
  <c r="AK92" i="1"/>
  <c r="AK91" i="1"/>
  <c r="AK90" i="1"/>
  <c r="AK89" i="1"/>
  <c r="AK87" i="1"/>
  <c r="AK86" i="1"/>
  <c r="AK85" i="1"/>
  <c r="AK84" i="1"/>
  <c r="AK83" i="1"/>
  <c r="AK81" i="1"/>
  <c r="AK80" i="1"/>
  <c r="AK79" i="1"/>
  <c r="AK78" i="1"/>
  <c r="AK77" i="1"/>
  <c r="AK75" i="1"/>
  <c r="AK74" i="1"/>
  <c r="AK73" i="1"/>
  <c r="AK72" i="1"/>
  <c r="AK71" i="1"/>
  <c r="AK69" i="1"/>
  <c r="AK68" i="1"/>
  <c r="AK67" i="1"/>
  <c r="AK66" i="1"/>
  <c r="AK65" i="1"/>
  <c r="AK63" i="1"/>
  <c r="AK62" i="1"/>
  <c r="AK61" i="1"/>
  <c r="AK60" i="1"/>
  <c r="AK59" i="1"/>
  <c r="AK57" i="1"/>
  <c r="AK56" i="1"/>
  <c r="AK55" i="1"/>
  <c r="AK54" i="1"/>
  <c r="AK53" i="1"/>
  <c r="AK51" i="1"/>
  <c r="AK50" i="1"/>
  <c r="AK49" i="1"/>
  <c r="AK48" i="1"/>
  <c r="AK47" i="1"/>
  <c r="AK45" i="1"/>
  <c r="AK44" i="1"/>
  <c r="AK43" i="1"/>
  <c r="AK42" i="1"/>
  <c r="AK41" i="1"/>
  <c r="AK39" i="1"/>
  <c r="AK38" i="1"/>
  <c r="AK37" i="1"/>
  <c r="AK36" i="1"/>
  <c r="AK35" i="1"/>
  <c r="AK33" i="1"/>
  <c r="AK32" i="1"/>
  <c r="AK31" i="1"/>
  <c r="AK30" i="1"/>
  <c r="AK28" i="1"/>
  <c r="AK27" i="1"/>
  <c r="AK26" i="1"/>
  <c r="AK25" i="1"/>
  <c r="AK24" i="1"/>
  <c r="AJ10" i="1"/>
  <c r="AH181" i="1"/>
  <c r="AH179" i="1"/>
  <c r="AI179" i="1" s="1"/>
  <c r="AG178" i="1"/>
  <c r="AH178" i="1" s="1"/>
  <c r="AH176" i="1"/>
  <c r="AH175" i="1"/>
  <c r="AH174" i="1"/>
  <c r="AH173" i="1"/>
  <c r="AH171" i="1"/>
  <c r="AH170" i="1"/>
  <c r="AH169" i="1"/>
  <c r="AH168" i="1"/>
  <c r="AH167" i="1"/>
  <c r="AH165" i="1"/>
  <c r="AH164" i="1"/>
  <c r="AH163" i="1"/>
  <c r="AH162" i="1"/>
  <c r="AH161" i="1"/>
  <c r="AH159" i="1"/>
  <c r="AH158" i="1"/>
  <c r="AH157" i="1"/>
  <c r="AH156" i="1"/>
  <c r="AH155" i="1"/>
  <c r="AH153" i="1"/>
  <c r="AH152" i="1"/>
  <c r="AH151" i="1"/>
  <c r="AH150" i="1"/>
  <c r="AH149" i="1"/>
  <c r="AH135" i="1"/>
  <c r="AH134" i="1"/>
  <c r="AH133" i="1"/>
  <c r="AH132" i="1"/>
  <c r="AH131" i="1"/>
  <c r="AH129" i="1"/>
  <c r="AH128" i="1"/>
  <c r="AH127" i="1"/>
  <c r="AH126" i="1"/>
  <c r="AH125" i="1"/>
  <c r="AH123" i="1"/>
  <c r="AH122" i="1"/>
  <c r="AH121" i="1"/>
  <c r="AH120" i="1"/>
  <c r="AH119" i="1"/>
  <c r="AH117" i="1"/>
  <c r="AH116" i="1"/>
  <c r="AH115" i="1"/>
  <c r="AH114" i="1"/>
  <c r="AH113" i="1"/>
  <c r="AH111" i="1"/>
  <c r="AH110" i="1"/>
  <c r="AH109" i="1"/>
  <c r="AH108" i="1"/>
  <c r="AH107" i="1"/>
  <c r="AH105" i="1"/>
  <c r="AH104" i="1"/>
  <c r="AH103" i="1"/>
  <c r="AH102" i="1"/>
  <c r="AH101" i="1"/>
  <c r="AH99" i="1"/>
  <c r="AH98" i="1"/>
  <c r="AH97" i="1"/>
  <c r="AH96" i="1"/>
  <c r="AH95" i="1"/>
  <c r="AH93" i="1"/>
  <c r="AH92" i="1"/>
  <c r="AH91" i="1"/>
  <c r="AH90" i="1"/>
  <c r="AH89" i="1"/>
  <c r="AH87" i="1"/>
  <c r="AH86" i="1"/>
  <c r="AH85" i="1"/>
  <c r="AH84" i="1"/>
  <c r="AH83" i="1"/>
  <c r="AH81" i="1"/>
  <c r="AH80" i="1"/>
  <c r="AH79" i="1"/>
  <c r="AH78" i="1"/>
  <c r="AH77" i="1"/>
  <c r="AH75" i="1"/>
  <c r="AH74" i="1"/>
  <c r="AH73" i="1"/>
  <c r="AH72" i="1"/>
  <c r="AH71" i="1"/>
  <c r="AH69" i="1"/>
  <c r="AH68" i="1"/>
  <c r="AH67" i="1"/>
  <c r="AH66" i="1"/>
  <c r="AH65" i="1"/>
  <c r="AH63" i="1"/>
  <c r="AH62" i="1"/>
  <c r="AH61" i="1"/>
  <c r="AH60" i="1"/>
  <c r="AH59" i="1"/>
  <c r="AH57" i="1"/>
  <c r="AH56" i="1"/>
  <c r="AH55" i="1"/>
  <c r="AH54" i="1"/>
  <c r="AH53" i="1"/>
  <c r="AH51" i="1"/>
  <c r="AH50" i="1"/>
  <c r="AH49" i="1"/>
  <c r="AH48" i="1"/>
  <c r="AH47" i="1"/>
  <c r="AH45" i="1"/>
  <c r="AH44" i="1"/>
  <c r="AH43" i="1"/>
  <c r="AH42" i="1"/>
  <c r="AH41" i="1"/>
  <c r="AH39" i="1"/>
  <c r="AH38" i="1"/>
  <c r="AH37" i="1"/>
  <c r="AH36" i="1"/>
  <c r="AH35" i="1"/>
  <c r="AH33" i="1"/>
  <c r="AH32" i="1"/>
  <c r="AH31" i="1"/>
  <c r="AH30" i="1"/>
  <c r="AH28" i="1"/>
  <c r="AH27" i="1"/>
  <c r="AH26" i="1"/>
  <c r="AH25" i="1"/>
  <c r="AH24" i="1"/>
  <c r="AK10" i="1" l="1"/>
  <c r="AH10" i="1"/>
  <c r="AG186" i="1" s="1"/>
  <c r="AE181" i="1" l="1"/>
  <c r="AE179" i="1"/>
  <c r="AF179" i="1" s="1"/>
  <c r="AD178" i="1"/>
  <c r="AE176" i="1"/>
  <c r="AE175" i="1"/>
  <c r="AE174" i="1"/>
  <c r="AE173" i="1"/>
  <c r="AE171" i="1"/>
  <c r="AE170" i="1"/>
  <c r="AE169" i="1"/>
  <c r="AE168" i="1"/>
  <c r="AE167" i="1"/>
  <c r="AE165" i="1"/>
  <c r="AE164" i="1"/>
  <c r="AE163" i="1"/>
  <c r="AE162" i="1"/>
  <c r="AE161" i="1"/>
  <c r="AE159" i="1"/>
  <c r="AE158" i="1"/>
  <c r="AE157" i="1"/>
  <c r="AE156" i="1"/>
  <c r="AE155" i="1"/>
  <c r="AE153" i="1"/>
  <c r="AE152" i="1"/>
  <c r="AE151" i="1"/>
  <c r="AE150" i="1"/>
  <c r="AE149" i="1"/>
  <c r="AE135" i="1"/>
  <c r="AE134" i="1"/>
  <c r="AE133" i="1"/>
  <c r="AE132" i="1"/>
  <c r="AE131" i="1"/>
  <c r="AE129" i="1"/>
  <c r="AE128" i="1"/>
  <c r="AE127" i="1"/>
  <c r="AE126" i="1"/>
  <c r="AE125" i="1"/>
  <c r="AE123" i="1"/>
  <c r="AE122" i="1"/>
  <c r="AE121" i="1"/>
  <c r="AE120" i="1"/>
  <c r="AE119" i="1"/>
  <c r="AE117" i="1"/>
  <c r="AE116" i="1"/>
  <c r="AE115" i="1"/>
  <c r="AE114" i="1"/>
  <c r="AE113" i="1"/>
  <c r="AE110" i="1"/>
  <c r="AE109" i="1"/>
  <c r="AE108" i="1"/>
  <c r="AE107" i="1"/>
  <c r="AE104" i="1"/>
  <c r="AE103" i="1"/>
  <c r="AE102" i="1"/>
  <c r="AE101" i="1"/>
  <c r="AE98" i="1"/>
  <c r="AE97" i="1"/>
  <c r="AE96" i="1"/>
  <c r="AE95" i="1"/>
  <c r="AE92" i="1"/>
  <c r="AE91" i="1"/>
  <c r="AE90" i="1"/>
  <c r="AE89" i="1"/>
  <c r="AE85" i="1"/>
  <c r="AE84" i="1"/>
  <c r="AE83" i="1"/>
  <c r="AE81" i="1"/>
  <c r="AE80" i="1"/>
  <c r="AE79" i="1"/>
  <c r="AE78" i="1"/>
  <c r="AE77" i="1"/>
  <c r="AE75" i="1"/>
  <c r="AE74" i="1"/>
  <c r="AE73" i="1"/>
  <c r="AE72" i="1"/>
  <c r="AE71" i="1"/>
  <c r="AE67" i="1"/>
  <c r="AE66" i="1"/>
  <c r="AE65" i="1"/>
  <c r="AE61" i="1"/>
  <c r="AE60" i="1"/>
  <c r="AE59" i="1"/>
  <c r="AE55" i="1"/>
  <c r="AE54" i="1"/>
  <c r="AE53" i="1"/>
  <c r="AE49" i="1"/>
  <c r="AE48" i="1"/>
  <c r="AE47" i="1"/>
  <c r="AE43" i="1"/>
  <c r="AE42" i="1"/>
  <c r="AE41" i="1"/>
  <c r="AE38" i="1"/>
  <c r="AE37" i="1"/>
  <c r="AE36" i="1"/>
  <c r="AE35" i="1"/>
  <c r="AE32" i="1"/>
  <c r="AE31" i="1"/>
  <c r="AE30" i="1"/>
  <c r="AE28" i="1"/>
  <c r="AE27" i="1"/>
  <c r="AE26" i="1"/>
  <c r="AE25" i="1"/>
  <c r="AE24" i="1"/>
  <c r="AA10" i="1" l="1"/>
  <c r="J181" i="1" l="1"/>
  <c r="AA178" i="1"/>
  <c r="AB181" i="1"/>
  <c r="AB179" i="1"/>
  <c r="AC179" i="1" s="1"/>
  <c r="AB176" i="1"/>
  <c r="AB175" i="1"/>
  <c r="AB174" i="1"/>
  <c r="AB173" i="1"/>
  <c r="AB171" i="1"/>
  <c r="AB170" i="1"/>
  <c r="AB169" i="1"/>
  <c r="AB168" i="1"/>
  <c r="AB167" i="1"/>
  <c r="AB165" i="1"/>
  <c r="AB164" i="1"/>
  <c r="AB163" i="1"/>
  <c r="AB162" i="1"/>
  <c r="AB161" i="1"/>
  <c r="AB159" i="1"/>
  <c r="AB158" i="1"/>
  <c r="AB157" i="1"/>
  <c r="AB156" i="1"/>
  <c r="AB155" i="1"/>
  <c r="AB153" i="1"/>
  <c r="AB152" i="1"/>
  <c r="AB151" i="1"/>
  <c r="AB150" i="1"/>
  <c r="AB149" i="1"/>
  <c r="AB135" i="1"/>
  <c r="AB134" i="1"/>
  <c r="AB133" i="1"/>
  <c r="AB132" i="1"/>
  <c r="AB131" i="1"/>
  <c r="AB129" i="1"/>
  <c r="AB128" i="1"/>
  <c r="AB127" i="1"/>
  <c r="AB126" i="1"/>
  <c r="AB125" i="1"/>
  <c r="AB123" i="1"/>
  <c r="AB122" i="1"/>
  <c r="AB121" i="1"/>
  <c r="AB120" i="1"/>
  <c r="AB119" i="1"/>
  <c r="AB117" i="1"/>
  <c r="AB116" i="1"/>
  <c r="AB115" i="1"/>
  <c r="AB114" i="1"/>
  <c r="AB113" i="1"/>
  <c r="AB111" i="1"/>
  <c r="AB110" i="1"/>
  <c r="AB109" i="1"/>
  <c r="AB108" i="1"/>
  <c r="AB107" i="1"/>
  <c r="AB105" i="1"/>
  <c r="AB104" i="1"/>
  <c r="AB103" i="1"/>
  <c r="AB102" i="1"/>
  <c r="AB101" i="1"/>
  <c r="AB99" i="1"/>
  <c r="AB98" i="1"/>
  <c r="AB97" i="1"/>
  <c r="AB96" i="1"/>
  <c r="AB95" i="1"/>
  <c r="AB93" i="1"/>
  <c r="AB92" i="1"/>
  <c r="AB91" i="1"/>
  <c r="AB90" i="1"/>
  <c r="AB89" i="1"/>
  <c r="AB87" i="1"/>
  <c r="AB86" i="1"/>
  <c r="AB85" i="1"/>
  <c r="AB84" i="1"/>
  <c r="AB83" i="1"/>
  <c r="AB81" i="1"/>
  <c r="AB80" i="1"/>
  <c r="AB79" i="1"/>
  <c r="AB78" i="1"/>
  <c r="AB77" i="1"/>
  <c r="AB75" i="1"/>
  <c r="AB74" i="1"/>
  <c r="AB73" i="1"/>
  <c r="AB72" i="1"/>
  <c r="AB71" i="1"/>
  <c r="AB69" i="1"/>
  <c r="AB68" i="1"/>
  <c r="AB67" i="1"/>
  <c r="AB66" i="1"/>
  <c r="AB65" i="1"/>
  <c r="AB63" i="1"/>
  <c r="AB62" i="1"/>
  <c r="AB61" i="1"/>
  <c r="AB60" i="1"/>
  <c r="AB59" i="1"/>
  <c r="AB57" i="1"/>
  <c r="AB56" i="1"/>
  <c r="AB55" i="1"/>
  <c r="AB54" i="1"/>
  <c r="AB53" i="1"/>
  <c r="AB51" i="1"/>
  <c r="AB50" i="1"/>
  <c r="AB49" i="1"/>
  <c r="AB48" i="1"/>
  <c r="AB47" i="1"/>
  <c r="AB45" i="1"/>
  <c r="AB44" i="1"/>
  <c r="AB43" i="1"/>
  <c r="AB42" i="1"/>
  <c r="AB41" i="1"/>
  <c r="AB39" i="1"/>
  <c r="AB38" i="1"/>
  <c r="AB37" i="1"/>
  <c r="AB36" i="1"/>
  <c r="AB35" i="1"/>
  <c r="AB33" i="1"/>
  <c r="AB32" i="1"/>
  <c r="AB31" i="1"/>
  <c r="AB30" i="1"/>
  <c r="AB28" i="1"/>
  <c r="AB27" i="1"/>
  <c r="AB26" i="1"/>
  <c r="AB25" i="1"/>
  <c r="AB24" i="1"/>
  <c r="AB178" i="1" l="1"/>
  <c r="AB10" i="1"/>
  <c r="Y176" i="1"/>
  <c r="Y175" i="1"/>
  <c r="Y171" i="1"/>
  <c r="Y170" i="1"/>
  <c r="Y165" i="1"/>
  <c r="Y164" i="1"/>
  <c r="Y159" i="1"/>
  <c r="Y158" i="1"/>
  <c r="Y153" i="1"/>
  <c r="Y152" i="1"/>
  <c r="Y135" i="1"/>
  <c r="Y134" i="1"/>
  <c r="Y129" i="1"/>
  <c r="Y128" i="1"/>
  <c r="Y123" i="1"/>
  <c r="Y122" i="1"/>
  <c r="Y117" i="1"/>
  <c r="Y116" i="1"/>
  <c r="Y111" i="1"/>
  <c r="Y110" i="1"/>
  <c r="Y105" i="1"/>
  <c r="Y104" i="1"/>
  <c r="Y99" i="1"/>
  <c r="Y98" i="1"/>
  <c r="Y93" i="1"/>
  <c r="Y92" i="1"/>
  <c r="Y87" i="1"/>
  <c r="Y86" i="1"/>
  <c r="Y81" i="1"/>
  <c r="Y80" i="1"/>
  <c r="Y75" i="1"/>
  <c r="Y74" i="1"/>
  <c r="Y69" i="1"/>
  <c r="Y68" i="1"/>
  <c r="Y63" i="1"/>
  <c r="Y62" i="1"/>
  <c r="Y61" i="1"/>
  <c r="Y57" i="1"/>
  <c r="Y56" i="1"/>
  <c r="Y51" i="1"/>
  <c r="Y50" i="1"/>
  <c r="Y45" i="1"/>
  <c r="Y44" i="1"/>
  <c r="Y39" i="1"/>
  <c r="Y38" i="1"/>
  <c r="Y33" i="1"/>
  <c r="Y32" i="1"/>
  <c r="Y35" i="1"/>
  <c r="Y28" i="1"/>
  <c r="Y27" i="1"/>
  <c r="Y26" i="1"/>
  <c r="K174" i="1"/>
  <c r="K175" i="1"/>
  <c r="K176" i="1"/>
  <c r="K177" i="1"/>
  <c r="K168" i="1"/>
  <c r="M169" i="1"/>
  <c r="N169" i="1" s="1"/>
  <c r="K170" i="1"/>
  <c r="K171" i="1"/>
  <c r="K162" i="1"/>
  <c r="K163" i="1"/>
  <c r="K164" i="1"/>
  <c r="K165" i="1"/>
  <c r="M156" i="1"/>
  <c r="N156" i="1" s="1"/>
  <c r="K157" i="1"/>
  <c r="K158" i="1"/>
  <c r="K159" i="1"/>
  <c r="M150" i="1"/>
  <c r="N150" i="1" s="1"/>
  <c r="K151" i="1"/>
  <c r="K152" i="1"/>
  <c r="K153" i="1"/>
  <c r="K131" i="1"/>
  <c r="M132" i="1"/>
  <c r="N132" i="1" s="1"/>
  <c r="K133" i="1"/>
  <c r="K134" i="1"/>
  <c r="K135" i="1"/>
  <c r="K129" i="1"/>
  <c r="M126" i="1"/>
  <c r="N126" i="1" s="1"/>
  <c r="K127" i="1"/>
  <c r="K128" i="1"/>
  <c r="M120" i="1"/>
  <c r="N120" i="1" s="1"/>
  <c r="K121" i="1"/>
  <c r="K122" i="1"/>
  <c r="K123" i="1"/>
  <c r="M114" i="1"/>
  <c r="N114" i="1" s="1"/>
  <c r="M115" i="1"/>
  <c r="N115" i="1" s="1"/>
  <c r="K116" i="1"/>
  <c r="K117" i="1"/>
  <c r="K108" i="1"/>
  <c r="M109" i="1"/>
  <c r="N109" i="1" s="1"/>
  <c r="K110" i="1"/>
  <c r="K102" i="1"/>
  <c r="K103" i="1"/>
  <c r="K104" i="1"/>
  <c r="K96" i="1"/>
  <c r="M97" i="1"/>
  <c r="N97" i="1" s="1"/>
  <c r="K98" i="1"/>
  <c r="K90" i="1"/>
  <c r="M91" i="1"/>
  <c r="N91" i="1" s="1"/>
  <c r="K92" i="1"/>
  <c r="M84" i="1"/>
  <c r="N84" i="1" s="1"/>
  <c r="K85" i="1"/>
  <c r="M78" i="1"/>
  <c r="N78" i="1" s="1"/>
  <c r="K79" i="1"/>
  <c r="K80" i="1"/>
  <c r="K81" i="1"/>
  <c r="K72" i="1"/>
  <c r="K73" i="1"/>
  <c r="K74" i="1"/>
  <c r="K75" i="1"/>
  <c r="M66" i="1"/>
  <c r="N66" i="1" s="1"/>
  <c r="K67" i="1"/>
  <c r="K60" i="1"/>
  <c r="M61" i="1"/>
  <c r="N61" i="1" s="1"/>
  <c r="K54" i="1"/>
  <c r="K55" i="1"/>
  <c r="M48" i="1"/>
  <c r="N48" i="1" s="1"/>
  <c r="K49" i="1"/>
  <c r="K42" i="1"/>
  <c r="M43" i="1"/>
  <c r="N43" i="1" s="1"/>
  <c r="M36" i="1"/>
  <c r="N36" i="1" s="1"/>
  <c r="K37" i="1"/>
  <c r="K38" i="1"/>
  <c r="K30" i="1"/>
  <c r="M31" i="1"/>
  <c r="N31" i="1" s="1"/>
  <c r="K32" i="1"/>
  <c r="K29" i="1"/>
  <c r="M24" i="1"/>
  <c r="N24" i="1" s="1"/>
  <c r="K25" i="1"/>
  <c r="K26" i="1"/>
  <c r="K27" i="1"/>
  <c r="M41" i="1" l="1"/>
  <c r="N41" i="1" s="1"/>
  <c r="AA186" i="1"/>
  <c r="K78" i="1"/>
  <c r="M79" i="1"/>
  <c r="N79" i="1" s="1"/>
  <c r="K120" i="1"/>
  <c r="K31" i="1"/>
  <c r="K115" i="1"/>
  <c r="M67" i="1"/>
  <c r="N67" i="1" s="1"/>
  <c r="K24" i="1"/>
  <c r="K43" i="1"/>
  <c r="K48" i="1"/>
  <c r="K61" i="1"/>
  <c r="M85" i="1"/>
  <c r="N85" i="1" s="1"/>
  <c r="K126" i="1"/>
  <c r="M131" i="1"/>
  <c r="N131" i="1" s="1"/>
  <c r="K41" i="1"/>
  <c r="M25" i="1"/>
  <c r="N25" i="1" s="1"/>
  <c r="M55" i="1"/>
  <c r="N55" i="1" s="1"/>
  <c r="K156" i="1"/>
  <c r="K91" i="1"/>
  <c r="M103" i="1"/>
  <c r="N103" i="1" s="1"/>
  <c r="K109" i="1"/>
  <c r="M37" i="1"/>
  <c r="N37" i="1" s="1"/>
  <c r="M73" i="1"/>
  <c r="N73" i="1" s="1"/>
  <c r="K97" i="1"/>
  <c r="M121" i="1"/>
  <c r="N121" i="1" s="1"/>
  <c r="M151" i="1"/>
  <c r="N151" i="1" s="1"/>
  <c r="M175" i="1"/>
  <c r="N175" i="1" s="1"/>
  <c r="M29" i="1"/>
  <c r="N29" i="1" s="1"/>
  <c r="K114" i="1"/>
  <c r="K169" i="1"/>
  <c r="K36" i="1"/>
  <c r="K66" i="1"/>
  <c r="K84" i="1"/>
  <c r="M133" i="1"/>
  <c r="N133" i="1" s="1"/>
  <c r="K150" i="1"/>
  <c r="M157" i="1"/>
  <c r="N157" i="1" s="1"/>
  <c r="M174" i="1"/>
  <c r="N174" i="1" s="1"/>
  <c r="M168" i="1"/>
  <c r="N168" i="1" s="1"/>
  <c r="M163" i="1"/>
  <c r="N163" i="1" s="1"/>
  <c r="M162" i="1"/>
  <c r="N162" i="1" s="1"/>
  <c r="K132" i="1"/>
  <c r="M127" i="1"/>
  <c r="N127" i="1" s="1"/>
  <c r="M108" i="1"/>
  <c r="N108" i="1" s="1"/>
  <c r="M102" i="1"/>
  <c r="N102" i="1" s="1"/>
  <c r="M96" i="1"/>
  <c r="N96" i="1" s="1"/>
  <c r="M90" i="1"/>
  <c r="N90" i="1" s="1"/>
  <c r="M72" i="1"/>
  <c r="N72" i="1" s="1"/>
  <c r="M60" i="1"/>
  <c r="N60" i="1" s="1"/>
  <c r="M54" i="1"/>
  <c r="N54" i="1" s="1"/>
  <c r="M49" i="1"/>
  <c r="N49" i="1" s="1"/>
  <c r="M42" i="1"/>
  <c r="N42" i="1" s="1"/>
  <c r="M30" i="1"/>
  <c r="N30" i="1" s="1"/>
  <c r="Y181" i="1" l="1"/>
  <c r="Y179" i="1"/>
  <c r="Z179" i="1" s="1"/>
  <c r="Y24" i="1"/>
  <c r="Y25" i="1"/>
  <c r="Y30" i="1"/>
  <c r="Y31" i="1"/>
  <c r="Y36" i="1"/>
  <c r="Y37" i="1"/>
  <c r="Y41" i="1"/>
  <c r="Y42" i="1"/>
  <c r="Y43" i="1"/>
  <c r="Y47" i="1"/>
  <c r="Y48" i="1"/>
  <c r="Y49" i="1"/>
  <c r="Y53" i="1"/>
  <c r="Y54" i="1"/>
  <c r="Y55" i="1"/>
  <c r="Y59" i="1"/>
  <c r="Y60" i="1"/>
  <c r="Y65" i="1"/>
  <c r="Y66" i="1"/>
  <c r="Y67" i="1"/>
  <c r="Y71" i="1"/>
  <c r="Y72" i="1"/>
  <c r="Y73" i="1"/>
  <c r="Y77" i="1"/>
  <c r="Y78" i="1"/>
  <c r="Y79" i="1"/>
  <c r="Y84" i="1"/>
  <c r="Y85" i="1"/>
  <c r="Y89" i="1"/>
  <c r="Y90" i="1"/>
  <c r="Y91" i="1"/>
  <c r="Y95" i="1"/>
  <c r="Y96" i="1"/>
  <c r="Y97" i="1"/>
  <c r="Y101" i="1"/>
  <c r="Y102" i="1"/>
  <c r="Y103" i="1"/>
  <c r="Y107" i="1"/>
  <c r="Y108" i="1"/>
  <c r="Y109" i="1"/>
  <c r="Y113" i="1"/>
  <c r="Y114" i="1"/>
  <c r="Y115" i="1"/>
  <c r="Y119" i="1"/>
  <c r="Y120" i="1"/>
  <c r="Y121" i="1"/>
  <c r="Y125" i="1"/>
  <c r="Y126" i="1"/>
  <c r="Y127" i="1"/>
  <c r="Y131" i="1"/>
  <c r="Y132" i="1"/>
  <c r="Y133" i="1"/>
  <c r="Y149" i="1"/>
  <c r="Y150" i="1"/>
  <c r="Y151" i="1"/>
  <c r="Y155" i="1"/>
  <c r="Y156" i="1"/>
  <c r="Y157" i="1"/>
  <c r="Y161" i="1"/>
  <c r="Y162" i="1"/>
  <c r="Y163" i="1"/>
  <c r="Y167" i="1"/>
  <c r="Y168" i="1"/>
  <c r="Y169" i="1"/>
  <c r="Y173" i="1"/>
  <c r="Y174" i="1"/>
  <c r="X178" i="1"/>
  <c r="Y178" i="1" s="1"/>
  <c r="Y10" i="1" l="1"/>
  <c r="X186" i="1" s="1"/>
  <c r="O178" i="1"/>
  <c r="U178" i="1"/>
  <c r="R178" i="1"/>
  <c r="V175" i="1"/>
  <c r="V174" i="1"/>
  <c r="V173" i="1"/>
  <c r="V172" i="1"/>
  <c r="V169" i="1"/>
  <c r="V168" i="1"/>
  <c r="V167" i="1"/>
  <c r="V166" i="1"/>
  <c r="V163" i="1"/>
  <c r="V162" i="1"/>
  <c r="V161" i="1"/>
  <c r="V160" i="1"/>
  <c r="V157" i="1"/>
  <c r="V156" i="1"/>
  <c r="V155" i="1"/>
  <c r="V154" i="1"/>
  <c r="V151" i="1"/>
  <c r="V150" i="1"/>
  <c r="V149" i="1"/>
  <c r="V148" i="1"/>
  <c r="V133" i="1"/>
  <c r="V132" i="1"/>
  <c r="V131" i="1"/>
  <c r="V130" i="1"/>
  <c r="V127" i="1"/>
  <c r="V126" i="1"/>
  <c r="V125" i="1"/>
  <c r="V124" i="1"/>
  <c r="V121" i="1"/>
  <c r="V120" i="1"/>
  <c r="V119" i="1"/>
  <c r="V118" i="1"/>
  <c r="V115" i="1"/>
  <c r="V114" i="1"/>
  <c r="V113" i="1"/>
  <c r="V112" i="1"/>
  <c r="V109" i="1"/>
  <c r="V108" i="1"/>
  <c r="V107" i="1"/>
  <c r="V106" i="1"/>
  <c r="V103" i="1"/>
  <c r="V102" i="1"/>
  <c r="V101" i="1"/>
  <c r="V100" i="1"/>
  <c r="V97" i="1"/>
  <c r="V96" i="1"/>
  <c r="V95" i="1"/>
  <c r="V94" i="1"/>
  <c r="V91" i="1"/>
  <c r="V90" i="1"/>
  <c r="V89" i="1"/>
  <c r="V88" i="1"/>
  <c r="V85" i="1"/>
  <c r="V84" i="1"/>
  <c r="V83" i="1"/>
  <c r="V82" i="1"/>
  <c r="V79" i="1"/>
  <c r="V78" i="1"/>
  <c r="V77" i="1"/>
  <c r="V76" i="1"/>
  <c r="V73" i="1"/>
  <c r="V72" i="1"/>
  <c r="V71" i="1"/>
  <c r="V70" i="1"/>
  <c r="V67" i="1"/>
  <c r="V66" i="1"/>
  <c r="V65" i="1"/>
  <c r="V64" i="1"/>
  <c r="V61" i="1"/>
  <c r="V60" i="1"/>
  <c r="V59" i="1"/>
  <c r="V58" i="1"/>
  <c r="V55" i="1"/>
  <c r="V54" i="1"/>
  <c r="V53" i="1"/>
  <c r="V52" i="1"/>
  <c r="V49" i="1"/>
  <c r="V48" i="1"/>
  <c r="V47" i="1"/>
  <c r="V46" i="1"/>
  <c r="V43" i="1"/>
  <c r="V42" i="1"/>
  <c r="V41" i="1"/>
  <c r="V40" i="1"/>
  <c r="V37" i="1"/>
  <c r="V36" i="1"/>
  <c r="V35" i="1"/>
  <c r="V34" i="1"/>
  <c r="V31" i="1"/>
  <c r="V30" i="1"/>
  <c r="V29" i="1"/>
  <c r="V25" i="1"/>
  <c r="V24" i="1"/>
  <c r="V23" i="1"/>
  <c r="J178" i="1" l="1"/>
  <c r="V181" i="1" l="1"/>
  <c r="F130" i="1" l="1"/>
  <c r="F135" i="1" l="1"/>
  <c r="F134" i="1"/>
  <c r="I134" i="1" l="1"/>
  <c r="M134" i="1"/>
  <c r="N134" i="1" s="1"/>
  <c r="M135" i="1"/>
  <c r="N135" i="1" s="1"/>
  <c r="I135" i="1"/>
  <c r="I178" i="1"/>
  <c r="AI178" i="1" s="1"/>
  <c r="S178" i="1"/>
  <c r="V178" i="1"/>
  <c r="U186" i="1" s="1"/>
  <c r="I181" i="1"/>
  <c r="AF181" i="1" l="1"/>
  <c r="AI181" i="1"/>
  <c r="AL181" i="1"/>
  <c r="AL135" i="1"/>
  <c r="AI135" i="1"/>
  <c r="AL134" i="1"/>
  <c r="AI134" i="1"/>
  <c r="AC135" i="1"/>
  <c r="AF135" i="1"/>
  <c r="AC134" i="1"/>
  <c r="AF134" i="1"/>
  <c r="Z181" i="1"/>
  <c r="AC181" i="1"/>
  <c r="L135" i="1"/>
  <c r="Z135" i="1"/>
  <c r="Z134" i="1"/>
  <c r="L134" i="1"/>
  <c r="Q178" i="1"/>
  <c r="AK178" i="1" s="1"/>
  <c r="W178" i="1"/>
  <c r="T178" i="1"/>
  <c r="AL178" i="1" l="1"/>
  <c r="AJ186" i="1"/>
  <c r="J186" i="1" s="1"/>
  <c r="S175" i="1"/>
  <c r="P175" i="1"/>
  <c r="I175" i="1"/>
  <c r="S174" i="1"/>
  <c r="P174" i="1"/>
  <c r="I174" i="1"/>
  <c r="S173" i="1"/>
  <c r="P173" i="1"/>
  <c r="I173" i="1"/>
  <c r="F172" i="1"/>
  <c r="S163" i="1"/>
  <c r="P163" i="1"/>
  <c r="I163" i="1"/>
  <c r="S162" i="1"/>
  <c r="P162" i="1"/>
  <c r="I162" i="1"/>
  <c r="S161" i="1"/>
  <c r="P161" i="1"/>
  <c r="I161" i="1"/>
  <c r="F160" i="1"/>
  <c r="AI174" i="1" l="1"/>
  <c r="AL174" i="1"/>
  <c r="AI162" i="1"/>
  <c r="AL162" i="1"/>
  <c r="AL161" i="1"/>
  <c r="AI161" i="1"/>
  <c r="AL175" i="1"/>
  <c r="AI175" i="1"/>
  <c r="AI163" i="1"/>
  <c r="AL163" i="1"/>
  <c r="AI173" i="1"/>
  <c r="AL173" i="1"/>
  <c r="AC175" i="1"/>
  <c r="AF175" i="1"/>
  <c r="AC174" i="1"/>
  <c r="AF174" i="1"/>
  <c r="AC162" i="1"/>
  <c r="AF162" i="1"/>
  <c r="AC163" i="1"/>
  <c r="AF163" i="1"/>
  <c r="AC161" i="1"/>
  <c r="AF161" i="1"/>
  <c r="AC173" i="1"/>
  <c r="AF173" i="1"/>
  <c r="L162" i="1"/>
  <c r="L174" i="1"/>
  <c r="L163" i="1"/>
  <c r="F165" i="1"/>
  <c r="F164" i="1"/>
  <c r="Z175" i="1"/>
  <c r="L175" i="1"/>
  <c r="F177" i="1"/>
  <c r="F176" i="1"/>
  <c r="Q162" i="1"/>
  <c r="T162" i="1"/>
  <c r="T161" i="1"/>
  <c r="T163" i="1"/>
  <c r="T173" i="1"/>
  <c r="T175" i="1"/>
  <c r="T174" i="1"/>
  <c r="Q174" i="1"/>
  <c r="Q173" i="1"/>
  <c r="W174" i="1"/>
  <c r="W173" i="1"/>
  <c r="Q175" i="1"/>
  <c r="W175" i="1"/>
  <c r="W163" i="1"/>
  <c r="Q161" i="1"/>
  <c r="W161" i="1"/>
  <c r="W162" i="1"/>
  <c r="Q163" i="1"/>
  <c r="M176" i="1" l="1"/>
  <c r="N176" i="1" s="1"/>
  <c r="I176" i="1"/>
  <c r="I177" i="1"/>
  <c r="M177" i="1"/>
  <c r="N177" i="1" s="1"/>
  <c r="I164" i="1"/>
  <c r="M164" i="1"/>
  <c r="N164" i="1" s="1"/>
  <c r="I165" i="1"/>
  <c r="M165" i="1"/>
  <c r="N165" i="1" s="1"/>
  <c r="AI165" i="1" l="1"/>
  <c r="AL165" i="1"/>
  <c r="AI164" i="1"/>
  <c r="AL164" i="1"/>
  <c r="AF177" i="1"/>
  <c r="AI177" i="1"/>
  <c r="AL177" i="1"/>
  <c r="AI176" i="1"/>
  <c r="AL176" i="1"/>
  <c r="AC165" i="1"/>
  <c r="AF165" i="1"/>
  <c r="AC176" i="1"/>
  <c r="AF176" i="1"/>
  <c r="AC164" i="1"/>
  <c r="AF164" i="1"/>
  <c r="L177" i="1"/>
  <c r="AC177" i="1"/>
  <c r="L164" i="1"/>
  <c r="Z164" i="1"/>
  <c r="I160" i="1"/>
  <c r="L176" i="1"/>
  <c r="Z176" i="1"/>
  <c r="I172" i="1"/>
  <c r="L165" i="1"/>
  <c r="Z165" i="1"/>
  <c r="AI172" i="1" l="1"/>
  <c r="AL172" i="1"/>
  <c r="AL160" i="1"/>
  <c r="AI160" i="1"/>
  <c r="AH189" i="1"/>
  <c r="AK189" i="1"/>
  <c r="AC172" i="1"/>
  <c r="AF172" i="1"/>
  <c r="AC160" i="1"/>
  <c r="AF160" i="1"/>
  <c r="V189" i="1"/>
  <c r="S23" i="1"/>
  <c r="S24" i="1"/>
  <c r="S25" i="1"/>
  <c r="S29" i="1"/>
  <c r="S30" i="1"/>
  <c r="S31" i="1"/>
  <c r="S35" i="1"/>
  <c r="S36" i="1"/>
  <c r="S37" i="1"/>
  <c r="S41" i="1"/>
  <c r="S42" i="1"/>
  <c r="S43" i="1"/>
  <c r="S47" i="1"/>
  <c r="S48" i="1"/>
  <c r="S49" i="1"/>
  <c r="S53" i="1"/>
  <c r="S54" i="1"/>
  <c r="S55" i="1"/>
  <c r="S59" i="1"/>
  <c r="S60" i="1"/>
  <c r="S61" i="1"/>
  <c r="S65" i="1"/>
  <c r="S66" i="1"/>
  <c r="S67" i="1"/>
  <c r="S71" i="1"/>
  <c r="S72" i="1"/>
  <c r="S73" i="1"/>
  <c r="S77" i="1"/>
  <c r="S78" i="1"/>
  <c r="S79" i="1"/>
  <c r="S83" i="1"/>
  <c r="S84" i="1"/>
  <c r="S85" i="1"/>
  <c r="S89" i="1"/>
  <c r="S90" i="1"/>
  <c r="S91" i="1"/>
  <c r="S95" i="1"/>
  <c r="S96" i="1"/>
  <c r="S97" i="1"/>
  <c r="S101" i="1"/>
  <c r="S102" i="1"/>
  <c r="S103" i="1"/>
  <c r="S107" i="1"/>
  <c r="S108" i="1"/>
  <c r="S109" i="1"/>
  <c r="S113" i="1"/>
  <c r="S114" i="1"/>
  <c r="S115" i="1"/>
  <c r="S119" i="1"/>
  <c r="S120" i="1"/>
  <c r="S121" i="1"/>
  <c r="S125" i="1"/>
  <c r="S126" i="1"/>
  <c r="S127" i="1"/>
  <c r="S131" i="1"/>
  <c r="S132" i="1"/>
  <c r="S133" i="1"/>
  <c r="S149" i="1"/>
  <c r="S150" i="1"/>
  <c r="S151" i="1"/>
  <c r="S155" i="1"/>
  <c r="S156" i="1"/>
  <c r="S157" i="1"/>
  <c r="S167" i="1"/>
  <c r="S168" i="1"/>
  <c r="S169" i="1"/>
  <c r="P23" i="1"/>
  <c r="P24" i="1"/>
  <c r="P25" i="1"/>
  <c r="P29" i="1"/>
  <c r="P30" i="1"/>
  <c r="P31" i="1"/>
  <c r="P35" i="1"/>
  <c r="P36" i="1"/>
  <c r="P37" i="1"/>
  <c r="P41" i="1"/>
  <c r="P42" i="1"/>
  <c r="P43" i="1"/>
  <c r="P47" i="1"/>
  <c r="P48" i="1"/>
  <c r="P49" i="1"/>
  <c r="P53" i="1"/>
  <c r="P54" i="1"/>
  <c r="P55" i="1"/>
  <c r="P59" i="1"/>
  <c r="P60" i="1"/>
  <c r="P61" i="1"/>
  <c r="P65" i="1"/>
  <c r="P66" i="1"/>
  <c r="P67" i="1"/>
  <c r="P71" i="1"/>
  <c r="P72" i="1"/>
  <c r="P73" i="1"/>
  <c r="P77" i="1"/>
  <c r="P78" i="1"/>
  <c r="P79" i="1"/>
  <c r="P83" i="1"/>
  <c r="P84" i="1"/>
  <c r="P85" i="1"/>
  <c r="P89" i="1"/>
  <c r="P90" i="1"/>
  <c r="P91" i="1"/>
  <c r="P95" i="1"/>
  <c r="P96" i="1"/>
  <c r="P97" i="1"/>
  <c r="P101" i="1"/>
  <c r="P102" i="1"/>
  <c r="P103" i="1"/>
  <c r="P107" i="1"/>
  <c r="P108" i="1"/>
  <c r="P109" i="1"/>
  <c r="P113" i="1"/>
  <c r="P114" i="1"/>
  <c r="P115" i="1"/>
  <c r="P119" i="1"/>
  <c r="P120" i="1"/>
  <c r="P121" i="1"/>
  <c r="P125" i="1"/>
  <c r="P126" i="1"/>
  <c r="P127" i="1"/>
  <c r="P131" i="1"/>
  <c r="P132" i="1"/>
  <c r="P133" i="1"/>
  <c r="P149" i="1"/>
  <c r="P150" i="1"/>
  <c r="P151" i="1"/>
  <c r="P155" i="1"/>
  <c r="P156" i="1"/>
  <c r="P157" i="1"/>
  <c r="P167" i="1"/>
  <c r="P168" i="1"/>
  <c r="P169" i="1"/>
  <c r="F166" i="1"/>
  <c r="F154" i="1"/>
  <c r="F148" i="1"/>
  <c r="I23" i="1"/>
  <c r="I24" i="1"/>
  <c r="I25" i="1"/>
  <c r="I29" i="1"/>
  <c r="I30" i="1"/>
  <c r="I31" i="1"/>
  <c r="I35" i="1"/>
  <c r="I36" i="1"/>
  <c r="I37" i="1"/>
  <c r="I41" i="1"/>
  <c r="I42" i="1"/>
  <c r="I43" i="1"/>
  <c r="I47" i="1"/>
  <c r="I48" i="1"/>
  <c r="I49" i="1"/>
  <c r="I53" i="1"/>
  <c r="I54" i="1"/>
  <c r="I55" i="1"/>
  <c r="I59" i="1"/>
  <c r="I60" i="1"/>
  <c r="I61" i="1"/>
  <c r="I65" i="1"/>
  <c r="I66" i="1"/>
  <c r="I67" i="1"/>
  <c r="I71" i="1"/>
  <c r="I72" i="1"/>
  <c r="I73" i="1"/>
  <c r="I77" i="1"/>
  <c r="I78" i="1"/>
  <c r="I79" i="1"/>
  <c r="I83" i="1"/>
  <c r="I84" i="1"/>
  <c r="I85" i="1"/>
  <c r="I89" i="1"/>
  <c r="I90" i="1"/>
  <c r="I91" i="1"/>
  <c r="I95" i="1"/>
  <c r="I96" i="1"/>
  <c r="I97" i="1"/>
  <c r="I101" i="1"/>
  <c r="I102" i="1"/>
  <c r="I103" i="1"/>
  <c r="I107" i="1"/>
  <c r="I108" i="1"/>
  <c r="I109" i="1"/>
  <c r="I113" i="1"/>
  <c r="I114" i="1"/>
  <c r="I115" i="1"/>
  <c r="I119" i="1"/>
  <c r="I120" i="1"/>
  <c r="I121" i="1"/>
  <c r="I125" i="1"/>
  <c r="I126" i="1"/>
  <c r="I127" i="1"/>
  <c r="I131" i="1"/>
  <c r="I132" i="1"/>
  <c r="I133" i="1"/>
  <c r="I149" i="1"/>
  <c r="I150" i="1"/>
  <c r="I151" i="1"/>
  <c r="I155" i="1"/>
  <c r="I156" i="1"/>
  <c r="I157" i="1"/>
  <c r="I167" i="1"/>
  <c r="I168" i="1"/>
  <c r="I169" i="1"/>
  <c r="F124" i="1"/>
  <c r="F118" i="1"/>
  <c r="F112" i="1"/>
  <c r="F106" i="1"/>
  <c r="F94" i="1"/>
  <c r="F100" i="1"/>
  <c r="F88" i="1"/>
  <c r="F82" i="1"/>
  <c r="F64" i="1"/>
  <c r="F58" i="1"/>
  <c r="F52" i="1"/>
  <c r="F46" i="1"/>
  <c r="F40" i="1"/>
  <c r="F28" i="1"/>
  <c r="F34" i="1"/>
  <c r="F10" i="1" l="1"/>
  <c r="I10" i="1" s="1"/>
  <c r="R186" i="1"/>
  <c r="O186" i="1"/>
  <c r="AI133" i="1"/>
  <c r="AL133" i="1"/>
  <c r="AI71" i="1"/>
  <c r="AL71" i="1"/>
  <c r="AL101" i="1"/>
  <c r="AI101" i="1"/>
  <c r="AL157" i="1"/>
  <c r="AI157" i="1"/>
  <c r="AL131" i="1"/>
  <c r="AI131" i="1"/>
  <c r="AL114" i="1"/>
  <c r="AI114" i="1"/>
  <c r="AL97" i="1"/>
  <c r="AI97" i="1"/>
  <c r="AL83" i="1"/>
  <c r="AI83" i="1"/>
  <c r="AL66" i="1"/>
  <c r="AI66" i="1"/>
  <c r="AI49" i="1"/>
  <c r="AL49" i="1"/>
  <c r="AL35" i="1"/>
  <c r="AI35" i="1"/>
  <c r="AI103" i="1"/>
  <c r="AL103" i="1"/>
  <c r="AL41" i="1"/>
  <c r="AI41" i="1"/>
  <c r="AL119" i="1"/>
  <c r="AI119" i="1"/>
  <c r="AL23" i="1"/>
  <c r="AI23" i="1"/>
  <c r="AL167" i="1"/>
  <c r="AI167" i="1"/>
  <c r="AL84" i="1"/>
  <c r="AI84" i="1"/>
  <c r="AI156" i="1"/>
  <c r="AL156" i="1"/>
  <c r="AI127" i="1"/>
  <c r="AL127" i="1"/>
  <c r="AI113" i="1"/>
  <c r="AL113" i="1"/>
  <c r="AL96" i="1"/>
  <c r="AI96" i="1"/>
  <c r="AL79" i="1"/>
  <c r="AI79" i="1"/>
  <c r="AI65" i="1"/>
  <c r="AL65" i="1"/>
  <c r="AI48" i="1"/>
  <c r="AL48" i="1"/>
  <c r="AI31" i="1"/>
  <c r="AL31" i="1"/>
  <c r="AI149" i="1"/>
  <c r="AL149" i="1"/>
  <c r="AL89" i="1"/>
  <c r="AI89" i="1"/>
  <c r="AI55" i="1"/>
  <c r="AL55" i="1"/>
  <c r="AI24" i="1"/>
  <c r="AL24" i="1"/>
  <c r="AI102" i="1"/>
  <c r="AL102" i="1"/>
  <c r="AI54" i="1"/>
  <c r="AL54" i="1"/>
  <c r="AL132" i="1"/>
  <c r="AI132" i="1"/>
  <c r="AI36" i="1"/>
  <c r="AL36" i="1"/>
  <c r="AI155" i="1"/>
  <c r="AL155" i="1"/>
  <c r="AI126" i="1"/>
  <c r="AL126" i="1"/>
  <c r="AL109" i="1"/>
  <c r="AI109" i="1"/>
  <c r="AI95" i="1"/>
  <c r="AL95" i="1"/>
  <c r="AL78" i="1"/>
  <c r="AI78" i="1"/>
  <c r="AL61" i="1"/>
  <c r="AI61" i="1"/>
  <c r="AL47" i="1"/>
  <c r="AI47" i="1"/>
  <c r="AI30" i="1"/>
  <c r="AL30" i="1"/>
  <c r="AL169" i="1"/>
  <c r="AI169" i="1"/>
  <c r="AI120" i="1"/>
  <c r="AL120" i="1"/>
  <c r="AL72" i="1"/>
  <c r="AI72" i="1"/>
  <c r="AL85" i="1"/>
  <c r="AI85" i="1"/>
  <c r="AI37" i="1"/>
  <c r="AL37" i="1"/>
  <c r="AI115" i="1"/>
  <c r="AL115" i="1"/>
  <c r="AI53" i="1"/>
  <c r="AL53" i="1"/>
  <c r="AI151" i="1"/>
  <c r="AL151" i="1"/>
  <c r="AI125" i="1"/>
  <c r="AL125" i="1"/>
  <c r="AI108" i="1"/>
  <c r="AL108" i="1"/>
  <c r="AL91" i="1"/>
  <c r="AI91" i="1"/>
  <c r="AL77" i="1"/>
  <c r="AI77" i="1"/>
  <c r="AI60" i="1"/>
  <c r="AL60" i="1"/>
  <c r="AI43" i="1"/>
  <c r="AL43" i="1"/>
  <c r="AL29" i="1"/>
  <c r="AI29" i="1"/>
  <c r="AL168" i="1"/>
  <c r="AI168" i="1"/>
  <c r="AI67" i="1"/>
  <c r="AL67" i="1"/>
  <c r="AI150" i="1"/>
  <c r="AL150" i="1"/>
  <c r="AL121" i="1"/>
  <c r="AI121" i="1"/>
  <c r="AL107" i="1"/>
  <c r="AI107" i="1"/>
  <c r="AL90" i="1"/>
  <c r="AI90" i="1"/>
  <c r="AL73" i="1"/>
  <c r="AI73" i="1"/>
  <c r="AI59" i="1"/>
  <c r="AL59" i="1"/>
  <c r="AI42" i="1"/>
  <c r="AL42" i="1"/>
  <c r="AI25" i="1"/>
  <c r="AL25" i="1"/>
  <c r="AC168" i="1"/>
  <c r="AF168" i="1"/>
  <c r="AC23" i="1"/>
  <c r="AF23" i="1"/>
  <c r="AC84" i="1"/>
  <c r="AF84" i="1"/>
  <c r="AC120" i="1"/>
  <c r="AF120" i="1"/>
  <c r="AC54" i="1"/>
  <c r="AF54" i="1"/>
  <c r="AC167" i="1"/>
  <c r="AF167" i="1"/>
  <c r="AC36" i="1"/>
  <c r="AF36" i="1"/>
  <c r="AC157" i="1"/>
  <c r="AF157" i="1"/>
  <c r="AC131" i="1"/>
  <c r="AF131" i="1"/>
  <c r="AC114" i="1"/>
  <c r="AF114" i="1"/>
  <c r="AC97" i="1"/>
  <c r="AF97" i="1"/>
  <c r="AC83" i="1"/>
  <c r="AF83" i="1"/>
  <c r="AC66" i="1"/>
  <c r="AF66" i="1"/>
  <c r="AC49" i="1"/>
  <c r="AF49" i="1"/>
  <c r="AC35" i="1"/>
  <c r="AF35" i="1"/>
  <c r="AC89" i="1"/>
  <c r="AF89" i="1"/>
  <c r="AC24" i="1"/>
  <c r="AF24" i="1"/>
  <c r="AC102" i="1"/>
  <c r="AF102" i="1"/>
  <c r="AC37" i="1"/>
  <c r="AF37" i="1"/>
  <c r="AC67" i="1"/>
  <c r="AF67" i="1"/>
  <c r="AC156" i="1"/>
  <c r="AF156" i="1"/>
  <c r="AC127" i="1"/>
  <c r="AF127" i="1"/>
  <c r="AC113" i="1"/>
  <c r="AF113" i="1"/>
  <c r="AC96" i="1"/>
  <c r="AF96" i="1"/>
  <c r="AC79" i="1"/>
  <c r="AF79" i="1"/>
  <c r="AC65" i="1"/>
  <c r="AF65" i="1"/>
  <c r="AC48" i="1"/>
  <c r="AF48" i="1"/>
  <c r="AC31" i="1"/>
  <c r="AF31" i="1"/>
  <c r="AC169" i="1"/>
  <c r="AF169" i="1"/>
  <c r="AC72" i="1"/>
  <c r="AF72" i="1"/>
  <c r="AC133" i="1"/>
  <c r="AF133" i="1"/>
  <c r="AC101" i="1"/>
  <c r="AF101" i="1"/>
  <c r="AC155" i="1"/>
  <c r="AF155" i="1"/>
  <c r="AC126" i="1"/>
  <c r="AF126" i="1"/>
  <c r="AC109" i="1"/>
  <c r="AF109" i="1"/>
  <c r="AC95" i="1"/>
  <c r="AF95" i="1"/>
  <c r="AC78" i="1"/>
  <c r="AF78" i="1"/>
  <c r="AC61" i="1"/>
  <c r="AF61" i="1"/>
  <c r="AC47" i="1"/>
  <c r="AF47" i="1"/>
  <c r="AC30" i="1"/>
  <c r="AF30" i="1"/>
  <c r="AC149" i="1"/>
  <c r="AF149" i="1"/>
  <c r="AC55" i="1"/>
  <c r="AF55" i="1"/>
  <c r="AC85" i="1"/>
  <c r="AF85" i="1"/>
  <c r="AC115" i="1"/>
  <c r="AF115" i="1"/>
  <c r="AC53" i="1"/>
  <c r="AF53" i="1"/>
  <c r="AC151" i="1"/>
  <c r="AF151" i="1"/>
  <c r="AC125" i="1"/>
  <c r="AF125" i="1"/>
  <c r="AC108" i="1"/>
  <c r="AF108" i="1"/>
  <c r="AC91" i="1"/>
  <c r="AF91" i="1"/>
  <c r="AC77" i="1"/>
  <c r="AF77" i="1"/>
  <c r="AC60" i="1"/>
  <c r="AF60" i="1"/>
  <c r="AC43" i="1"/>
  <c r="AF43" i="1"/>
  <c r="AC29" i="1"/>
  <c r="AF29" i="1"/>
  <c r="AC103" i="1"/>
  <c r="AF103" i="1"/>
  <c r="AC41" i="1"/>
  <c r="AF41" i="1"/>
  <c r="AC119" i="1"/>
  <c r="AF119" i="1"/>
  <c r="AC71" i="1"/>
  <c r="AF71" i="1"/>
  <c r="AC132" i="1"/>
  <c r="AF132" i="1"/>
  <c r="AC150" i="1"/>
  <c r="AF150" i="1"/>
  <c r="AC121" i="1"/>
  <c r="AF121" i="1"/>
  <c r="AC107" i="1"/>
  <c r="AF107" i="1"/>
  <c r="AC90" i="1"/>
  <c r="AF90" i="1"/>
  <c r="AC73" i="1"/>
  <c r="AF73" i="1"/>
  <c r="AC59" i="1"/>
  <c r="AF59" i="1"/>
  <c r="AC42" i="1"/>
  <c r="AF42" i="1"/>
  <c r="AC25" i="1"/>
  <c r="AF25" i="1"/>
  <c r="L102" i="1"/>
  <c r="L49" i="1"/>
  <c r="L132" i="1"/>
  <c r="L115" i="1"/>
  <c r="L84" i="1"/>
  <c r="L67" i="1"/>
  <c r="L36" i="1"/>
  <c r="L157" i="1"/>
  <c r="L114" i="1"/>
  <c r="L97" i="1"/>
  <c r="L66" i="1"/>
  <c r="Z35" i="1"/>
  <c r="L156" i="1"/>
  <c r="L127" i="1"/>
  <c r="L96" i="1"/>
  <c r="L79" i="1"/>
  <c r="L48" i="1"/>
  <c r="L31" i="1"/>
  <c r="L168" i="1"/>
  <c r="L54" i="1"/>
  <c r="L109" i="1"/>
  <c r="L78" i="1"/>
  <c r="L30" i="1"/>
  <c r="L108" i="1"/>
  <c r="L91" i="1"/>
  <c r="L60" i="1"/>
  <c r="L43" i="1"/>
  <c r="L133" i="1"/>
  <c r="L37" i="1"/>
  <c r="L150" i="1"/>
  <c r="L90" i="1"/>
  <c r="L42" i="1"/>
  <c r="L25" i="1"/>
  <c r="L85" i="1"/>
  <c r="L126" i="1"/>
  <c r="L151" i="1"/>
  <c r="L121" i="1"/>
  <c r="L73" i="1"/>
  <c r="L169" i="1"/>
  <c r="L120" i="1"/>
  <c r="L103" i="1"/>
  <c r="L72" i="1"/>
  <c r="L55" i="1"/>
  <c r="L24" i="1"/>
  <c r="F50" i="1"/>
  <c r="AD50" i="1" s="1"/>
  <c r="F51" i="1"/>
  <c r="AD51" i="1" s="1"/>
  <c r="F105" i="1"/>
  <c r="AD105" i="1" s="1"/>
  <c r="F104" i="1"/>
  <c r="F110" i="1"/>
  <c r="F111" i="1"/>
  <c r="AD111" i="1" s="1"/>
  <c r="F69" i="1"/>
  <c r="AD69" i="1" s="1"/>
  <c r="F68" i="1"/>
  <c r="AD68" i="1" s="1"/>
  <c r="F57" i="1"/>
  <c r="AD57" i="1" s="1"/>
  <c r="F56" i="1"/>
  <c r="AD56" i="1" s="1"/>
  <c r="F62" i="1"/>
  <c r="AD62" i="1" s="1"/>
  <c r="F63" i="1"/>
  <c r="AD63" i="1" s="1"/>
  <c r="F117" i="1"/>
  <c r="F116" i="1"/>
  <c r="L29" i="1"/>
  <c r="F98" i="1"/>
  <c r="F99" i="1"/>
  <c r="AD99" i="1" s="1"/>
  <c r="L61" i="1"/>
  <c r="Z61" i="1"/>
  <c r="F122" i="1"/>
  <c r="F123" i="1"/>
  <c r="F129" i="1"/>
  <c r="F128" i="1"/>
  <c r="F159" i="1"/>
  <c r="F158" i="1"/>
  <c r="I130" i="1"/>
  <c r="L131" i="1"/>
  <c r="F153" i="1"/>
  <c r="F152" i="1"/>
  <c r="F33" i="1"/>
  <c r="AD33" i="1" s="1"/>
  <c r="F32" i="1"/>
  <c r="L41" i="1"/>
  <c r="F171" i="1"/>
  <c r="F170" i="1"/>
  <c r="F39" i="1"/>
  <c r="AD39" i="1" s="1"/>
  <c r="F38" i="1"/>
  <c r="F87" i="1"/>
  <c r="AD87" i="1" s="1"/>
  <c r="F86" i="1"/>
  <c r="AD86" i="1" s="1"/>
  <c r="F45" i="1"/>
  <c r="AD45" i="1" s="1"/>
  <c r="F44" i="1"/>
  <c r="AD44" i="1" s="1"/>
  <c r="F93" i="1"/>
  <c r="AD93" i="1" s="1"/>
  <c r="F92" i="1"/>
  <c r="T150" i="1"/>
  <c r="T114" i="1"/>
  <c r="T102" i="1"/>
  <c r="T90" i="1"/>
  <c r="T66" i="1"/>
  <c r="T54" i="1"/>
  <c r="T42" i="1"/>
  <c r="W157" i="1"/>
  <c r="W133" i="1"/>
  <c r="W121" i="1"/>
  <c r="W97" i="1"/>
  <c r="W85" i="1"/>
  <c r="W73" i="1"/>
  <c r="W49" i="1"/>
  <c r="W37" i="1"/>
  <c r="W25" i="1"/>
  <c r="T120" i="1"/>
  <c r="T96" i="1"/>
  <c r="T72" i="1"/>
  <c r="T48" i="1"/>
  <c r="T24" i="1"/>
  <c r="Q31" i="1"/>
  <c r="Q155" i="1"/>
  <c r="Q131" i="1"/>
  <c r="Q119" i="1"/>
  <c r="Q107" i="1"/>
  <c r="Q83" i="1"/>
  <c r="Q71" i="1"/>
  <c r="Q59" i="1"/>
  <c r="Q35" i="1"/>
  <c r="Q23" i="1"/>
  <c r="T169" i="1"/>
  <c r="T151" i="1"/>
  <c r="T127" i="1"/>
  <c r="T115" i="1"/>
  <c r="T91" i="1"/>
  <c r="T79" i="1"/>
  <c r="T67" i="1"/>
  <c r="T43" i="1"/>
  <c r="T31" i="1"/>
  <c r="T156" i="1"/>
  <c r="T132" i="1"/>
  <c r="T108" i="1"/>
  <c r="T84" i="1"/>
  <c r="T60" i="1"/>
  <c r="T36" i="1"/>
  <c r="Q156" i="1"/>
  <c r="Q132" i="1"/>
  <c r="Q120" i="1"/>
  <c r="Q108" i="1"/>
  <c r="Q96" i="1"/>
  <c r="Q84" i="1"/>
  <c r="Q72" i="1"/>
  <c r="Q60" i="1"/>
  <c r="Q48" i="1"/>
  <c r="Q36" i="1"/>
  <c r="Q24" i="1"/>
  <c r="W167" i="1"/>
  <c r="W149" i="1"/>
  <c r="W125" i="1"/>
  <c r="W113" i="1"/>
  <c r="W101" i="1"/>
  <c r="W89" i="1"/>
  <c r="W77" i="1"/>
  <c r="W65" i="1"/>
  <c r="W53" i="1"/>
  <c r="W41" i="1"/>
  <c r="W29" i="1"/>
  <c r="Q169" i="1"/>
  <c r="Q151" i="1"/>
  <c r="Q127" i="1"/>
  <c r="Q115" i="1"/>
  <c r="Q103" i="1"/>
  <c r="Q91" i="1"/>
  <c r="Q79" i="1"/>
  <c r="Q67" i="1"/>
  <c r="Q55" i="1"/>
  <c r="Q43" i="1"/>
  <c r="T167" i="1"/>
  <c r="T149" i="1"/>
  <c r="T125" i="1"/>
  <c r="T113" i="1"/>
  <c r="T101" i="1"/>
  <c r="T89" i="1"/>
  <c r="T77" i="1"/>
  <c r="T65" i="1"/>
  <c r="T53" i="1"/>
  <c r="T41" i="1"/>
  <c r="T29" i="1"/>
  <c r="W156" i="1"/>
  <c r="W132" i="1"/>
  <c r="W120" i="1"/>
  <c r="W108" i="1"/>
  <c r="W96" i="1"/>
  <c r="W84" i="1"/>
  <c r="W72" i="1"/>
  <c r="W60" i="1"/>
  <c r="W48" i="1"/>
  <c r="W36" i="1"/>
  <c r="W24" i="1"/>
  <c r="Q47" i="1"/>
  <c r="T168" i="1"/>
  <c r="T126" i="1"/>
  <c r="T103" i="1"/>
  <c r="T55" i="1"/>
  <c r="Q168" i="1"/>
  <c r="Q150" i="1"/>
  <c r="Q126" i="1"/>
  <c r="Q114" i="1"/>
  <c r="Q102" i="1"/>
  <c r="Q90" i="1"/>
  <c r="Q78" i="1"/>
  <c r="Q66" i="1"/>
  <c r="Q54" i="1"/>
  <c r="Q42" i="1"/>
  <c r="Q30" i="1"/>
  <c r="W155" i="1"/>
  <c r="W131" i="1"/>
  <c r="W119" i="1"/>
  <c r="W107" i="1"/>
  <c r="W95" i="1"/>
  <c r="W83" i="1"/>
  <c r="W71" i="1"/>
  <c r="W59" i="1"/>
  <c r="W47" i="1"/>
  <c r="W35" i="1"/>
  <c r="W23" i="1"/>
  <c r="T78" i="1"/>
  <c r="T30" i="1"/>
  <c r="W109" i="1"/>
  <c r="W61" i="1"/>
  <c r="Q167" i="1"/>
  <c r="Q149" i="1"/>
  <c r="Q125" i="1"/>
  <c r="Q113" i="1"/>
  <c r="Q101" i="1"/>
  <c r="Q89" i="1"/>
  <c r="Q77" i="1"/>
  <c r="Q65" i="1"/>
  <c r="Q53" i="1"/>
  <c r="Q41" i="1"/>
  <c r="Q29" i="1"/>
  <c r="T157" i="1"/>
  <c r="T133" i="1"/>
  <c r="T121" i="1"/>
  <c r="T109" i="1"/>
  <c r="T97" i="1"/>
  <c r="T85" i="1"/>
  <c r="T73" i="1"/>
  <c r="T61" i="1"/>
  <c r="T49" i="1"/>
  <c r="T37" i="1"/>
  <c r="T25" i="1"/>
  <c r="W169" i="1"/>
  <c r="W151" i="1"/>
  <c r="W127" i="1"/>
  <c r="W115" i="1"/>
  <c r="W103" i="1"/>
  <c r="W91" i="1"/>
  <c r="W79" i="1"/>
  <c r="W67" i="1"/>
  <c r="W55" i="1"/>
  <c r="W43" i="1"/>
  <c r="W31" i="1"/>
  <c r="Q95" i="1"/>
  <c r="Q157" i="1"/>
  <c r="Q133" i="1"/>
  <c r="Q121" i="1"/>
  <c r="Q109" i="1"/>
  <c r="Q97" i="1"/>
  <c r="Q85" i="1"/>
  <c r="Q73" i="1"/>
  <c r="Q61" i="1"/>
  <c r="Q49" i="1"/>
  <c r="Q37" i="1"/>
  <c r="Q25" i="1"/>
  <c r="T155" i="1"/>
  <c r="T131" i="1"/>
  <c r="T119" i="1"/>
  <c r="T107" i="1"/>
  <c r="T95" i="1"/>
  <c r="T83" i="1"/>
  <c r="T71" i="1"/>
  <c r="T59" i="1"/>
  <c r="T47" i="1"/>
  <c r="T35" i="1"/>
  <c r="T23" i="1"/>
  <c r="W168" i="1"/>
  <c r="W150" i="1"/>
  <c r="W126" i="1"/>
  <c r="W114" i="1"/>
  <c r="W102" i="1"/>
  <c r="W90" i="1"/>
  <c r="W78" i="1"/>
  <c r="W66" i="1"/>
  <c r="W54" i="1"/>
  <c r="W42" i="1"/>
  <c r="W30" i="1"/>
  <c r="J44" i="1" l="1"/>
  <c r="K44" i="1" s="1"/>
  <c r="AE44" i="1"/>
  <c r="J68" i="1"/>
  <c r="K68" i="1" s="1"/>
  <c r="AE68" i="1"/>
  <c r="J45" i="1"/>
  <c r="K45" i="1" s="1"/>
  <c r="AE45" i="1"/>
  <c r="J69" i="1"/>
  <c r="K69" i="1" s="1"/>
  <c r="AE69" i="1"/>
  <c r="J86" i="1"/>
  <c r="K86" i="1" s="1"/>
  <c r="AE86" i="1"/>
  <c r="J33" i="1"/>
  <c r="AD10" i="1"/>
  <c r="AE33" i="1"/>
  <c r="J111" i="1"/>
  <c r="K111" i="1" s="1"/>
  <c r="AE111" i="1"/>
  <c r="J87" i="1"/>
  <c r="K87" i="1" s="1"/>
  <c r="AE87" i="1"/>
  <c r="J63" i="1"/>
  <c r="K63" i="1" s="1"/>
  <c r="AE63" i="1"/>
  <c r="J39" i="1"/>
  <c r="K39" i="1" s="1"/>
  <c r="AE39" i="1"/>
  <c r="J62" i="1"/>
  <c r="K62" i="1" s="1"/>
  <c r="AE62" i="1"/>
  <c r="J105" i="1"/>
  <c r="K105" i="1" s="1"/>
  <c r="AE105" i="1"/>
  <c r="J56" i="1"/>
  <c r="K56" i="1" s="1"/>
  <c r="AE56" i="1"/>
  <c r="J51" i="1"/>
  <c r="K51" i="1" s="1"/>
  <c r="AE51" i="1"/>
  <c r="J93" i="1"/>
  <c r="K93" i="1" s="1"/>
  <c r="AE93" i="1"/>
  <c r="J99" i="1"/>
  <c r="K99" i="1" s="1"/>
  <c r="AE99" i="1"/>
  <c r="J57" i="1"/>
  <c r="K57" i="1" s="1"/>
  <c r="AE57" i="1"/>
  <c r="J50" i="1"/>
  <c r="K50" i="1" s="1"/>
  <c r="AE50" i="1"/>
  <c r="AL130" i="1"/>
  <c r="AI130" i="1"/>
  <c r="AL10" i="1"/>
  <c r="AI10" i="1"/>
  <c r="AC130" i="1"/>
  <c r="AF130" i="1"/>
  <c r="Z10" i="1"/>
  <c r="AC10" i="1"/>
  <c r="I80" i="1"/>
  <c r="M80" i="1"/>
  <c r="N80" i="1" s="1"/>
  <c r="M152" i="1"/>
  <c r="N152" i="1" s="1"/>
  <c r="I152" i="1"/>
  <c r="I98" i="1"/>
  <c r="M98" i="1"/>
  <c r="N98" i="1" s="1"/>
  <c r="I57" i="1"/>
  <c r="M57" i="1"/>
  <c r="N57" i="1" s="1"/>
  <c r="I81" i="1"/>
  <c r="M81" i="1"/>
  <c r="N81" i="1" s="1"/>
  <c r="M170" i="1"/>
  <c r="N170" i="1" s="1"/>
  <c r="I170" i="1"/>
  <c r="I153" i="1"/>
  <c r="M153" i="1"/>
  <c r="N153" i="1" s="1"/>
  <c r="I123" i="1"/>
  <c r="M123" i="1"/>
  <c r="N123" i="1" s="1"/>
  <c r="M92" i="1"/>
  <c r="N92" i="1" s="1"/>
  <c r="I92" i="1"/>
  <c r="I38" i="1"/>
  <c r="W38" i="1" s="1"/>
  <c r="M38" i="1"/>
  <c r="N38" i="1" s="1"/>
  <c r="I171" i="1"/>
  <c r="M171" i="1"/>
  <c r="N171" i="1" s="1"/>
  <c r="I158" i="1"/>
  <c r="M158" i="1"/>
  <c r="N158" i="1" s="1"/>
  <c r="I122" i="1"/>
  <c r="M122" i="1"/>
  <c r="N122" i="1" s="1"/>
  <c r="I93" i="1"/>
  <c r="I39" i="1"/>
  <c r="M39" i="1"/>
  <c r="N39" i="1" s="1"/>
  <c r="I27" i="1"/>
  <c r="W27" i="1" s="1"/>
  <c r="M27" i="1"/>
  <c r="N27" i="1" s="1"/>
  <c r="I159" i="1"/>
  <c r="M159" i="1"/>
  <c r="N159" i="1" s="1"/>
  <c r="M116" i="1"/>
  <c r="N116" i="1" s="1"/>
  <c r="I116" i="1"/>
  <c r="I44" i="1"/>
  <c r="M44" i="1"/>
  <c r="N44" i="1" s="1"/>
  <c r="I74" i="1"/>
  <c r="M74" i="1"/>
  <c r="N74" i="1" s="1"/>
  <c r="I26" i="1"/>
  <c r="M26" i="1"/>
  <c r="N26" i="1" s="1"/>
  <c r="I117" i="1"/>
  <c r="M117" i="1"/>
  <c r="N117" i="1" s="1"/>
  <c r="M68" i="1"/>
  <c r="N68" i="1" s="1"/>
  <c r="I68" i="1"/>
  <c r="I104" i="1"/>
  <c r="M104" i="1"/>
  <c r="N104" i="1" s="1"/>
  <c r="I45" i="1"/>
  <c r="I75" i="1"/>
  <c r="M75" i="1"/>
  <c r="N75" i="1" s="1"/>
  <c r="I63" i="1"/>
  <c r="M63" i="1"/>
  <c r="N63" i="1" s="1"/>
  <c r="I69" i="1"/>
  <c r="M69" i="1"/>
  <c r="N69" i="1" s="1"/>
  <c r="I105" i="1"/>
  <c r="I86" i="1"/>
  <c r="M86" i="1"/>
  <c r="N86" i="1" s="1"/>
  <c r="I32" i="1"/>
  <c r="W32" i="1" s="1"/>
  <c r="M32" i="1"/>
  <c r="N32" i="1" s="1"/>
  <c r="I128" i="1"/>
  <c r="M128" i="1"/>
  <c r="N128" i="1" s="1"/>
  <c r="I62" i="1"/>
  <c r="M62" i="1"/>
  <c r="N62" i="1" s="1"/>
  <c r="I111" i="1"/>
  <c r="I51" i="1"/>
  <c r="M51" i="1"/>
  <c r="N51" i="1" s="1"/>
  <c r="I87" i="1"/>
  <c r="I33" i="1"/>
  <c r="M33" i="1"/>
  <c r="N33" i="1" s="1"/>
  <c r="I129" i="1"/>
  <c r="M129" i="1"/>
  <c r="N129" i="1" s="1"/>
  <c r="I99" i="1"/>
  <c r="I56" i="1"/>
  <c r="M56" i="1"/>
  <c r="N56" i="1" s="1"/>
  <c r="I110" i="1"/>
  <c r="M110" i="1"/>
  <c r="N110" i="1" s="1"/>
  <c r="I50" i="1"/>
  <c r="M50" i="1"/>
  <c r="N50" i="1" s="1"/>
  <c r="T10" i="1"/>
  <c r="V190" i="1"/>
  <c r="S190" i="1"/>
  <c r="S189" i="1" s="1"/>
  <c r="M111" i="1" l="1"/>
  <c r="N111" i="1" s="1"/>
  <c r="M45" i="1"/>
  <c r="N45" i="1" s="1"/>
  <c r="M87" i="1"/>
  <c r="N87" i="1" s="1"/>
  <c r="M99" i="1"/>
  <c r="N99" i="1" s="1"/>
  <c r="T26" i="1"/>
  <c r="W26" i="1"/>
  <c r="AE10" i="1"/>
  <c r="M93" i="1"/>
  <c r="N93" i="1" s="1"/>
  <c r="K33" i="1"/>
  <c r="M105" i="1"/>
  <c r="N105" i="1" s="1"/>
  <c r="AL11" i="1"/>
  <c r="AI33" i="1"/>
  <c r="AL33" i="1"/>
  <c r="AL122" i="1"/>
  <c r="AI122" i="1"/>
  <c r="AI69" i="1"/>
  <c r="AL69" i="1"/>
  <c r="AI99" i="1"/>
  <c r="AL99" i="1"/>
  <c r="AL62" i="1"/>
  <c r="AI62" i="1"/>
  <c r="AL32" i="1"/>
  <c r="AI32" i="1"/>
  <c r="AL63" i="1"/>
  <c r="AI63" i="1"/>
  <c r="AI104" i="1"/>
  <c r="AL104" i="1"/>
  <c r="AL74" i="1"/>
  <c r="AI74" i="1"/>
  <c r="AI27" i="1"/>
  <c r="AL27" i="1"/>
  <c r="AL158" i="1"/>
  <c r="AI158" i="1"/>
  <c r="AI123" i="1"/>
  <c r="AL123" i="1"/>
  <c r="AL57" i="1"/>
  <c r="AI57" i="1"/>
  <c r="AL80" i="1"/>
  <c r="AI80" i="1"/>
  <c r="AI56" i="1"/>
  <c r="AL56" i="1"/>
  <c r="AI45" i="1"/>
  <c r="AL45" i="1"/>
  <c r="AI81" i="1"/>
  <c r="AL81" i="1"/>
  <c r="AL68" i="1"/>
  <c r="AI68" i="1"/>
  <c r="AI50" i="1"/>
  <c r="AL50" i="1"/>
  <c r="AI129" i="1"/>
  <c r="AL129" i="1"/>
  <c r="AL86" i="1"/>
  <c r="AI86" i="1"/>
  <c r="AI44" i="1"/>
  <c r="AL44" i="1"/>
  <c r="AL39" i="1"/>
  <c r="AI39" i="1"/>
  <c r="AL171" i="1"/>
  <c r="AI171" i="1"/>
  <c r="AI153" i="1"/>
  <c r="AL153" i="1"/>
  <c r="AL98" i="1"/>
  <c r="AI98" i="1"/>
  <c r="AL26" i="1"/>
  <c r="AI26" i="1"/>
  <c r="AL116" i="1"/>
  <c r="AI116" i="1"/>
  <c r="AI170" i="1"/>
  <c r="AL170" i="1"/>
  <c r="AL152" i="1"/>
  <c r="AI152" i="1"/>
  <c r="AI87" i="1"/>
  <c r="AL87" i="1"/>
  <c r="AI110" i="1"/>
  <c r="AL110" i="1"/>
  <c r="AL51" i="1"/>
  <c r="AI51" i="1"/>
  <c r="AL128" i="1"/>
  <c r="AI128" i="1"/>
  <c r="AL105" i="1"/>
  <c r="AI105" i="1"/>
  <c r="AI75" i="1"/>
  <c r="AL75" i="1"/>
  <c r="AI117" i="1"/>
  <c r="AL117" i="1"/>
  <c r="AI93" i="1"/>
  <c r="AL93" i="1"/>
  <c r="AI38" i="1"/>
  <c r="AL38" i="1"/>
  <c r="AI111" i="1"/>
  <c r="AL111" i="1"/>
  <c r="AL159" i="1"/>
  <c r="AI159" i="1"/>
  <c r="AL92" i="1"/>
  <c r="AI92" i="1"/>
  <c r="AC63" i="1"/>
  <c r="AF63" i="1"/>
  <c r="AC57" i="1"/>
  <c r="AF57" i="1"/>
  <c r="AC68" i="1"/>
  <c r="AF68" i="1"/>
  <c r="AC74" i="1"/>
  <c r="AF74" i="1"/>
  <c r="AC129" i="1"/>
  <c r="AF129" i="1"/>
  <c r="AC44" i="1"/>
  <c r="AF44" i="1"/>
  <c r="AC39" i="1"/>
  <c r="AF39" i="1"/>
  <c r="AC171" i="1"/>
  <c r="AF171" i="1"/>
  <c r="AC153" i="1"/>
  <c r="AF153" i="1"/>
  <c r="AC98" i="1"/>
  <c r="AF98" i="1"/>
  <c r="AC32" i="1"/>
  <c r="AF32" i="1"/>
  <c r="AC158" i="1"/>
  <c r="AF158" i="1"/>
  <c r="AC116" i="1"/>
  <c r="AF116" i="1"/>
  <c r="AC170" i="1"/>
  <c r="AF170" i="1"/>
  <c r="AC152" i="1"/>
  <c r="AF152" i="1"/>
  <c r="AC99" i="1"/>
  <c r="AF99" i="1"/>
  <c r="AC27" i="1"/>
  <c r="AF27" i="1"/>
  <c r="AC110" i="1"/>
  <c r="AF110" i="1"/>
  <c r="AC51" i="1"/>
  <c r="AF51" i="1"/>
  <c r="AC128" i="1"/>
  <c r="AF128" i="1"/>
  <c r="AC105" i="1"/>
  <c r="AF105" i="1"/>
  <c r="AC75" i="1"/>
  <c r="AF75" i="1"/>
  <c r="AC117" i="1"/>
  <c r="AF117" i="1"/>
  <c r="AC93" i="1"/>
  <c r="AF93" i="1"/>
  <c r="AC38" i="1"/>
  <c r="AF38" i="1"/>
  <c r="AC62" i="1"/>
  <c r="AF62" i="1"/>
  <c r="AC123" i="1"/>
  <c r="AF123" i="1"/>
  <c r="AC87" i="1"/>
  <c r="AF87" i="1"/>
  <c r="AC86" i="1"/>
  <c r="AF86" i="1"/>
  <c r="AC92" i="1"/>
  <c r="AF92" i="1"/>
  <c r="AC104" i="1"/>
  <c r="AF104" i="1"/>
  <c r="AC80" i="1"/>
  <c r="AF80" i="1"/>
  <c r="AC50" i="1"/>
  <c r="AF50" i="1"/>
  <c r="AC56" i="1"/>
  <c r="AF56" i="1"/>
  <c r="AC33" i="1"/>
  <c r="AF33" i="1"/>
  <c r="AC111" i="1"/>
  <c r="AF111" i="1"/>
  <c r="AC69" i="1"/>
  <c r="AF69" i="1"/>
  <c r="AC45" i="1"/>
  <c r="AF45" i="1"/>
  <c r="AC26" i="1"/>
  <c r="AF26" i="1"/>
  <c r="AC159" i="1"/>
  <c r="AF159" i="1"/>
  <c r="AC122" i="1"/>
  <c r="AF122" i="1"/>
  <c r="AC81" i="1"/>
  <c r="AF81" i="1"/>
  <c r="Z68" i="1"/>
  <c r="L68" i="1"/>
  <c r="I64" i="1"/>
  <c r="L129" i="1"/>
  <c r="Z129" i="1"/>
  <c r="L86" i="1"/>
  <c r="Z86" i="1"/>
  <c r="I82" i="1"/>
  <c r="L44" i="1"/>
  <c r="Z44" i="1"/>
  <c r="I40" i="1"/>
  <c r="L39" i="1"/>
  <c r="Z39" i="1"/>
  <c r="L171" i="1"/>
  <c r="Z171" i="1"/>
  <c r="L153" i="1"/>
  <c r="Z153" i="1"/>
  <c r="Z98" i="1"/>
  <c r="L98" i="1"/>
  <c r="I94" i="1"/>
  <c r="Z116" i="1"/>
  <c r="L116" i="1"/>
  <c r="I112" i="1"/>
  <c r="Z170" i="1"/>
  <c r="L170" i="1"/>
  <c r="I166" i="1"/>
  <c r="L152" i="1"/>
  <c r="Z152" i="1"/>
  <c r="I148" i="1"/>
  <c r="L51" i="1"/>
  <c r="Z51" i="1"/>
  <c r="Z128" i="1"/>
  <c r="L128" i="1"/>
  <c r="I124" i="1"/>
  <c r="Z105" i="1"/>
  <c r="L105" i="1"/>
  <c r="Z75" i="1"/>
  <c r="L75" i="1"/>
  <c r="L117" i="1"/>
  <c r="Z117" i="1"/>
  <c r="Z93" i="1"/>
  <c r="L93" i="1"/>
  <c r="L38" i="1"/>
  <c r="Z38" i="1"/>
  <c r="I34" i="1"/>
  <c r="L92" i="1"/>
  <c r="Z92" i="1"/>
  <c r="I88" i="1"/>
  <c r="Z50" i="1"/>
  <c r="L50" i="1"/>
  <c r="I46" i="1"/>
  <c r="Z33" i="1"/>
  <c r="L33" i="1"/>
  <c r="L111" i="1"/>
  <c r="Z111" i="1"/>
  <c r="Z69" i="1"/>
  <c r="L69" i="1"/>
  <c r="L45" i="1"/>
  <c r="Z45" i="1"/>
  <c r="L26" i="1"/>
  <c r="Z26" i="1"/>
  <c r="Z159" i="1"/>
  <c r="L159" i="1"/>
  <c r="Z122" i="1"/>
  <c r="L122" i="1"/>
  <c r="I118" i="1"/>
  <c r="L81" i="1"/>
  <c r="Z81" i="1"/>
  <c r="L110" i="1"/>
  <c r="Z110" i="1"/>
  <c r="I106" i="1"/>
  <c r="L87" i="1"/>
  <c r="Z87" i="1"/>
  <c r="L56" i="1"/>
  <c r="Z56" i="1"/>
  <c r="I52" i="1"/>
  <c r="Z99" i="1"/>
  <c r="L99" i="1"/>
  <c r="L62" i="1"/>
  <c r="Z62" i="1"/>
  <c r="I58" i="1"/>
  <c r="L32" i="1"/>
  <c r="Z32" i="1"/>
  <c r="I28" i="1"/>
  <c r="I22" i="1" s="1"/>
  <c r="L63" i="1"/>
  <c r="Z63" i="1"/>
  <c r="L104" i="1"/>
  <c r="Z104" i="1"/>
  <c r="I100" i="1"/>
  <c r="Z74" i="1"/>
  <c r="L74" i="1"/>
  <c r="I70" i="1"/>
  <c r="L27" i="1"/>
  <c r="Z27" i="1"/>
  <c r="Z158" i="1"/>
  <c r="L158" i="1"/>
  <c r="I154" i="1"/>
  <c r="L123" i="1"/>
  <c r="Z123" i="1"/>
  <c r="Z57" i="1"/>
  <c r="L57" i="1"/>
  <c r="Z80" i="1"/>
  <c r="L80" i="1"/>
  <c r="I76" i="1"/>
  <c r="P189" i="1"/>
  <c r="F189" i="1"/>
  <c r="I193" i="1"/>
  <c r="I194" i="1"/>
  <c r="I195" i="1"/>
  <c r="I191" i="1"/>
  <c r="I192" i="1"/>
  <c r="AF10" i="1" l="1"/>
  <c r="AD186" i="1"/>
  <c r="Z11" i="1"/>
  <c r="AF11" i="1"/>
  <c r="AI11" i="1"/>
  <c r="AC11" i="1"/>
  <c r="AL22" i="1"/>
  <c r="AC22" i="1"/>
  <c r="AF22" i="1"/>
  <c r="Z22" i="1"/>
  <c r="AI22" i="1"/>
  <c r="AL76" i="1"/>
  <c r="AI76" i="1"/>
  <c r="AL118" i="1"/>
  <c r="AI118" i="1"/>
  <c r="AL40" i="1"/>
  <c r="AI40" i="1"/>
  <c r="AL124" i="1"/>
  <c r="AI124" i="1"/>
  <c r="AL88" i="1"/>
  <c r="AI88" i="1"/>
  <c r="AL166" i="1"/>
  <c r="AI166" i="1"/>
  <c r="AL70" i="1"/>
  <c r="AI70" i="1"/>
  <c r="AI148" i="1"/>
  <c r="AL148" i="1"/>
  <c r="AL94" i="1"/>
  <c r="AI94" i="1"/>
  <c r="AI64" i="1"/>
  <c r="AL64" i="1"/>
  <c r="AL46" i="1"/>
  <c r="AI46" i="1"/>
  <c r="AI106" i="1"/>
  <c r="AL106" i="1"/>
  <c r="AL28" i="1"/>
  <c r="AI28" i="1"/>
  <c r="AL34" i="1"/>
  <c r="AI34" i="1"/>
  <c r="AL112" i="1"/>
  <c r="AI112" i="1"/>
  <c r="AL82" i="1"/>
  <c r="AI82" i="1"/>
  <c r="AL154" i="1"/>
  <c r="AI154" i="1"/>
  <c r="AI100" i="1"/>
  <c r="AL100" i="1"/>
  <c r="AL58" i="1"/>
  <c r="AI58" i="1"/>
  <c r="AL52" i="1"/>
  <c r="AI52" i="1"/>
  <c r="AC148" i="1"/>
  <c r="AF148" i="1"/>
  <c r="AC82" i="1"/>
  <c r="AF82" i="1"/>
  <c r="AC76" i="1"/>
  <c r="AF76" i="1"/>
  <c r="AC40" i="1"/>
  <c r="AF40" i="1"/>
  <c r="AC118" i="1"/>
  <c r="AF118" i="1"/>
  <c r="AC88" i="1"/>
  <c r="AF88" i="1"/>
  <c r="AC166" i="1"/>
  <c r="AF166" i="1"/>
  <c r="AC70" i="1"/>
  <c r="AF70" i="1"/>
  <c r="AC46" i="1"/>
  <c r="AF46" i="1"/>
  <c r="AC124" i="1"/>
  <c r="AF124" i="1"/>
  <c r="AC64" i="1"/>
  <c r="AF64" i="1"/>
  <c r="AC106" i="1"/>
  <c r="AF106" i="1"/>
  <c r="AC94" i="1"/>
  <c r="AF94" i="1"/>
  <c r="AC34" i="1"/>
  <c r="AF34" i="1"/>
  <c r="AC112" i="1"/>
  <c r="AF112" i="1"/>
  <c r="AC28" i="1"/>
  <c r="AF28" i="1"/>
  <c r="AC154" i="1"/>
  <c r="AF154" i="1"/>
  <c r="AC100" i="1"/>
  <c r="AF100" i="1"/>
  <c r="AC58" i="1"/>
  <c r="AF58" i="1"/>
  <c r="AC52" i="1"/>
  <c r="AF52" i="1"/>
  <c r="Z28" i="1"/>
  <c r="H206" i="1"/>
  <c r="I199" i="1"/>
  <c r="S4" i="1" l="1"/>
  <c r="V4" i="1" l="1"/>
  <c r="Y4" i="1" l="1"/>
  <c r="AB4" i="1" s="1"/>
  <c r="AE4" i="1" s="1"/>
  <c r="AH4" i="1" s="1"/>
  <c r="AK4" i="1" s="1"/>
  <c r="K178" i="1"/>
  <c r="AC178" i="1" l="1"/>
  <c r="AE178" i="1"/>
  <c r="M149" i="1"/>
  <c r="N149" i="1" s="1"/>
  <c r="M101" i="1"/>
  <c r="N101" i="1" s="1"/>
  <c r="M65" i="1"/>
  <c r="N65" i="1" s="1"/>
  <c r="K181" i="1"/>
  <c r="K107" i="1"/>
  <c r="K89" i="1"/>
  <c r="L89" i="1" s="1"/>
  <c r="M95" i="1"/>
  <c r="N95" i="1" s="1"/>
  <c r="K173" i="1"/>
  <c r="L173" i="1" s="1"/>
  <c r="M35" i="1"/>
  <c r="N35" i="1" s="1"/>
  <c r="M71" i="1"/>
  <c r="N71" i="1" s="1"/>
  <c r="K125" i="1"/>
  <c r="K59" i="1"/>
  <c r="M113" i="1"/>
  <c r="N113" i="1" s="1"/>
  <c r="M119" i="1"/>
  <c r="N119" i="1" s="1"/>
  <c r="K155" i="1"/>
  <c r="M83" i="1"/>
  <c r="N83" i="1" s="1"/>
  <c r="M167" i="1"/>
  <c r="N167" i="1" s="1"/>
  <c r="M77" i="1"/>
  <c r="N77" i="1" s="1"/>
  <c r="M161" i="1"/>
  <c r="N161" i="1" s="1"/>
  <c r="M23" i="1"/>
  <c r="N23" i="1" s="1"/>
  <c r="Z132" i="1"/>
  <c r="Z114" i="1"/>
  <c r="Z163" i="1"/>
  <c r="Z157" i="1"/>
  <c r="Z173" i="1"/>
  <c r="Z60" i="1"/>
  <c r="L178" i="1"/>
  <c r="Z178" i="1"/>
  <c r="Z89" i="1"/>
  <c r="Z156" i="1"/>
  <c r="Z174" i="1"/>
  <c r="Z84" i="1"/>
  <c r="Z55" i="1"/>
  <c r="Z133" i="1"/>
  <c r="M181" i="1"/>
  <c r="N181" i="1" s="1"/>
  <c r="K149" i="1"/>
  <c r="M47" i="1"/>
  <c r="N47" i="1" s="1"/>
  <c r="K47" i="1"/>
  <c r="M53" i="1"/>
  <c r="N53" i="1" s="1"/>
  <c r="K53" i="1"/>
  <c r="L181" i="1" l="1"/>
  <c r="S181" i="1"/>
  <c r="AF178" i="1"/>
  <c r="K101" i="1"/>
  <c r="L101" i="1" s="1"/>
  <c r="K35" i="1"/>
  <c r="L35" i="1" s="1"/>
  <c r="K65" i="1"/>
  <c r="L65" i="1" s="1"/>
  <c r="M107" i="1"/>
  <c r="N107" i="1" s="1"/>
  <c r="M173" i="1"/>
  <c r="N173" i="1" s="1"/>
  <c r="M89" i="1"/>
  <c r="N89" i="1" s="1"/>
  <c r="K95" i="1"/>
  <c r="L95" i="1" s="1"/>
  <c r="K113" i="1"/>
  <c r="L113" i="1" s="1"/>
  <c r="K77" i="1"/>
  <c r="L77" i="1" s="1"/>
  <c r="K83" i="1"/>
  <c r="L83" i="1" s="1"/>
  <c r="M155" i="1"/>
  <c r="N155" i="1" s="1"/>
  <c r="M125" i="1"/>
  <c r="N125" i="1" s="1"/>
  <c r="K119" i="1"/>
  <c r="L119" i="1" s="1"/>
  <c r="K167" i="1"/>
  <c r="L167" i="1" s="1"/>
  <c r="K23" i="1"/>
  <c r="L23" i="1" s="1"/>
  <c r="K161" i="1"/>
  <c r="L161" i="1" s="1"/>
  <c r="M59" i="1"/>
  <c r="N59" i="1" s="1"/>
  <c r="K71" i="1"/>
  <c r="L71" i="1" s="1"/>
  <c r="Z101" i="1"/>
  <c r="Z168" i="1"/>
  <c r="L125" i="1"/>
  <c r="Z125" i="1"/>
  <c r="Z120" i="1"/>
  <c r="Z113" i="1"/>
  <c r="Z48" i="1"/>
  <c r="L59" i="1"/>
  <c r="Z59" i="1"/>
  <c r="Z67" i="1"/>
  <c r="Z30" i="1"/>
  <c r="Z54" i="1"/>
  <c r="Z78" i="1"/>
  <c r="Z65" i="1"/>
  <c r="Z49" i="1"/>
  <c r="Z66" i="1"/>
  <c r="L155" i="1"/>
  <c r="Z155" i="1"/>
  <c r="Z151" i="1"/>
  <c r="Z131" i="1"/>
  <c r="Z162" i="1"/>
  <c r="Z42" i="1"/>
  <c r="Z24" i="1"/>
  <c r="L47" i="1"/>
  <c r="Z47" i="1"/>
  <c r="Z83" i="1"/>
  <c r="Z127" i="1"/>
  <c r="Z121" i="1"/>
  <c r="Z103" i="1"/>
  <c r="Z169" i="1"/>
  <c r="Z161" i="1"/>
  <c r="Z43" i="1"/>
  <c r="Z90" i="1"/>
  <c r="Z119" i="1"/>
  <c r="Z150" i="1"/>
  <c r="Z95" i="1"/>
  <c r="Z25" i="1"/>
  <c r="Z77" i="1"/>
  <c r="L107" i="1"/>
  <c r="Z107" i="1"/>
  <c r="Z109" i="1"/>
  <c r="Z102" i="1"/>
  <c r="Z167" i="1"/>
  <c r="Z36" i="1"/>
  <c r="Z72" i="1"/>
  <c r="Z79" i="1"/>
  <c r="Z71" i="1"/>
  <c r="Z85" i="1"/>
  <c r="Z41" i="1"/>
  <c r="Z31" i="1"/>
  <c r="L149" i="1"/>
  <c r="Z149" i="1"/>
  <c r="Z97" i="1"/>
  <c r="Z96" i="1"/>
  <c r="Z73" i="1"/>
  <c r="L53" i="1"/>
  <c r="Z53" i="1"/>
  <c r="Z91" i="1"/>
  <c r="Z37" i="1"/>
  <c r="Z115" i="1"/>
  <c r="Z126" i="1"/>
  <c r="Z108" i="1"/>
  <c r="AE189" i="1" l="1"/>
  <c r="AB190" i="1"/>
  <c r="AB189" i="1" s="1"/>
  <c r="Y189" i="1" l="1"/>
  <c r="Y190" i="1"/>
  <c r="L8" i="1" l="1"/>
  <c r="J189" i="1" l="1"/>
  <c r="M189" i="1" s="1"/>
  <c r="K191" i="1"/>
  <c r="M191" i="1" s="1"/>
  <c r="K192" i="1"/>
  <c r="M192" i="1" s="1"/>
  <c r="K195" i="1"/>
  <c r="M195" i="1" s="1"/>
  <c r="K194" i="1"/>
  <c r="M194" i="1" s="1"/>
  <c r="M186" i="1"/>
  <c r="K193" i="1"/>
  <c r="M193" i="1" s="1"/>
  <c r="AG10" i="1" l="1"/>
  <c r="M15" i="1"/>
  <c r="N15" i="1" s="1"/>
  <c r="J10" i="1" l="1"/>
  <c r="K15" i="1"/>
  <c r="K10" i="1" s="1"/>
  <c r="L10" i="1" l="1"/>
  <c r="L15" i="1"/>
</calcChain>
</file>

<file path=xl/sharedStrings.xml><?xml version="1.0" encoding="utf-8"?>
<sst xmlns="http://schemas.openxmlformats.org/spreadsheetml/2006/main" count="531" uniqueCount="156">
  <si>
    <t>CONTRATANTE</t>
  </si>
  <si>
    <t>OBRA</t>
  </si>
  <si>
    <t>CEI</t>
  </si>
  <si>
    <t>FORNECEDOR</t>
  </si>
  <si>
    <t>CNPJ</t>
  </si>
  <si>
    <t>MEDIÇÃO</t>
  </si>
  <si>
    <t>ESCOPO DO CONTRATO</t>
  </si>
  <si>
    <t>ENDEREÇO DA OBRA</t>
  </si>
  <si>
    <t>SFOBRAS</t>
  </si>
  <si>
    <t>DESCRIÇÃO DOS SERVIÇOS</t>
  </si>
  <si>
    <t>CONTRATO ATUAL</t>
  </si>
  <si>
    <t>SALDO</t>
  </si>
  <si>
    <t>MEDIDO</t>
  </si>
  <si>
    <t>QTDE</t>
  </si>
  <si>
    <t xml:space="preserve">UNID. </t>
  </si>
  <si>
    <t>UNIT</t>
  </si>
  <si>
    <t>TOTAL</t>
  </si>
  <si>
    <t>QUANT.</t>
  </si>
  <si>
    <t>%</t>
  </si>
  <si>
    <t>VALOR TOTAL desta medição</t>
  </si>
  <si>
    <t>COMPOSIÇÃO DO PEDIDO</t>
  </si>
  <si>
    <t>ACUMULADO</t>
  </si>
  <si>
    <t>FAT. DIRETO</t>
  </si>
  <si>
    <t>RETENÇÃO CONTRATUAL</t>
  </si>
  <si>
    <t>SALDO / RETENÇÃO CONTRATUAL</t>
  </si>
  <si>
    <t>DESCONTOS</t>
  </si>
  <si>
    <t>VALOR DA N.F.</t>
  </si>
  <si>
    <t>M.O. %</t>
  </si>
  <si>
    <t>RETENÇÃO</t>
  </si>
  <si>
    <t>VENCIMENTO</t>
  </si>
  <si>
    <t>OBSERVAÇÕES</t>
  </si>
  <si>
    <t>Nº CONTRATO</t>
  </si>
  <si>
    <t>Nº ART DO SERVIÇO</t>
  </si>
  <si>
    <t>ITEM</t>
  </si>
  <si>
    <t>28DDL</t>
  </si>
  <si>
    <t>RETENÇÃO MO %</t>
  </si>
  <si>
    <t>VALOR TOTAL (R$)</t>
  </si>
  <si>
    <t>CONSUMIDO (R$)</t>
  </si>
  <si>
    <t>SALDO (R$)</t>
  </si>
  <si>
    <t>LOC. EQUIP. %</t>
  </si>
  <si>
    <t>FAT DIR %</t>
  </si>
  <si>
    <t>MAT/EQUIP %</t>
  </si>
  <si>
    <t>Nº FORNECEDOR (MEGA)</t>
  </si>
  <si>
    <t>LINHA MEGA</t>
  </si>
  <si>
    <t>PLANILHA DE MEDIÇÃO DE CONTRATO</t>
  </si>
  <si>
    <t>REFFUGIO</t>
  </si>
  <si>
    <t>COD. OBRA</t>
  </si>
  <si>
    <t>ACUMULADO COM ESTA MEDIÇÃO</t>
  </si>
  <si>
    <t>ASSINATURAS</t>
  </si>
  <si>
    <t>COORDENADOR OBRA</t>
  </si>
  <si>
    <t>ENGENHEIRO</t>
  </si>
  <si>
    <t>RESPONSÁVEL PELA MEDIÇÃO</t>
  </si>
  <si>
    <t>VALOR TOTAL MEDIÇÃO</t>
  </si>
  <si>
    <t>MO Estrutura</t>
  </si>
  <si>
    <t xml:space="preserve"> Estrutura - Pilares</t>
  </si>
  <si>
    <t xml:space="preserve"> Estrutura - Vigas</t>
  </si>
  <si>
    <t xml:space="preserve"> Estrutura - Lajes</t>
  </si>
  <si>
    <t>Estrutura - 2º Pav</t>
  </si>
  <si>
    <t>Estrutura - 3º Pav</t>
  </si>
  <si>
    <t>Estrutura - 4º Pav</t>
  </si>
  <si>
    <t>Estrutura - 8º Pav</t>
  </si>
  <si>
    <t>Estrutura - 5º Pav</t>
  </si>
  <si>
    <t>Estrutura - 6º Pav</t>
  </si>
  <si>
    <t>Estrutura - 7º Pav</t>
  </si>
  <si>
    <t>Estrutura - 9º Pav</t>
  </si>
  <si>
    <t>Estrutura - 10º Pav</t>
  </si>
  <si>
    <t>Estrutura - 11º Pav</t>
  </si>
  <si>
    <t>Estrutura - 12º Pav</t>
  </si>
  <si>
    <t>m³</t>
  </si>
  <si>
    <t>Estrutura - 13º Pav</t>
  </si>
  <si>
    <t>Estrutura - 14º Pav</t>
  </si>
  <si>
    <t>Estrutura - 15º Pav</t>
  </si>
  <si>
    <t>Estrutura - 16º Pav</t>
  </si>
  <si>
    <t>Estrutura - 17º Pav</t>
  </si>
  <si>
    <t>Estrutura - 18º Pav</t>
  </si>
  <si>
    <t>Estrutura - 19º Pav</t>
  </si>
  <si>
    <t>Estrutura - 20º Pav</t>
  </si>
  <si>
    <t>Estrutura - 23º Pav</t>
  </si>
  <si>
    <t>Estrutura - 24º Pav</t>
  </si>
  <si>
    <t>Estrutura - Barrilete</t>
  </si>
  <si>
    <t>Estrutura - Cobertura geral</t>
  </si>
  <si>
    <t>CRITÉRIOS DE MEDIÇÕES</t>
  </si>
  <si>
    <t>Critérios MÃO DE OBRA DE ESTRUTURA</t>
  </si>
  <si>
    <t>Medições:</t>
  </si>
  <si>
    <t>Pagamento:</t>
  </si>
  <si>
    <t>vb</t>
  </si>
  <si>
    <t>ESTRUTURA DE CONCRETO ARMADO</t>
  </si>
  <si>
    <t xml:space="preserve">Não serão aceitos solicitações para pagamentos com menos de 28 dias 
Obrigatório:
Nª das medições devem constar nas notas de serviços
Nº do contrato deve constar nas notas de faturamento direto de materiais e equipamentos
Engenheria deverá se atentar a data de "corte" para emissão de NF de serviço. Não será permitido lançamento de NF no sistema após está data, somenta após a virada do mês seguinte
</t>
  </si>
  <si>
    <t xml:space="preserve">A execução dos serviços de fornecimento e aplicação de concreto será medida pelo volume de concreto obtido no projeto, em metros cúbicos (m³), desde que atendidas todas as exigências de limpeza e organização, avaliação da qualidade do tratamento do concreto e conforme alinhamento completo do escopo contratado.
A medição dos serviços será feita de acordo com o disposto no item acima, ao preço unitário contratual (m³) que remunera, independente do tipo e cota da estrutura ou da peça executada, da altura de lançamento e dos equipamentos empregados, o fornecimento de carga, transporte de equipamentos e ferramentas; andaimes, plataformas, o preparo, transportes, lançamento, adensamento, perdas e cura do concreto; a regularização e acabamento das superfícies; a mão-de-obra e os encargos; os controles topográfico e tecnológico; as dosagens dos traços, aditivos, a limpeza das peças a serem concretadas; os arremates, tratamentos de superfícies juntas, limpeza e remoção de sobras e tudo o mais necessário para a perfeita execução dos serviços.
Medições: mensal (preferencialmente) ou quinzenal
Taxa condominial: Necessário quando ultrapassar 20 funcionários no período
Retenção mensal obrigatória: 5% sobre o valo total do contrato
Fazer reserva de verba no contrato para pagamento de possíveis idenizações de escoramento.
Seguro performance: Aplicável, exceções deverão ser aprovadas pelo diretor de operações
Proporção para divisão de medições:
Montagem de forma/ armação e concretagem - 90%
Desforma e reescoramento - 5%
Limpeza e regularização - 5%
</t>
  </si>
  <si>
    <t xml:space="preserve"> RETENÇÃO CONTRATUAL</t>
  </si>
  <si>
    <t>Estrutura - 25º Pav</t>
  </si>
  <si>
    <t>FUTURA 25 SPE</t>
  </si>
  <si>
    <t>CT 165842</t>
  </si>
  <si>
    <t xml:space="preserve">Rua Nilo, 359. </t>
  </si>
  <si>
    <t xml:space="preserve">FUTURA 25 </t>
  </si>
  <si>
    <t>2</t>
  </si>
  <si>
    <t xml:space="preserve"> Estrutura - Desforma/Reescoramento </t>
  </si>
  <si>
    <t xml:space="preserve"> Estrutura - Limpeza e regularização  </t>
  </si>
  <si>
    <t xml:space="preserve">MOBILIZAÇÃO </t>
  </si>
  <si>
    <t xml:space="preserve">MOBILIZAÇÃO INICIAL </t>
  </si>
  <si>
    <t xml:space="preserve">PERIFERIA </t>
  </si>
  <si>
    <t xml:space="preserve">Estrutura - PERIFERIA </t>
  </si>
  <si>
    <t xml:space="preserve">Estrutura - Vigas de travamento </t>
  </si>
  <si>
    <t xml:space="preserve">Vigas de travamento trecho 2 </t>
  </si>
  <si>
    <t xml:space="preserve">Estrutura - Cortinas  </t>
  </si>
  <si>
    <t>Estrutura - 21º Pav</t>
  </si>
  <si>
    <t>Estrutura - 22º Pav</t>
  </si>
  <si>
    <t>1</t>
  </si>
  <si>
    <t>Data: 18/06/2025</t>
  </si>
  <si>
    <t>02.01</t>
  </si>
  <si>
    <t>02.02</t>
  </si>
  <si>
    <t xml:space="preserve">R$ 250.000,00 de Mobilização inicial confome acertado em contrato inicial com a Rangel </t>
  </si>
  <si>
    <t>MOBILIZAÇAO INICIAL</t>
  </si>
  <si>
    <t>Data: 17/07/2025</t>
  </si>
  <si>
    <r>
      <t xml:space="preserve">Taxa condominio: Junho e Julho  4800x2 = </t>
    </r>
    <r>
      <rPr>
        <b/>
        <sz val="14"/>
        <rFont val="Arial"/>
        <family val="2"/>
      </rPr>
      <t>R$9.600,00</t>
    </r>
    <r>
      <rPr>
        <sz val="14"/>
        <rFont val="Arial"/>
        <family val="2"/>
      </rPr>
      <t xml:space="preserve">
Concreto devolvido: </t>
    </r>
    <r>
      <rPr>
        <b/>
        <sz val="14"/>
        <rFont val="Arial"/>
        <family val="2"/>
      </rPr>
      <t>R$ 2.340,00</t>
    </r>
  </si>
  <si>
    <t xml:space="preserve">Taxa condominio: Agosto = R$6.000,00
Almoxarifados: 3.000,00
</t>
  </si>
  <si>
    <t>Data: 19/08/2025</t>
  </si>
  <si>
    <t xml:space="preserve">Descontos megametro </t>
  </si>
  <si>
    <t xml:space="preserve">Dias </t>
  </si>
  <si>
    <t xml:space="preserve">Preço unitário </t>
  </si>
  <si>
    <t xml:space="preserve">Descontos MPD </t>
  </si>
  <si>
    <t xml:space="preserve">Descontos Locabens  </t>
  </si>
  <si>
    <t xml:space="preserve">Descontos THE </t>
  </si>
  <si>
    <t xml:space="preserve">Descontos Tensor  </t>
  </si>
  <si>
    <t xml:space="preserve">Atraso na liberação do 1º Pavimento </t>
  </si>
  <si>
    <t xml:space="preserve">Data liberada pelo concreto </t>
  </si>
  <si>
    <t xml:space="preserve">Data liberado RANGEL </t>
  </si>
  <si>
    <t xml:space="preserve">Diferença de dias </t>
  </si>
  <si>
    <t xml:space="preserve">Pavimento </t>
  </si>
  <si>
    <t xml:space="preserve">PAVIMENTO 01 </t>
  </si>
  <si>
    <t>PAVIMENTO 02</t>
  </si>
  <si>
    <t>PAVIMENTO 03</t>
  </si>
  <si>
    <t>PAVIMENTO 04</t>
  </si>
  <si>
    <t>PAVIMENTO 05</t>
  </si>
  <si>
    <t>Data: 19/09/2025</t>
  </si>
  <si>
    <t>Descontos dia 20/09/2025</t>
  </si>
  <si>
    <t>Operador Cremalheira</t>
  </si>
  <si>
    <t xml:space="preserve">Efetivo MPD </t>
  </si>
  <si>
    <t xml:space="preserve">Atraso na liberação da alvenaria </t>
  </si>
  <si>
    <t xml:space="preserve"> - Taxa condominio: Setembro = R$6.000,00
- Descontos: Devolução de escoramento 01/08 a 31/08 = R$ 14.000
- Ajudantes para limpar 5 pavimento = R$5.250,00</t>
  </si>
  <si>
    <t>Data: 20/10/2025</t>
  </si>
  <si>
    <t>Data: 12/11/2025</t>
  </si>
  <si>
    <t>3</t>
  </si>
  <si>
    <t xml:space="preserve">ADITAMENTO </t>
  </si>
  <si>
    <t xml:space="preserve">ADITAMENTO DE CONCRETO - DIFERENÇA DE VOLUME </t>
  </si>
  <si>
    <t xml:space="preserve">ADITAMENTO POR LAJES EM 4 DIAS </t>
  </si>
  <si>
    <t xml:space="preserve">ALTERAÇÃO DE PROJETO </t>
  </si>
  <si>
    <t>03.01</t>
  </si>
  <si>
    <t>03.02</t>
  </si>
  <si>
    <t>03.03</t>
  </si>
  <si>
    <t>Data: 12/12/2025</t>
  </si>
  <si>
    <t>M²³</t>
  </si>
  <si>
    <t xml:space="preserve"> - Taxa condominio: Novembro = R$6.000,00
</t>
  </si>
  <si>
    <t xml:space="preserve"> - Taxa condominio: Dezembro = R$6.000,00
- Idenização Tensor = R$ 5.000,00
</t>
  </si>
  <si>
    <t xml:space="preserve"> - Taxa condominio: Janeiro = R$6.000,00
</t>
  </si>
  <si>
    <t>DATA: 13/01/2026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</si>
</sst>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 &quot;#,##0.00"/>
    <numFmt numFmtId="165" formatCode="&quot;R$&quot;\ #,##0.00"/>
    <numFmt numFmtId="166" formatCode="0.000"/>
    <numFmt numFmtId="167" formatCode="_(* #,##0.00_);_(* \(#,##0.00\);_(* &quot;-&quot;??_);_(@_)"/>
    <numFmt numFmtId="168" formatCode="&quot;R$&quot;#,##0.00_);[Red]\(&quot;R$&quot;#,##0.00\)"/>
    <numFmt numFmtId="169" formatCode="0.0000%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4"/>
      <color rgb="FFFF0000"/>
      <name val="Arial"/>
      <family val="2"/>
    </font>
    <font>
      <b/>
      <sz val="16"/>
      <name val="Arial"/>
      <family val="2"/>
    </font>
    <font>
      <sz val="14"/>
      <color rgb="FFFF6600"/>
      <name val="Arial"/>
      <family val="2"/>
    </font>
    <font>
      <b/>
      <sz val="14"/>
      <color theme="1"/>
      <name val="Arial"/>
      <family val="2"/>
    </font>
    <font>
      <b/>
      <sz val="16"/>
      <color rgb="FFFF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Montserrat"/>
    </font>
  </fonts>
  <fills count="10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EF904F"/>
        <bgColor indexed="64"/>
      </patternFill>
    </fill>
    <fill>
      <patternFill patternType="solid">
        <fgColor theme="2" tint="-9.9978637043366805E-2"/>
        <bgColor indexed="64"/>
      </patternFill>
    </fill>
  </fills>
  <borders count="54">
    <border>
      <left/>
      <right/>
      <top/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 style="medium">
        <color theme="1" tint="0.499984740745262"/>
      </top>
      <bottom/>
      <diagonal/>
    </border>
    <border>
      <left/>
      <right/>
      <top style="medium">
        <color theme="1" tint="0.499984740745262"/>
      </top>
      <bottom/>
      <diagonal/>
    </border>
    <border>
      <left/>
      <right style="medium">
        <color theme="1" tint="0.499984740745262"/>
      </right>
      <top style="medium">
        <color theme="1" tint="0.499984740745262"/>
      </top>
      <bottom/>
      <diagonal/>
    </border>
    <border>
      <left style="medium">
        <color theme="1" tint="0.499984740745262"/>
      </left>
      <right/>
      <top style="thin">
        <color theme="1" tint="0.499984740745262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/>
      <diagonal/>
    </border>
    <border>
      <left style="medium">
        <color theme="1" tint="0.499984740745262"/>
      </left>
      <right/>
      <top/>
      <bottom/>
      <diagonal/>
    </border>
    <border>
      <left/>
      <right style="medium">
        <color theme="1" tint="0.499984740745262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/>
      <top/>
      <bottom style="thin">
        <color theme="1" tint="0.499984740745262"/>
      </bottom>
      <diagonal/>
    </border>
    <border>
      <left/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medium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/>
      <bottom style="thin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thin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 style="medium">
        <color theme="1" tint="0.499984740745262"/>
      </left>
      <right/>
      <top/>
      <bottom style="medium">
        <color theme="1" tint="0.499984740745262"/>
      </bottom>
      <diagonal/>
    </border>
    <border>
      <left/>
      <right/>
      <top/>
      <bottom style="medium">
        <color theme="1" tint="0.499984740745262"/>
      </bottom>
      <diagonal/>
    </border>
    <border>
      <left/>
      <right style="medium">
        <color theme="1" tint="0.499984740745262"/>
      </right>
      <top/>
      <bottom style="medium">
        <color theme="1" tint="0.499984740745262"/>
      </bottom>
      <diagonal/>
    </border>
    <border>
      <left style="medium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thin">
        <color theme="1" tint="0.499984740745262"/>
      </right>
      <top/>
      <bottom/>
      <diagonal/>
    </border>
    <border>
      <left style="thin">
        <color theme="1" tint="0.499984740745262"/>
      </left>
      <right style="medium">
        <color theme="1" tint="0.499984740745262"/>
      </right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  <xf numFmtId="0" fontId="1" fillId="0" borderId="0"/>
    <xf numFmtId="167" fontId="4" fillId="0" borderId="0" applyFont="0" applyFill="0" applyBorder="0" applyAlignment="0" applyProtection="0"/>
  </cellStyleXfs>
  <cellXfs count="231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2" fillId="6" borderId="0" xfId="0" applyFont="1" applyFill="1" applyAlignment="1">
      <alignment vertical="center"/>
    </xf>
    <xf numFmtId="0" fontId="3" fillId="6" borderId="0" xfId="0" applyFont="1" applyFill="1" applyAlignment="1">
      <alignment vertical="center"/>
    </xf>
    <xf numFmtId="0" fontId="10" fillId="0" borderId="0" xfId="0" applyFont="1" applyAlignment="1">
      <alignment vertical="center"/>
    </xf>
    <xf numFmtId="0" fontId="10" fillId="6" borderId="0" xfId="0" applyFont="1" applyFill="1" applyAlignment="1">
      <alignment vertical="center"/>
    </xf>
    <xf numFmtId="0" fontId="10" fillId="6" borderId="4" xfId="0" applyFont="1" applyFill="1" applyBorder="1" applyAlignment="1">
      <alignment vertical="center"/>
    </xf>
    <xf numFmtId="0" fontId="10" fillId="6" borderId="5" xfId="0" applyFont="1" applyFill="1" applyBorder="1" applyAlignment="1">
      <alignment vertical="center"/>
    </xf>
    <xf numFmtId="0" fontId="7" fillId="0" borderId="0" xfId="0" applyFont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8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12" fillId="0" borderId="11" xfId="0" applyFont="1" applyBorder="1" applyAlignment="1">
      <alignment vertical="center"/>
    </xf>
    <xf numFmtId="0" fontId="6" fillId="0" borderId="12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7" fillId="6" borderId="0" xfId="0" applyFont="1" applyFill="1" applyAlignment="1">
      <alignment vertical="center"/>
    </xf>
    <xf numFmtId="0" fontId="10" fillId="6" borderId="4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6" borderId="8" xfId="0" applyFont="1" applyFill="1" applyBorder="1" applyAlignment="1">
      <alignment horizontal="center" vertical="center"/>
    </xf>
    <xf numFmtId="0" fontId="5" fillId="6" borderId="0" xfId="0" applyFont="1" applyFill="1" applyAlignment="1">
      <alignment vertical="center"/>
    </xf>
    <xf numFmtId="0" fontId="5" fillId="7" borderId="0" xfId="0" applyFont="1" applyFill="1" applyAlignment="1">
      <alignment horizontal="center" vertical="center" wrapText="1"/>
    </xf>
    <xf numFmtId="49" fontId="6" fillId="0" borderId="1" xfId="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165" fontId="7" fillId="0" borderId="0" xfId="0" applyNumberFormat="1" applyFont="1" applyAlignment="1">
      <alignment vertical="center"/>
    </xf>
    <xf numFmtId="8" fontId="7" fillId="0" borderId="0" xfId="0" applyNumberFormat="1" applyFont="1" applyAlignment="1">
      <alignment vertical="center"/>
    </xf>
    <xf numFmtId="9" fontId="7" fillId="0" borderId="0" xfId="3" applyFont="1" applyAlignment="1">
      <alignment vertical="center"/>
    </xf>
    <xf numFmtId="44" fontId="7" fillId="0" borderId="0" xfId="2" applyFont="1" applyAlignment="1">
      <alignment vertical="center"/>
    </xf>
    <xf numFmtId="0" fontId="5" fillId="3" borderId="13" xfId="0" applyFont="1" applyFill="1" applyBorder="1" applyAlignment="1">
      <alignment vertical="center"/>
    </xf>
    <xf numFmtId="0" fontId="11" fillId="6" borderId="18" xfId="0" applyFont="1" applyFill="1" applyBorder="1" applyAlignment="1">
      <alignment horizontal="center" vertical="center"/>
    </xf>
    <xf numFmtId="0" fontId="11" fillId="6" borderId="19" xfId="0" applyFont="1" applyFill="1" applyBorder="1" applyAlignment="1">
      <alignment horizontal="center" vertical="center"/>
    </xf>
    <xf numFmtId="4" fontId="6" fillId="0" borderId="20" xfId="4" applyNumberFormat="1" applyFont="1" applyBorder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>
      <alignment horizontal="center" vertical="center"/>
    </xf>
    <xf numFmtId="43" fontId="6" fillId="8" borderId="11" xfId="1" applyFont="1" applyFill="1" applyBorder="1" applyAlignment="1" applyProtection="1">
      <alignment horizontal="center" vertical="center" wrapText="1"/>
    </xf>
    <xf numFmtId="0" fontId="6" fillId="5" borderId="20" xfId="0" applyFont="1" applyFill="1" applyBorder="1" applyAlignment="1" applyProtection="1">
      <alignment horizontal="center" vertical="center" wrapText="1"/>
      <protection locked="0"/>
    </xf>
    <xf numFmtId="0" fontId="6" fillId="0" borderId="20" xfId="0" applyFont="1" applyBorder="1" applyAlignment="1" applyProtection="1">
      <alignment horizontal="center" vertical="center" wrapText="1"/>
      <protection locked="0"/>
    </xf>
    <xf numFmtId="9" fontId="7" fillId="0" borderId="21" xfId="3" applyFont="1" applyBorder="1" applyAlignment="1" applyProtection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43" fontId="6" fillId="0" borderId="7" xfId="1" applyFont="1" applyBorder="1" applyAlignment="1" applyProtection="1">
      <alignment horizontal="center" vertical="center" wrapText="1"/>
    </xf>
    <xf numFmtId="0" fontId="5" fillId="7" borderId="34" xfId="0" applyFont="1" applyFill="1" applyBorder="1" applyAlignment="1">
      <alignment horizontal="center" vertical="center" wrapText="1"/>
    </xf>
    <xf numFmtId="0" fontId="5" fillId="7" borderId="34" xfId="0" applyFont="1" applyFill="1" applyBorder="1" applyAlignment="1">
      <alignment horizontal="center" vertical="center"/>
    </xf>
    <xf numFmtId="0" fontId="5" fillId="7" borderId="43" xfId="0" applyFont="1" applyFill="1" applyBorder="1" applyAlignment="1">
      <alignment horizontal="center" vertical="center" wrapText="1"/>
    </xf>
    <xf numFmtId="43" fontId="5" fillId="7" borderId="44" xfId="1" applyFont="1" applyFill="1" applyBorder="1" applyAlignment="1" applyProtection="1">
      <alignment horizontal="center" vertical="center" wrapText="1"/>
    </xf>
    <xf numFmtId="0" fontId="5" fillId="7" borderId="44" xfId="0" applyFont="1" applyFill="1" applyBorder="1" applyAlignment="1">
      <alignment horizontal="center" vertical="center" wrapText="1"/>
    </xf>
    <xf numFmtId="9" fontId="5" fillId="7" borderId="45" xfId="3" applyFont="1" applyFill="1" applyBorder="1" applyAlignment="1" applyProtection="1">
      <alignment horizontal="center" vertical="center" wrapText="1"/>
    </xf>
    <xf numFmtId="0" fontId="5" fillId="7" borderId="5" xfId="0" applyFont="1" applyFill="1" applyBorder="1" applyAlignment="1">
      <alignment horizontal="center" vertical="center" wrapText="1"/>
    </xf>
    <xf numFmtId="10" fontId="5" fillId="5" borderId="26" xfId="3" applyNumberFormat="1" applyFont="1" applyFill="1" applyBorder="1" applyAlignment="1" applyProtection="1">
      <alignment horizontal="center" vertical="center"/>
    </xf>
    <xf numFmtId="4" fontId="6" fillId="2" borderId="20" xfId="1" applyNumberFormat="1" applyFont="1" applyFill="1" applyBorder="1" applyAlignment="1" applyProtection="1">
      <alignment horizontal="center" vertical="center" wrapText="1"/>
      <protection locked="0"/>
    </xf>
    <xf numFmtId="0" fontId="7" fillId="3" borderId="0" xfId="0" applyFont="1" applyFill="1" applyAlignment="1">
      <alignment vertical="center"/>
    </xf>
    <xf numFmtId="49" fontId="7" fillId="3" borderId="1" xfId="4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/>
    <xf numFmtId="0" fontId="2" fillId="0" borderId="0" xfId="0" applyFont="1" applyAlignment="1">
      <alignment horizontal="left" vertical="top"/>
    </xf>
    <xf numFmtId="0" fontId="15" fillId="0" borderId="48" xfId="0" applyFont="1" applyBorder="1" applyAlignment="1">
      <alignment horizontal="left" vertical="center" wrapText="1"/>
    </xf>
    <xf numFmtId="0" fontId="3" fillId="0" borderId="50" xfId="0" applyFont="1" applyBorder="1" applyAlignment="1">
      <alignment horizontal="left" vertical="center" wrapText="1"/>
    </xf>
    <xf numFmtId="0" fontId="15" fillId="0" borderId="51" xfId="0" applyFont="1" applyBorder="1" applyAlignment="1">
      <alignment horizontal="left" vertical="center" wrapText="1"/>
    </xf>
    <xf numFmtId="0" fontId="16" fillId="8" borderId="0" xfId="0" applyFont="1" applyFill="1" applyAlignment="1">
      <alignment horizontal="center" vertical="center" wrapText="1"/>
    </xf>
    <xf numFmtId="0" fontId="17" fillId="8" borderId="47" xfId="0" applyFont="1" applyFill="1" applyBorder="1" applyAlignment="1">
      <alignment horizontal="center" vertical="center"/>
    </xf>
    <xf numFmtId="0" fontId="18" fillId="0" borderId="0" xfId="0" applyFont="1"/>
    <xf numFmtId="0" fontId="19" fillId="0" borderId="49" xfId="0" applyFont="1" applyBorder="1" applyAlignment="1">
      <alignment horizontal="left" vertical="top" wrapText="1"/>
    </xf>
    <xf numFmtId="49" fontId="6" fillId="3" borderId="1" xfId="1" applyNumberFormat="1" applyFont="1" applyFill="1" applyBorder="1" applyAlignment="1">
      <alignment horizontal="center" vertical="center"/>
    </xf>
    <xf numFmtId="49" fontId="5" fillId="3" borderId="1" xfId="1" applyNumberFormat="1" applyFont="1" applyFill="1" applyBorder="1" applyAlignment="1">
      <alignment horizontal="center" vertical="center"/>
    </xf>
    <xf numFmtId="4" fontId="6" fillId="3" borderId="20" xfId="4" applyNumberFormat="1" applyFont="1" applyFill="1" applyBorder="1" applyAlignment="1" applyProtection="1">
      <alignment horizontal="center" vertical="center"/>
      <protection locked="0"/>
    </xf>
    <xf numFmtId="165" fontId="6" fillId="3" borderId="1" xfId="1" applyNumberFormat="1" applyFont="1" applyFill="1" applyBorder="1" applyAlignment="1" applyProtection="1">
      <alignment horizontal="center" vertical="center" wrapText="1"/>
    </xf>
    <xf numFmtId="9" fontId="7" fillId="3" borderId="21" xfId="3" applyFont="1" applyFill="1" applyBorder="1" applyAlignment="1" applyProtection="1">
      <alignment horizontal="center" vertical="center"/>
    </xf>
    <xf numFmtId="4" fontId="6" fillId="3" borderId="20" xfId="1" applyNumberFormat="1" applyFont="1" applyFill="1" applyBorder="1" applyAlignment="1" applyProtection="1">
      <alignment horizontal="center" vertical="center" wrapText="1"/>
      <protection locked="0"/>
    </xf>
    <xf numFmtId="2" fontId="7" fillId="3" borderId="20" xfId="1" applyNumberFormat="1" applyFont="1" applyFill="1" applyBorder="1" applyAlignment="1" applyProtection="1">
      <alignment horizontal="center" vertical="center"/>
    </xf>
    <xf numFmtId="2" fontId="6" fillId="0" borderId="11" xfId="1" applyNumberFormat="1" applyFont="1" applyFill="1" applyBorder="1" applyAlignment="1" applyProtection="1">
      <alignment horizontal="center" vertical="center" wrapText="1"/>
    </xf>
    <xf numFmtId="2" fontId="6" fillId="3" borderId="11" xfId="1" applyNumberFormat="1" applyFont="1" applyFill="1" applyBorder="1" applyAlignment="1" applyProtection="1">
      <alignment horizontal="center" vertical="center" wrapText="1"/>
    </xf>
    <xf numFmtId="9" fontId="7" fillId="2" borderId="21" xfId="3" applyFont="1" applyFill="1" applyBorder="1" applyAlignment="1" applyProtection="1">
      <alignment horizontal="center" vertical="center"/>
    </xf>
    <xf numFmtId="44" fontId="7" fillId="3" borderId="21" xfId="2" applyFont="1" applyFill="1" applyBorder="1" applyAlignment="1" applyProtection="1">
      <alignment horizontal="center" vertical="center"/>
    </xf>
    <xf numFmtId="44" fontId="10" fillId="6" borderId="0" xfId="2" applyFont="1" applyFill="1" applyAlignment="1">
      <alignment vertical="center"/>
    </xf>
    <xf numFmtId="44" fontId="11" fillId="6" borderId="0" xfId="2" applyFont="1" applyFill="1" applyAlignment="1">
      <alignment horizontal="center" vertical="center"/>
    </xf>
    <xf numFmtId="44" fontId="5" fillId="7" borderId="44" xfId="2" applyFont="1" applyFill="1" applyBorder="1" applyAlignment="1">
      <alignment horizontal="center" vertical="center" wrapText="1"/>
    </xf>
    <xf numFmtId="44" fontId="6" fillId="3" borderId="1" xfId="2" applyFont="1" applyFill="1" applyBorder="1" applyAlignment="1" applyProtection="1">
      <alignment horizontal="center" vertical="center" wrapText="1"/>
    </xf>
    <xf numFmtId="44" fontId="6" fillId="2" borderId="1" xfId="2" applyFont="1" applyFill="1" applyBorder="1" applyAlignment="1" applyProtection="1">
      <alignment horizontal="center" vertical="center" wrapText="1"/>
    </xf>
    <xf numFmtId="44" fontId="2" fillId="0" borderId="0" xfId="2" applyFont="1" applyAlignment="1">
      <alignment vertical="center"/>
    </xf>
    <xf numFmtId="44" fontId="5" fillId="6" borderId="0" xfId="2" applyFont="1" applyFill="1" applyAlignment="1">
      <alignment vertical="center"/>
    </xf>
    <xf numFmtId="44" fontId="5" fillId="7" borderId="4" xfId="2" applyFont="1" applyFill="1" applyBorder="1" applyAlignment="1">
      <alignment horizontal="center" vertical="center" wrapText="1"/>
    </xf>
    <xf numFmtId="44" fontId="6" fillId="3" borderId="11" xfId="2" applyFont="1" applyFill="1" applyBorder="1" applyAlignment="1" applyProtection="1">
      <alignment horizontal="center" vertical="center" wrapText="1"/>
    </xf>
    <xf numFmtId="44" fontId="6" fillId="0" borderId="12" xfId="2" applyFont="1" applyBorder="1" applyAlignment="1" applyProtection="1">
      <alignment horizontal="center" vertical="center"/>
    </xf>
    <xf numFmtId="44" fontId="5" fillId="6" borderId="8" xfId="2" applyFont="1" applyFill="1" applyBorder="1" applyAlignment="1">
      <alignment horizontal="center" vertical="center"/>
    </xf>
    <xf numFmtId="44" fontId="6" fillId="0" borderId="1" xfId="2" applyFont="1" applyBorder="1" applyAlignment="1" applyProtection="1">
      <alignment horizontal="center" vertical="center" wrapText="1"/>
    </xf>
    <xf numFmtId="44" fontId="6" fillId="0" borderId="8" xfId="2" applyFont="1" applyBorder="1" applyAlignment="1">
      <alignment vertical="center"/>
    </xf>
    <xf numFmtId="44" fontId="6" fillId="0" borderId="12" xfId="2" applyFont="1" applyBorder="1" applyAlignment="1">
      <alignment vertical="center"/>
    </xf>
    <xf numFmtId="44" fontId="6" fillId="0" borderId="0" xfId="2" applyFont="1" applyAlignment="1">
      <alignment vertical="center"/>
    </xf>
    <xf numFmtId="44" fontId="5" fillId="7" borderId="45" xfId="2" applyFont="1" applyFill="1" applyBorder="1" applyAlignment="1">
      <alignment horizontal="center" vertical="center" wrapText="1"/>
    </xf>
    <xf numFmtId="44" fontId="6" fillId="3" borderId="21" xfId="2" applyFont="1" applyFill="1" applyBorder="1" applyAlignment="1" applyProtection="1">
      <alignment horizontal="center" vertical="center" wrapText="1"/>
    </xf>
    <xf numFmtId="49" fontId="6" fillId="6" borderId="34" xfId="1" applyNumberFormat="1" applyFont="1" applyFill="1" applyBorder="1" applyAlignment="1">
      <alignment horizontal="center" vertical="center"/>
    </xf>
    <xf numFmtId="49" fontId="5" fillId="6" borderId="34" xfId="1" applyNumberFormat="1" applyFont="1" applyFill="1" applyBorder="1" applyAlignment="1">
      <alignment horizontal="center" vertical="center"/>
    </xf>
    <xf numFmtId="4" fontId="6" fillId="6" borderId="43" xfId="4" applyNumberFormat="1" applyFont="1" applyFill="1" applyBorder="1" applyAlignment="1" applyProtection="1">
      <alignment horizontal="center" vertical="center"/>
      <protection locked="0"/>
    </xf>
    <xf numFmtId="49" fontId="7" fillId="6" borderId="44" xfId="4" applyNumberFormat="1" applyFont="1" applyFill="1" applyBorder="1" applyAlignment="1" applyProtection="1">
      <alignment horizontal="center" vertical="center"/>
      <protection locked="0"/>
    </xf>
    <xf numFmtId="165" fontId="6" fillId="6" borderId="44" xfId="1" applyNumberFormat="1" applyFont="1" applyFill="1" applyBorder="1" applyAlignment="1" applyProtection="1">
      <alignment horizontal="center" vertical="center" wrapText="1"/>
    </xf>
    <xf numFmtId="44" fontId="6" fillId="6" borderId="45" xfId="2" applyFont="1" applyFill="1" applyBorder="1" applyAlignment="1" applyProtection="1">
      <alignment horizontal="center" vertical="center" wrapText="1"/>
    </xf>
    <xf numFmtId="44" fontId="6" fillId="6" borderId="44" xfId="2" applyFont="1" applyFill="1" applyBorder="1" applyAlignment="1" applyProtection="1">
      <alignment horizontal="center" vertical="center" wrapText="1"/>
    </xf>
    <xf numFmtId="166" fontId="6" fillId="6" borderId="5" xfId="1" applyNumberFormat="1" applyFont="1" applyFill="1" applyBorder="1" applyAlignment="1" applyProtection="1">
      <alignment horizontal="center" vertical="center" wrapText="1"/>
    </xf>
    <xf numFmtId="44" fontId="6" fillId="6" borderId="5" xfId="2" applyFont="1" applyFill="1" applyBorder="1" applyAlignment="1" applyProtection="1">
      <alignment horizontal="center" vertical="center" wrapText="1"/>
    </xf>
    <xf numFmtId="4" fontId="6" fillId="6" borderId="43" xfId="1" applyNumberFormat="1" applyFont="1" applyFill="1" applyBorder="1" applyAlignment="1" applyProtection="1">
      <alignment horizontal="center" vertical="center" wrapText="1"/>
      <protection locked="0"/>
    </xf>
    <xf numFmtId="9" fontId="6" fillId="6" borderId="45" xfId="3" applyFont="1" applyFill="1" applyBorder="1" applyAlignment="1" applyProtection="1">
      <alignment horizontal="center" vertical="center" wrapText="1"/>
    </xf>
    <xf numFmtId="49" fontId="6" fillId="6" borderId="1" xfId="1" applyNumberFormat="1" applyFont="1" applyFill="1" applyBorder="1" applyAlignment="1">
      <alignment horizontal="center" vertical="center"/>
    </xf>
    <xf numFmtId="49" fontId="5" fillId="6" borderId="1" xfId="1" applyNumberFormat="1" applyFont="1" applyFill="1" applyBorder="1" applyAlignment="1">
      <alignment horizontal="center" vertical="center"/>
    </xf>
    <xf numFmtId="4" fontId="6" fillId="6" borderId="20" xfId="4" applyNumberFormat="1" applyFont="1" applyFill="1" applyBorder="1" applyAlignment="1" applyProtection="1">
      <alignment horizontal="center" vertical="center"/>
      <protection locked="0"/>
    </xf>
    <xf numFmtId="49" fontId="7" fillId="6" borderId="1" xfId="4" applyNumberFormat="1" applyFont="1" applyFill="1" applyBorder="1" applyAlignment="1" applyProtection="1">
      <alignment horizontal="center" vertical="center"/>
      <protection locked="0"/>
    </xf>
    <xf numFmtId="44" fontId="6" fillId="6" borderId="21" xfId="2" applyFont="1" applyFill="1" applyBorder="1" applyAlignment="1" applyProtection="1">
      <alignment horizontal="center" vertical="center" wrapText="1"/>
    </xf>
    <xf numFmtId="44" fontId="6" fillId="6" borderId="1" xfId="2" applyFont="1" applyFill="1" applyBorder="1" applyAlignment="1" applyProtection="1">
      <alignment horizontal="center" vertical="center" wrapText="1"/>
    </xf>
    <xf numFmtId="9" fontId="7" fillId="6" borderId="21" xfId="3" applyFont="1" applyFill="1" applyBorder="1" applyAlignment="1" applyProtection="1">
      <alignment horizontal="center" vertical="center"/>
    </xf>
    <xf numFmtId="4" fontId="6" fillId="6" borderId="20" xfId="1" applyNumberFormat="1" applyFont="1" applyFill="1" applyBorder="1" applyAlignment="1" applyProtection="1">
      <alignment horizontal="center" vertical="center" wrapText="1"/>
      <protection locked="0"/>
    </xf>
    <xf numFmtId="2" fontId="7" fillId="6" borderId="20" xfId="1" applyNumberFormat="1" applyFont="1" applyFill="1" applyBorder="1" applyAlignment="1" applyProtection="1">
      <alignment horizontal="center" vertical="center"/>
    </xf>
    <xf numFmtId="164" fontId="6" fillId="6" borderId="1" xfId="6" applyNumberFormat="1" applyFont="1" applyFill="1" applyBorder="1" applyAlignment="1">
      <alignment horizontal="center" vertical="center"/>
    </xf>
    <xf numFmtId="9" fontId="6" fillId="6" borderId="21" xfId="3" applyFont="1" applyFill="1" applyBorder="1" applyAlignment="1" applyProtection="1">
      <alignment horizontal="center" vertical="center" wrapText="1"/>
    </xf>
    <xf numFmtId="44" fontId="6" fillId="3" borderId="12" xfId="2" applyFont="1" applyFill="1" applyBorder="1" applyAlignment="1" applyProtection="1">
      <alignment horizontal="center" vertical="center"/>
    </xf>
    <xf numFmtId="10" fontId="7" fillId="2" borderId="21" xfId="3" applyNumberFormat="1" applyFont="1" applyFill="1" applyBorder="1" applyAlignment="1" applyProtection="1">
      <alignment horizontal="center" vertical="center"/>
    </xf>
    <xf numFmtId="169" fontId="7" fillId="2" borderId="21" xfId="3" applyNumberFormat="1" applyFont="1" applyFill="1" applyBorder="1" applyAlignment="1" applyProtection="1">
      <alignment horizontal="center" vertical="center"/>
    </xf>
    <xf numFmtId="49" fontId="7" fillId="0" borderId="12" xfId="4" applyNumberFormat="1" applyFont="1" applyBorder="1" applyAlignment="1" applyProtection="1">
      <alignment horizontal="left" vertical="center"/>
      <protection locked="0"/>
    </xf>
    <xf numFmtId="49" fontId="7" fillId="0" borderId="10" xfId="4" applyNumberFormat="1" applyFont="1" applyBorder="1" applyAlignment="1" applyProtection="1">
      <alignment horizontal="left" vertical="center"/>
      <protection locked="0"/>
    </xf>
    <xf numFmtId="44" fontId="6" fillId="2" borderId="12" xfId="2" applyFont="1" applyFill="1" applyBorder="1" applyAlignment="1" applyProtection="1">
      <alignment horizontal="center" vertical="center" wrapText="1"/>
    </xf>
    <xf numFmtId="4" fontId="6" fillId="2" borderId="20" xfId="4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/>
    </xf>
    <xf numFmtId="44" fontId="0" fillId="0" borderId="0" xfId="2" applyFont="1"/>
    <xf numFmtId="0" fontId="0" fillId="0" borderId="53" xfId="0" applyBorder="1" applyAlignment="1">
      <alignment horizontal="center"/>
    </xf>
    <xf numFmtId="0" fontId="0" fillId="0" borderId="53" xfId="0" applyBorder="1"/>
    <xf numFmtId="44" fontId="0" fillId="0" borderId="53" xfId="2" applyFont="1" applyBorder="1" applyAlignment="1">
      <alignment horizontal="center"/>
    </xf>
    <xf numFmtId="44" fontId="0" fillId="0" borderId="53" xfId="2" applyFont="1" applyBorder="1"/>
    <xf numFmtId="44" fontId="0" fillId="0" borderId="0" xfId="2" applyFont="1" applyBorder="1"/>
    <xf numFmtId="0" fontId="0" fillId="0" borderId="0" xfId="0" applyAlignment="1">
      <alignment horizontal="left"/>
    </xf>
    <xf numFmtId="14" fontId="0" fillId="0" borderId="0" xfId="0" applyNumberFormat="1"/>
    <xf numFmtId="14" fontId="0" fillId="0" borderId="0" xfId="0" applyNumberFormat="1" applyAlignment="1">
      <alignment horizontal="center"/>
    </xf>
    <xf numFmtId="44" fontId="0" fillId="0" borderId="0" xfId="0" applyNumberFormat="1"/>
    <xf numFmtId="43" fontId="6" fillId="0" borderId="11" xfId="1" applyFont="1" applyBorder="1" applyAlignment="1" applyProtection="1">
      <alignment horizontal="center" vertical="center" wrapText="1"/>
    </xf>
    <xf numFmtId="14" fontId="6" fillId="0" borderId="1" xfId="1" applyNumberFormat="1" applyFont="1" applyBorder="1" applyAlignment="1" applyProtection="1">
      <alignment horizontal="center" vertical="center"/>
      <protection locked="0"/>
    </xf>
    <xf numFmtId="14" fontId="6" fillId="0" borderId="21" xfId="1" applyNumberFormat="1" applyFont="1" applyBorder="1" applyAlignment="1" applyProtection="1">
      <alignment horizontal="center" vertical="center"/>
      <protection locked="0"/>
    </xf>
    <xf numFmtId="0" fontId="6" fillId="0" borderId="1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14" fontId="6" fillId="0" borderId="11" xfId="0" applyNumberFormat="1" applyFont="1" applyBorder="1" applyAlignment="1" applyProtection="1">
      <alignment horizontal="center" vertical="center" wrapText="1"/>
      <protection locked="0"/>
    </xf>
    <xf numFmtId="14" fontId="6" fillId="0" borderId="1" xfId="0" applyNumberFormat="1" applyFont="1" applyBorder="1" applyAlignment="1" applyProtection="1">
      <alignment horizontal="center" vertical="center" wrapText="1"/>
      <protection locked="0"/>
    </xf>
    <xf numFmtId="14" fontId="6" fillId="0" borderId="21" xfId="0" applyNumberFormat="1" applyFont="1" applyBorder="1" applyAlignment="1" applyProtection="1">
      <alignment horizontal="center" vertical="center" wrapText="1"/>
      <protection locked="0"/>
    </xf>
    <xf numFmtId="14" fontId="11" fillId="0" borderId="14" xfId="0" applyNumberFormat="1" applyFont="1" applyBorder="1" applyAlignment="1" applyProtection="1">
      <alignment horizontal="center" vertical="center"/>
      <protection locked="0"/>
    </xf>
    <xf numFmtId="14" fontId="11" fillId="0" borderId="15" xfId="0" applyNumberFormat="1" applyFont="1" applyBorder="1" applyAlignment="1" applyProtection="1">
      <alignment horizontal="center" vertical="center"/>
      <protection locked="0"/>
    </xf>
    <xf numFmtId="0" fontId="5" fillId="2" borderId="16" xfId="0" applyFont="1" applyFill="1" applyBorder="1" applyAlignment="1">
      <alignment horizontal="center" vertical="center"/>
    </xf>
    <xf numFmtId="0" fontId="5" fillId="2" borderId="18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5" fillId="2" borderId="19" xfId="0" applyFont="1" applyFill="1" applyBorder="1" applyAlignment="1">
      <alignment horizontal="center" vertical="center"/>
    </xf>
    <xf numFmtId="0" fontId="5" fillId="5" borderId="27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24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26" xfId="0" applyFont="1" applyFill="1" applyBorder="1" applyAlignment="1">
      <alignment horizontal="center" vertical="center" wrapText="1"/>
    </xf>
    <xf numFmtId="44" fontId="6" fillId="9" borderId="39" xfId="2" applyFont="1" applyFill="1" applyBorder="1" applyAlignment="1" applyProtection="1">
      <alignment horizontal="center" vertical="center"/>
    </xf>
    <xf numFmtId="44" fontId="6" fillId="9" borderId="37" xfId="2" applyFont="1" applyFill="1" applyBorder="1" applyAlignment="1" applyProtection="1">
      <alignment horizontal="center" vertical="center"/>
    </xf>
    <xf numFmtId="44" fontId="6" fillId="9" borderId="38" xfId="2" applyFont="1" applyFill="1" applyBorder="1" applyAlignment="1" applyProtection="1">
      <alignment horizontal="center" vertical="center"/>
    </xf>
    <xf numFmtId="44" fontId="6" fillId="3" borderId="34" xfId="2" applyFont="1" applyFill="1" applyBorder="1" applyAlignment="1" applyProtection="1">
      <alignment horizontal="center" vertical="center"/>
      <protection locked="0"/>
    </xf>
    <xf numFmtId="44" fontId="6" fillId="3" borderId="35" xfId="2" applyFont="1" applyFill="1" applyBorder="1" applyAlignment="1" applyProtection="1">
      <alignment horizontal="center" vertical="center"/>
      <protection locked="0"/>
    </xf>
    <xf numFmtId="44" fontId="6" fillId="4" borderId="1" xfId="2" applyFont="1" applyFill="1" applyBorder="1" applyAlignment="1" applyProtection="1">
      <alignment horizontal="center" vertical="center"/>
      <protection locked="0"/>
    </xf>
    <xf numFmtId="44" fontId="6" fillId="4" borderId="21" xfId="2" applyFont="1" applyFill="1" applyBorder="1" applyAlignment="1" applyProtection="1">
      <alignment horizontal="center" vertical="center"/>
      <protection locked="0"/>
    </xf>
    <xf numFmtId="8" fontId="6" fillId="8" borderId="1" xfId="2" applyNumberFormat="1" applyFont="1" applyFill="1" applyBorder="1" applyAlignment="1" applyProtection="1">
      <alignment horizontal="center" vertical="center"/>
      <protection locked="0"/>
    </xf>
    <xf numFmtId="44" fontId="6" fillId="8" borderId="21" xfId="2" applyFont="1" applyFill="1" applyBorder="1" applyAlignment="1" applyProtection="1">
      <alignment horizontal="center" vertical="center"/>
      <protection locked="0"/>
    </xf>
    <xf numFmtId="44" fontId="6" fillId="0" borderId="1" xfId="2" applyFont="1" applyBorder="1" applyAlignment="1" applyProtection="1">
      <alignment horizontal="center" vertical="center"/>
    </xf>
    <xf numFmtId="44" fontId="6" fillId="0" borderId="21" xfId="2" applyFont="1" applyBorder="1" applyAlignment="1" applyProtection="1">
      <alignment horizontal="center" vertical="center"/>
    </xf>
    <xf numFmtId="49" fontId="7" fillId="0" borderId="1" xfId="4" applyNumberFormat="1" applyFont="1" applyBorder="1" applyAlignment="1" applyProtection="1">
      <alignment horizontal="left" vertical="center"/>
      <protection locked="0"/>
    </xf>
    <xf numFmtId="49" fontId="7" fillId="0" borderId="12" xfId="4" applyNumberFormat="1" applyFont="1" applyBorder="1" applyAlignment="1" applyProtection="1">
      <alignment horizontal="left" vertical="center"/>
      <protection locked="0"/>
    </xf>
    <xf numFmtId="49" fontId="14" fillId="3" borderId="1" xfId="4" applyNumberFormat="1" applyFont="1" applyFill="1" applyBorder="1" applyAlignment="1" applyProtection="1">
      <alignment horizontal="left" vertical="center"/>
      <protection locked="0"/>
    </xf>
    <xf numFmtId="49" fontId="14" fillId="3" borderId="12" xfId="4" applyNumberFormat="1" applyFont="1" applyFill="1" applyBorder="1" applyAlignment="1" applyProtection="1">
      <alignment horizontal="left" vertical="center"/>
      <protection locked="0"/>
    </xf>
    <xf numFmtId="10" fontId="6" fillId="0" borderId="1" xfId="3" applyNumberFormat="1" applyFont="1" applyBorder="1" applyAlignment="1" applyProtection="1">
      <alignment horizontal="center" vertical="center" wrapText="1"/>
      <protection locked="0"/>
    </xf>
    <xf numFmtId="168" fontId="13" fillId="0" borderId="20" xfId="0" applyNumberFormat="1" applyFont="1" applyBorder="1" applyAlignment="1">
      <alignment horizontal="center" vertical="center"/>
    </xf>
    <xf numFmtId="168" fontId="13" fillId="0" borderId="1" xfId="0" applyNumberFormat="1" applyFont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3" fillId="0" borderId="34" xfId="0" applyFont="1" applyBorder="1" applyAlignment="1">
      <alignment horizontal="center" vertical="center"/>
    </xf>
    <xf numFmtId="44" fontId="6" fillId="9" borderId="36" xfId="2" applyFont="1" applyFill="1" applyBorder="1" applyAlignment="1" applyProtection="1">
      <alignment horizontal="center" vertical="center"/>
    </xf>
    <xf numFmtId="44" fontId="6" fillId="0" borderId="1" xfId="2" applyFont="1" applyBorder="1" applyAlignment="1" applyProtection="1">
      <alignment horizontal="center" vertical="center" wrapText="1"/>
      <protection locked="0"/>
    </xf>
    <xf numFmtId="44" fontId="6" fillId="5" borderId="1" xfId="2" applyFont="1" applyFill="1" applyBorder="1" applyAlignment="1" applyProtection="1">
      <alignment horizontal="center" vertical="center" wrapText="1"/>
      <protection locked="0"/>
    </xf>
    <xf numFmtId="44" fontId="6" fillId="5" borderId="21" xfId="2" applyFont="1" applyFill="1" applyBorder="1" applyAlignment="1" applyProtection="1">
      <alignment horizontal="center" vertical="center" wrapText="1"/>
      <protection locked="0"/>
    </xf>
    <xf numFmtId="44" fontId="6" fillId="0" borderId="21" xfId="2" applyFont="1" applyBorder="1" applyAlignment="1" applyProtection="1">
      <alignment horizontal="center" vertical="center" wrapText="1"/>
      <protection locked="0"/>
    </xf>
    <xf numFmtId="0" fontId="5" fillId="9" borderId="27" xfId="0" applyFont="1" applyFill="1" applyBorder="1" applyAlignment="1">
      <alignment horizontal="center" vertical="center"/>
    </xf>
    <xf numFmtId="0" fontId="5" fillId="9" borderId="28" xfId="0" applyFont="1" applyFill="1" applyBorder="1" applyAlignment="1">
      <alignment horizontal="center" vertical="center"/>
    </xf>
    <xf numFmtId="0" fontId="5" fillId="9" borderId="31" xfId="0" applyFont="1" applyFill="1" applyBorder="1" applyAlignment="1">
      <alignment horizontal="center" vertical="center"/>
    </xf>
    <xf numFmtId="168" fontId="6" fillId="0" borderId="1" xfId="0" applyNumberFormat="1" applyFont="1" applyBorder="1" applyAlignment="1">
      <alignment horizontal="center" vertical="center"/>
    </xf>
    <xf numFmtId="168" fontId="6" fillId="0" borderId="21" xfId="0" applyNumberFormat="1" applyFont="1" applyBorder="1" applyAlignment="1">
      <alignment horizontal="center" vertical="center"/>
    </xf>
    <xf numFmtId="44" fontId="6" fillId="8" borderId="1" xfId="2" applyFont="1" applyFill="1" applyBorder="1" applyAlignment="1" applyProtection="1">
      <alignment horizontal="center" vertical="center"/>
      <protection locked="0"/>
    </xf>
    <xf numFmtId="10" fontId="6" fillId="5" borderId="1" xfId="3" applyNumberFormat="1" applyFont="1" applyFill="1" applyBorder="1" applyAlignment="1" applyProtection="1">
      <alignment horizontal="center" vertical="center" wrapText="1"/>
      <protection locked="0"/>
    </xf>
    <xf numFmtId="0" fontId="6" fillId="0" borderId="34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44" fontId="5" fillId="5" borderId="24" xfId="2" applyFont="1" applyFill="1" applyBorder="1" applyAlignment="1">
      <alignment horizontal="center" vertical="center" wrapText="1"/>
    </xf>
    <xf numFmtId="44" fontId="5" fillId="5" borderId="25" xfId="2" applyFont="1" applyFill="1" applyBorder="1" applyAlignment="1">
      <alignment horizontal="center" vertical="center" wrapText="1"/>
    </xf>
    <xf numFmtId="44" fontId="5" fillId="5" borderId="26" xfId="2" applyFont="1" applyFill="1" applyBorder="1" applyAlignment="1">
      <alignment horizontal="center" vertical="center" wrapText="1"/>
    </xf>
    <xf numFmtId="44" fontId="5" fillId="5" borderId="30" xfId="2" applyFont="1" applyFill="1" applyBorder="1" applyAlignment="1">
      <alignment horizontal="center" vertical="center" wrapText="1"/>
    </xf>
    <xf numFmtId="44" fontId="5" fillId="5" borderId="46" xfId="2" applyFont="1" applyFill="1" applyBorder="1" applyAlignment="1">
      <alignment horizontal="center" vertical="center" wrapText="1"/>
    </xf>
    <xf numFmtId="49" fontId="14" fillId="3" borderId="52" xfId="4" applyNumberFormat="1" applyFont="1" applyFill="1" applyBorder="1" applyAlignment="1" applyProtection="1">
      <alignment horizontal="left" vertical="center"/>
      <protection locked="0"/>
    </xf>
    <xf numFmtId="0" fontId="5" fillId="7" borderId="6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5" fillId="5" borderId="14" xfId="0" applyFont="1" applyFill="1" applyBorder="1" applyAlignment="1">
      <alignment horizontal="center" vertical="center" wrapText="1"/>
    </xf>
    <xf numFmtId="0" fontId="5" fillId="5" borderId="1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6" fillId="0" borderId="9" xfId="0" applyFont="1" applyBorder="1" applyAlignment="1">
      <alignment horizontal="center" vertical="center"/>
    </xf>
    <xf numFmtId="49" fontId="14" fillId="6" borderId="1" xfId="4" applyNumberFormat="1" applyFont="1" applyFill="1" applyBorder="1" applyAlignment="1" applyProtection="1">
      <alignment horizontal="left" vertical="center"/>
      <protection locked="0"/>
    </xf>
    <xf numFmtId="49" fontId="14" fillId="6" borderId="12" xfId="4" applyNumberFormat="1" applyFont="1" applyFill="1" applyBorder="1" applyAlignment="1" applyProtection="1">
      <alignment horizontal="left" vertical="center"/>
      <protection locked="0"/>
    </xf>
    <xf numFmtId="0" fontId="5" fillId="5" borderId="32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0" borderId="16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22" xfId="0" applyFont="1" applyBorder="1" applyAlignment="1">
      <alignment horizontal="left" vertical="top"/>
    </xf>
    <xf numFmtId="0" fontId="5" fillId="0" borderId="9" xfId="0" applyFont="1" applyBorder="1" applyAlignment="1">
      <alignment horizontal="left" vertical="top"/>
    </xf>
    <xf numFmtId="0" fontId="5" fillId="0" borderId="23" xfId="0" applyFont="1" applyBorder="1" applyAlignment="1">
      <alignment horizontal="left" vertical="top"/>
    </xf>
    <xf numFmtId="0" fontId="20" fillId="0" borderId="12" xfId="0" applyFont="1" applyBorder="1" applyAlignment="1">
      <alignment horizontal="left"/>
    </xf>
    <xf numFmtId="0" fontId="20" fillId="0" borderId="52" xfId="0" applyFont="1" applyBorder="1" applyAlignment="1">
      <alignment horizontal="left"/>
    </xf>
    <xf numFmtId="0" fontId="5" fillId="0" borderId="18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5" fillId="0" borderId="19" xfId="0" applyFont="1" applyBorder="1" applyAlignment="1">
      <alignment horizontal="left" vertical="top"/>
    </xf>
    <xf numFmtId="0" fontId="0" fillId="0" borderId="0" xfId="0" applyAlignment="1">
      <alignment horizontal="center"/>
    </xf>
    <xf numFmtId="0" fontId="0" fillId="0" borderId="53" xfId="0" applyBorder="1" applyAlignment="1">
      <alignment horizontal="center"/>
    </xf>
  </cellXfs>
  <cellStyles count="7">
    <cellStyle name="Moeda" xfId="2" builtinId="4"/>
    <cellStyle name="Normal" xfId="0" builtinId="0"/>
    <cellStyle name="Normal 10" xfId="5" xr:uid="{849B8AA3-9E47-4B58-80DF-EFF5E92681AF}"/>
    <cellStyle name="Normal 2" xfId="4" xr:uid="{42F43737-8594-46B9-9E7F-2A58EA9F731B}"/>
    <cellStyle name="Porcentagem" xfId="3" builtinId="5"/>
    <cellStyle name="Vírgula" xfId="1" builtinId="3"/>
    <cellStyle name="Vírgula 3" xfId="6" xr:uid="{5E4A64BD-12BA-472C-98D0-AE2217CF4253}"/>
  </cellStyles>
  <dxfs count="15"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</font>
      <fill>
        <patternFill>
          <fgColor indexed="64"/>
          <bgColor rgb="FFFF0000"/>
        </patternFill>
      </fill>
    </dxf>
    <dxf>
      <font>
        <b/>
        <i val="0"/>
        <color auto="1"/>
      </font>
      <fill>
        <patternFill>
          <fgColor indexed="64"/>
          <bgColor rgb="FFFF0000"/>
        </patternFill>
      </fill>
    </dxf>
  </dxfs>
  <tableStyles count="0" defaultTableStyle="TableStyleMedium2" defaultPivotStyle="PivotStyleLight16"/>
  <colors>
    <mruColors>
      <color rgb="FFEF904F"/>
      <color rgb="FFF2A36E"/>
      <color rgb="FFFF6600"/>
      <color rgb="FF5F5F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2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162921</xdr:colOff>
      <xdr:row>0</xdr:row>
      <xdr:rowOff>260431</xdr:rowOff>
    </xdr:from>
    <xdr:to>
      <xdr:col>2</xdr:col>
      <xdr:colOff>1128228</xdr:colOff>
      <xdr:row>4</xdr:row>
      <xdr:rowOff>0</xdr:rowOff>
    </xdr:to>
    <xdr:pic>
      <xdr:nvPicPr>
        <xdr:cNvPr id="3" name="Imagem 2" descr="2 - logo MPD sombra">
          <a:extLst>
            <a:ext uri="{FF2B5EF4-FFF2-40B4-BE49-F238E27FC236}">
              <a16:creationId xmlns:a16="http://schemas.microsoft.com/office/drawing/2014/main" id="{12FDB4CD-AA96-420F-9E22-D185361CB4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055" b="20000"/>
        <a:stretch/>
      </xdr:blipFill>
      <xdr:spPr bwMode="auto">
        <a:xfrm>
          <a:off x="176528" y="260431"/>
          <a:ext cx="2543736" cy="61233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HEAD2008\QUANTITATIVOS\Ahead%20-%20Or&#231;.exec.Global%20-%20Rev05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AHEAD2008\OR&#199;AMENTO\Ahead-Or&#231;.exe.Global-Rev08-%20Operacio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RESUMO COMPARATIVO"/>
      <sheetName val="Planilha"/>
      <sheetName val="PLANILHA COMPARATIVA"/>
      <sheetName val="cpu"/>
      <sheetName val="ABC-ETAPAS"/>
      <sheetName val="ABC-SERVIÇOS"/>
      <sheetName val="Aditiv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C3" t="str">
            <v>BUENO NETTO GESTÃO IMOBILIÁRIA LTDA</v>
          </cell>
        </row>
        <row r="4">
          <cell r="C4" t="str">
            <v>OrçamentoAnalítico</v>
          </cell>
        </row>
        <row r="7">
          <cell r="C7" t="str">
            <v>OBRA:</v>
          </cell>
          <cell r="D7" t="str">
            <v>ED AHEAD FARIA LIMA</v>
          </cell>
          <cell r="I7" t="str">
            <v>Data: 11/04/2008</v>
          </cell>
        </row>
        <row r="8">
          <cell r="C8" t="str">
            <v>ORÇAMENTO:</v>
          </cell>
          <cell r="D8" t="str">
            <v>Orçamento Executivo - Revisão 05</v>
          </cell>
          <cell r="I8" t="str">
            <v>Data base - Abril/2008</v>
          </cell>
        </row>
        <row r="9">
          <cell r="C9" t="str">
            <v>LOCAL:</v>
          </cell>
          <cell r="D9" t="str">
            <v>Rua Claúdio Soares</v>
          </cell>
          <cell r="I9">
            <v>35419.25</v>
          </cell>
        </row>
        <row r="11">
          <cell r="C11" t="str">
            <v>CÓDIGO</v>
          </cell>
          <cell r="D11" t="str">
            <v>DESCRIÇÃO</v>
          </cell>
          <cell r="E11" t="str">
            <v>CLASS</v>
          </cell>
          <cell r="F11" t="str">
            <v>UNIDADE</v>
          </cell>
          <cell r="G11" t="str">
            <v>QUANT./COEF.</v>
          </cell>
          <cell r="H11" t="str">
            <v>PREÇO(R$)</v>
          </cell>
          <cell r="I11" t="str">
            <v>PREÇO TOTAL (R$)</v>
          </cell>
        </row>
        <row r="12">
          <cell r="C12" t="str">
            <v>06.01.01.01</v>
          </cell>
          <cell r="D12" t="str">
            <v>Despesas com expediente</v>
          </cell>
          <cell r="E12" t="str">
            <v xml:space="preserve">SER.CG </v>
          </cell>
          <cell r="F12" t="str">
            <v xml:space="preserve">mês </v>
          </cell>
          <cell r="G12">
            <v>26</v>
          </cell>
          <cell r="H12">
            <v>1100</v>
          </cell>
          <cell r="I12">
            <v>28600</v>
          </cell>
        </row>
        <row r="13">
          <cell r="C13" t="str">
            <v>223</v>
          </cell>
          <cell r="D13" t="str">
            <v>Despesas com expediente</v>
          </cell>
          <cell r="E13" t="str">
            <v>VERBA</v>
          </cell>
          <cell r="F13" t="str">
            <v>Vb</v>
          </cell>
          <cell r="G13">
            <v>1</v>
          </cell>
          <cell r="H13">
            <v>1100</v>
          </cell>
          <cell r="I13">
            <v>1100</v>
          </cell>
        </row>
        <row r="14">
          <cell r="C14" t="str">
            <v>06.01.03.01</v>
          </cell>
          <cell r="D14" t="str">
            <v>Caixa de Obra</v>
          </cell>
          <cell r="E14" t="str">
            <v xml:space="preserve">SER.CG </v>
          </cell>
          <cell r="F14" t="str">
            <v xml:space="preserve">mês </v>
          </cell>
          <cell r="G14">
            <v>26</v>
          </cell>
          <cell r="H14">
            <v>1100</v>
          </cell>
          <cell r="I14">
            <v>28600</v>
          </cell>
        </row>
        <row r="15">
          <cell r="C15" t="str">
            <v>232</v>
          </cell>
          <cell r="D15" t="str">
            <v>Caixa de obra</v>
          </cell>
          <cell r="E15" t="str">
            <v>VERBA</v>
          </cell>
          <cell r="F15" t="str">
            <v>Vb</v>
          </cell>
          <cell r="G15">
            <v>1</v>
          </cell>
          <cell r="H15">
            <v>1100</v>
          </cell>
          <cell r="I15">
            <v>1100</v>
          </cell>
        </row>
        <row r="16">
          <cell r="C16" t="str">
            <v>06.01.04.01</v>
          </cell>
          <cell r="D16" t="str">
            <v>Cópias e Plotagens</v>
          </cell>
          <cell r="E16" t="str">
            <v xml:space="preserve">SER.CG </v>
          </cell>
          <cell r="F16" t="str">
            <v xml:space="preserve">mês </v>
          </cell>
          <cell r="G16">
            <v>26</v>
          </cell>
          <cell r="H16">
            <v>2200</v>
          </cell>
          <cell r="I16">
            <v>57200</v>
          </cell>
        </row>
        <row r="17">
          <cell r="C17" t="str">
            <v>224</v>
          </cell>
          <cell r="D17" t="str">
            <v>Cópias de projetos e documentos</v>
          </cell>
          <cell r="E17" t="str">
            <v>EMPRE</v>
          </cell>
          <cell r="F17" t="str">
            <v>Vb</v>
          </cell>
          <cell r="G17">
            <v>1</v>
          </cell>
          <cell r="H17">
            <v>2200</v>
          </cell>
          <cell r="I17">
            <v>2200</v>
          </cell>
        </row>
        <row r="18">
          <cell r="C18" t="str">
            <v>06.02.01.01</v>
          </cell>
          <cell r="D18" t="str">
            <v>Equipe de campo</v>
          </cell>
          <cell r="E18" t="str">
            <v xml:space="preserve">SER.CG </v>
          </cell>
          <cell r="F18" t="str">
            <v xml:space="preserve">mês </v>
          </cell>
          <cell r="G18">
            <v>26</v>
          </cell>
          <cell r="H18">
            <v>45544.62</v>
          </cell>
          <cell r="I18">
            <v>1184160.1200000001</v>
          </cell>
        </row>
        <row r="19">
          <cell r="C19">
            <v>1</v>
          </cell>
          <cell r="D19" t="str">
            <v>Coordenador PJ</v>
          </cell>
          <cell r="E19" t="str">
            <v>M.O.</v>
          </cell>
          <cell r="F19" t="str">
            <v>mês</v>
          </cell>
          <cell r="G19">
            <v>0.2</v>
          </cell>
          <cell r="H19">
            <v>19435</v>
          </cell>
          <cell r="I19">
            <v>3887</v>
          </cell>
        </row>
        <row r="20">
          <cell r="C20">
            <v>1</v>
          </cell>
          <cell r="D20" t="str">
            <v>Engenheiro civil</v>
          </cell>
          <cell r="E20" t="str">
            <v>M.O.</v>
          </cell>
          <cell r="F20" t="str">
            <v>mês</v>
          </cell>
          <cell r="G20">
            <v>1</v>
          </cell>
          <cell r="H20">
            <v>12595</v>
          </cell>
          <cell r="I20">
            <v>12595</v>
          </cell>
        </row>
        <row r="21">
          <cell r="C21">
            <v>1</v>
          </cell>
          <cell r="D21" t="str">
            <v>Encarregado civil</v>
          </cell>
          <cell r="E21" t="str">
            <v>M.O.</v>
          </cell>
          <cell r="F21" t="str">
            <v>mês</v>
          </cell>
          <cell r="G21">
            <v>1</v>
          </cell>
          <cell r="H21">
            <v>4351</v>
          </cell>
          <cell r="I21">
            <v>4351</v>
          </cell>
        </row>
        <row r="22">
          <cell r="C22">
            <v>1</v>
          </cell>
          <cell r="D22" t="str">
            <v>Mestre de obras</v>
          </cell>
          <cell r="E22" t="str">
            <v>M.O.</v>
          </cell>
          <cell r="F22" t="str">
            <v>mês</v>
          </cell>
          <cell r="G22">
            <v>1</v>
          </cell>
          <cell r="H22">
            <v>11450</v>
          </cell>
          <cell r="I22">
            <v>11450</v>
          </cell>
        </row>
        <row r="23">
          <cell r="C23">
            <v>1</v>
          </cell>
          <cell r="D23" t="str">
            <v>Estagiário obras</v>
          </cell>
          <cell r="E23" t="str">
            <v>M.O.</v>
          </cell>
          <cell r="F23" t="str">
            <v>mês</v>
          </cell>
          <cell r="G23">
            <v>1.7</v>
          </cell>
          <cell r="H23">
            <v>3625.07</v>
          </cell>
          <cell r="I23">
            <v>6162.62</v>
          </cell>
        </row>
        <row r="24">
          <cell r="C24">
            <v>1</v>
          </cell>
          <cell r="D24" t="str">
            <v>Encarregado Administrativo</v>
          </cell>
          <cell r="E24" t="str">
            <v>M.O.</v>
          </cell>
          <cell r="F24" t="str">
            <v>mês</v>
          </cell>
          <cell r="G24">
            <v>1</v>
          </cell>
          <cell r="H24">
            <v>4351</v>
          </cell>
          <cell r="I24">
            <v>4351</v>
          </cell>
        </row>
        <row r="25">
          <cell r="C25">
            <v>1</v>
          </cell>
          <cell r="D25" t="str">
            <v>Auxiliar Administrativo</v>
          </cell>
          <cell r="E25" t="str">
            <v>M.O.</v>
          </cell>
          <cell r="F25" t="str">
            <v>mês</v>
          </cell>
          <cell r="G25">
            <v>0.8</v>
          </cell>
          <cell r="H25">
            <v>3435</v>
          </cell>
          <cell r="I25">
            <v>2748</v>
          </cell>
        </row>
        <row r="26">
          <cell r="C26" t="str">
            <v>06.04.02.01</v>
          </cell>
          <cell r="D26" t="str">
            <v>Seguro de risco de engenharia</v>
          </cell>
          <cell r="E26" t="str">
            <v xml:space="preserve">SER.CG </v>
          </cell>
          <cell r="F26" t="str">
            <v xml:space="preserve">mês </v>
          </cell>
          <cell r="G26">
            <v>10</v>
          </cell>
          <cell r="H26">
            <v>3727.92</v>
          </cell>
          <cell r="I26">
            <v>37279.199999999997</v>
          </cell>
        </row>
        <row r="27">
          <cell r="C27" t="str">
            <v>238</v>
          </cell>
          <cell r="D27" t="str">
            <v>Seguros (riscos de engenharia)</v>
          </cell>
          <cell r="E27" t="str">
            <v>VERBA</v>
          </cell>
          <cell r="F27" t="str">
            <v>mês</v>
          </cell>
          <cell r="G27">
            <v>1</v>
          </cell>
          <cell r="H27">
            <v>3727.92</v>
          </cell>
          <cell r="I27">
            <v>3727.92</v>
          </cell>
        </row>
        <row r="28">
          <cell r="C28" t="str">
            <v>07.01.12.01</v>
          </cell>
          <cell r="D28" t="str">
            <v>Projeto de Formas</v>
          </cell>
          <cell r="E28" t="str">
            <v xml:space="preserve">SER.CG </v>
          </cell>
          <cell r="F28" t="str">
            <v xml:space="preserve">Vb </v>
          </cell>
          <cell r="G28">
            <v>1</v>
          </cell>
          <cell r="H28">
            <v>25500</v>
          </cell>
          <cell r="I28">
            <v>25500</v>
          </cell>
        </row>
        <row r="29">
          <cell r="C29" t="str">
            <v>884</v>
          </cell>
          <cell r="D29" t="str">
            <v>Projeto de Formas</v>
          </cell>
          <cell r="E29" t="str">
            <v>EMPRE</v>
          </cell>
          <cell r="F29" t="str">
            <v>Vb</v>
          </cell>
          <cell r="G29">
            <v>1</v>
          </cell>
          <cell r="H29">
            <v>25500</v>
          </cell>
          <cell r="I29">
            <v>25500</v>
          </cell>
        </row>
        <row r="30">
          <cell r="C30" t="str">
            <v>07.01.13.01</v>
          </cell>
          <cell r="D30" t="str">
            <v>Projeto de Vedações</v>
          </cell>
          <cell r="E30" t="str">
            <v xml:space="preserve">SER.CG </v>
          </cell>
          <cell r="F30" t="str">
            <v xml:space="preserve">Vb </v>
          </cell>
          <cell r="G30">
            <v>1</v>
          </cell>
          <cell r="H30">
            <v>15000</v>
          </cell>
          <cell r="I30">
            <v>15000</v>
          </cell>
        </row>
        <row r="31">
          <cell r="C31" t="str">
            <v>4648</v>
          </cell>
          <cell r="D31" t="str">
            <v>Projeto de vedações</v>
          </cell>
          <cell r="E31" t="str">
            <v>EMPRE</v>
          </cell>
          <cell r="F31" t="str">
            <v>Vb</v>
          </cell>
          <cell r="G31">
            <v>1</v>
          </cell>
          <cell r="H31">
            <v>15000</v>
          </cell>
          <cell r="I31">
            <v>15000</v>
          </cell>
        </row>
        <row r="32">
          <cell r="C32" t="str">
            <v>07.02.02.01</v>
          </cell>
          <cell r="D32" t="str">
            <v>Orçamento e Programação</v>
          </cell>
          <cell r="E32" t="str">
            <v xml:space="preserve">SER.CG </v>
          </cell>
          <cell r="F32" t="str">
            <v xml:space="preserve">Vb </v>
          </cell>
          <cell r="G32">
            <v>1</v>
          </cell>
          <cell r="H32">
            <v>10300</v>
          </cell>
          <cell r="I32">
            <v>10300</v>
          </cell>
        </row>
        <row r="33">
          <cell r="C33" t="str">
            <v>888</v>
          </cell>
          <cell r="D33" t="str">
            <v>Orçamento da obra</v>
          </cell>
          <cell r="E33" t="str">
            <v>EMPRE</v>
          </cell>
          <cell r="F33" t="str">
            <v>Vb</v>
          </cell>
          <cell r="G33">
            <v>1</v>
          </cell>
          <cell r="H33">
            <v>10300</v>
          </cell>
          <cell r="I33">
            <v>10300</v>
          </cell>
        </row>
        <row r="34">
          <cell r="C34" t="str">
            <v>07.02.03.01</v>
          </cell>
          <cell r="D34" t="str">
            <v>Técnico de Segurança do Trabalho</v>
          </cell>
          <cell r="E34" t="str">
            <v xml:space="preserve">SER.CG </v>
          </cell>
          <cell r="F34" t="str">
            <v xml:space="preserve">mês </v>
          </cell>
          <cell r="G34">
            <v>26</v>
          </cell>
          <cell r="H34">
            <v>2300</v>
          </cell>
          <cell r="I34">
            <v>59800</v>
          </cell>
        </row>
        <row r="35">
          <cell r="C35" t="str">
            <v>897</v>
          </cell>
          <cell r="D35" t="str">
            <v>Técnico de segurança do trabalho</v>
          </cell>
          <cell r="E35" t="str">
            <v>EMPRE</v>
          </cell>
          <cell r="F35" t="str">
            <v>mês</v>
          </cell>
          <cell r="G35">
            <v>1</v>
          </cell>
          <cell r="H35">
            <v>2300</v>
          </cell>
          <cell r="I35">
            <v>2300</v>
          </cell>
        </row>
        <row r="36">
          <cell r="C36" t="str">
            <v>07.02.04.01</v>
          </cell>
          <cell r="D36" t="str">
            <v>Assessoria de Bombeiro</v>
          </cell>
          <cell r="E36" t="str">
            <v xml:space="preserve">SER.CG </v>
          </cell>
          <cell r="F36" t="str">
            <v xml:space="preserve">Vb </v>
          </cell>
          <cell r="G36">
            <v>1</v>
          </cell>
          <cell r="H36">
            <v>5000</v>
          </cell>
          <cell r="I36">
            <v>5000</v>
          </cell>
        </row>
        <row r="37">
          <cell r="C37" t="str">
            <v>873</v>
          </cell>
          <cell r="D37" t="str">
            <v>Assessoria bombeiro</v>
          </cell>
          <cell r="E37" t="str">
            <v>VERBA</v>
          </cell>
          <cell r="F37" t="str">
            <v>Vb</v>
          </cell>
          <cell r="G37">
            <v>1</v>
          </cell>
          <cell r="H37">
            <v>5000</v>
          </cell>
          <cell r="I37">
            <v>5000</v>
          </cell>
        </row>
        <row r="38">
          <cell r="C38" t="str">
            <v>07.02.05.01</v>
          </cell>
          <cell r="D38" t="str">
            <v>Levantamento Topográfico</v>
          </cell>
          <cell r="E38" t="str">
            <v xml:space="preserve">SER.CG </v>
          </cell>
          <cell r="F38" t="str">
            <v xml:space="preserve">Vb </v>
          </cell>
          <cell r="G38">
            <v>1</v>
          </cell>
          <cell r="H38">
            <v>2000</v>
          </cell>
          <cell r="I38">
            <v>2000</v>
          </cell>
        </row>
        <row r="39">
          <cell r="C39" t="str">
            <v>889</v>
          </cell>
          <cell r="D39" t="str">
            <v>Projeto planialtimétrico</v>
          </cell>
          <cell r="E39" t="str">
            <v>EMPRE</v>
          </cell>
          <cell r="F39" t="str">
            <v>Vb</v>
          </cell>
          <cell r="G39">
            <v>1</v>
          </cell>
          <cell r="H39">
            <v>2000</v>
          </cell>
          <cell r="I39">
            <v>2000</v>
          </cell>
        </row>
        <row r="40">
          <cell r="C40" t="str">
            <v>07.02.05.02</v>
          </cell>
          <cell r="D40" t="str">
            <v>Serviços Topográficos</v>
          </cell>
          <cell r="E40" t="str">
            <v xml:space="preserve">SER.CG </v>
          </cell>
          <cell r="F40" t="str">
            <v xml:space="preserve">Vb </v>
          </cell>
          <cell r="G40">
            <v>1</v>
          </cell>
          <cell r="H40">
            <v>14000</v>
          </cell>
          <cell r="I40">
            <v>14000</v>
          </cell>
        </row>
        <row r="41">
          <cell r="C41" t="str">
            <v>885</v>
          </cell>
          <cell r="D41" t="str">
            <v>Serviços topográficos</v>
          </cell>
          <cell r="E41" t="str">
            <v>EMPRE</v>
          </cell>
          <cell r="F41" t="str">
            <v>Vb</v>
          </cell>
          <cell r="G41">
            <v>1</v>
          </cell>
          <cell r="H41">
            <v>14000</v>
          </cell>
          <cell r="I41">
            <v>14000</v>
          </cell>
        </row>
        <row r="42">
          <cell r="C42" t="str">
            <v>07.02.07.01</v>
          </cell>
          <cell r="D42" t="str">
            <v>Perícias</v>
          </cell>
          <cell r="E42" t="str">
            <v xml:space="preserve">SER.CG </v>
          </cell>
          <cell r="F42" t="str">
            <v xml:space="preserve">Vb </v>
          </cell>
          <cell r="G42">
            <v>1</v>
          </cell>
          <cell r="H42">
            <v>8500</v>
          </cell>
          <cell r="I42">
            <v>8500</v>
          </cell>
        </row>
        <row r="43">
          <cell r="C43" t="str">
            <v>869</v>
          </cell>
          <cell r="D43" t="str">
            <v>Perícias</v>
          </cell>
          <cell r="E43" t="str">
            <v>MAT.</v>
          </cell>
          <cell r="F43" t="str">
            <v>Vb</v>
          </cell>
          <cell r="G43">
            <v>1</v>
          </cell>
          <cell r="H43">
            <v>8500</v>
          </cell>
          <cell r="I43">
            <v>8500</v>
          </cell>
        </row>
        <row r="44">
          <cell r="C44" t="str">
            <v>07.02.15.01</v>
          </cell>
          <cell r="D44" t="str">
            <v>Sondagem (SPT)</v>
          </cell>
          <cell r="E44" t="str">
            <v xml:space="preserve">SER.CG </v>
          </cell>
          <cell r="F44" t="str">
            <v xml:space="preserve">m </v>
          </cell>
          <cell r="G44">
            <v>258</v>
          </cell>
          <cell r="H44">
            <v>65</v>
          </cell>
          <cell r="I44">
            <v>16770</v>
          </cell>
        </row>
        <row r="45">
          <cell r="C45" t="str">
            <v>2666</v>
          </cell>
          <cell r="D45" t="str">
            <v>Sondagem a percussão SPT</v>
          </cell>
          <cell r="E45" t="str">
            <v>EMPRE</v>
          </cell>
          <cell r="F45" t="str">
            <v>m</v>
          </cell>
          <cell r="G45">
            <v>1</v>
          </cell>
          <cell r="H45">
            <v>65</v>
          </cell>
          <cell r="I45">
            <v>65</v>
          </cell>
        </row>
        <row r="46">
          <cell r="C46" t="str">
            <v>07.03.01.01</v>
          </cell>
          <cell r="D46" t="str">
            <v>Alvará de Bombeiro</v>
          </cell>
          <cell r="E46" t="str">
            <v xml:space="preserve">SER.CG </v>
          </cell>
          <cell r="F46" t="str">
            <v xml:space="preserve">Vb </v>
          </cell>
          <cell r="G46">
            <v>1</v>
          </cell>
          <cell r="H46">
            <v>5000</v>
          </cell>
          <cell r="I46">
            <v>5000</v>
          </cell>
        </row>
        <row r="47">
          <cell r="C47" t="str">
            <v>872</v>
          </cell>
          <cell r="D47" t="str">
            <v>Alvará de bombeiro</v>
          </cell>
          <cell r="E47" t="str">
            <v>VERBA</v>
          </cell>
          <cell r="F47" t="str">
            <v>Vb</v>
          </cell>
          <cell r="G47">
            <v>1</v>
          </cell>
          <cell r="H47">
            <v>5000</v>
          </cell>
          <cell r="I47">
            <v>5000</v>
          </cell>
        </row>
        <row r="48">
          <cell r="C48" t="str">
            <v>07.03.03.01</v>
          </cell>
          <cell r="D48" t="str">
            <v>Alvará de Elevadores</v>
          </cell>
          <cell r="E48" t="str">
            <v xml:space="preserve">SER.CG </v>
          </cell>
          <cell r="F48" t="str">
            <v xml:space="preserve">Vb </v>
          </cell>
          <cell r="G48">
            <v>1</v>
          </cell>
          <cell r="H48">
            <v>5000</v>
          </cell>
          <cell r="I48">
            <v>5000</v>
          </cell>
        </row>
        <row r="49">
          <cell r="C49" t="str">
            <v>882</v>
          </cell>
          <cell r="D49" t="str">
            <v>Alvará de elevadores</v>
          </cell>
          <cell r="E49" t="str">
            <v>VERBA</v>
          </cell>
          <cell r="F49" t="str">
            <v>Vb</v>
          </cell>
          <cell r="G49">
            <v>1</v>
          </cell>
          <cell r="H49">
            <v>5000</v>
          </cell>
          <cell r="I49">
            <v>5000</v>
          </cell>
        </row>
        <row r="50">
          <cell r="C50" t="str">
            <v>07.03.04.01</v>
          </cell>
          <cell r="D50" t="str">
            <v>Habite-se</v>
          </cell>
          <cell r="E50" t="str">
            <v xml:space="preserve">SER.CG </v>
          </cell>
          <cell r="F50" t="str">
            <v xml:space="preserve">Vb </v>
          </cell>
          <cell r="G50">
            <v>1</v>
          </cell>
          <cell r="H50">
            <v>80000</v>
          </cell>
          <cell r="I50">
            <v>80000</v>
          </cell>
        </row>
        <row r="51">
          <cell r="C51" t="str">
            <v>230</v>
          </cell>
          <cell r="D51" t="str">
            <v>Habite-se</v>
          </cell>
          <cell r="E51" t="str">
            <v>VERBA</v>
          </cell>
          <cell r="F51" t="str">
            <v>Vb</v>
          </cell>
          <cell r="G51">
            <v>1</v>
          </cell>
          <cell r="H51">
            <v>80000</v>
          </cell>
          <cell r="I51">
            <v>80000</v>
          </cell>
        </row>
        <row r="52">
          <cell r="C52" t="str">
            <v>08.01.01.01</v>
          </cell>
          <cell r="D52" t="str">
            <v>Ligações Provisórias de Água e Energia</v>
          </cell>
          <cell r="E52" t="str">
            <v xml:space="preserve">SER.CG </v>
          </cell>
          <cell r="F52" t="str">
            <v xml:space="preserve">Vb </v>
          </cell>
          <cell r="G52">
            <v>1</v>
          </cell>
          <cell r="H52">
            <v>24417</v>
          </cell>
          <cell r="I52">
            <v>24417</v>
          </cell>
        </row>
        <row r="53">
          <cell r="C53" t="str">
            <v>2702</v>
          </cell>
          <cell r="D53" t="str">
            <v>Ligações provisórias</v>
          </cell>
          <cell r="E53" t="str">
            <v>EMPRE</v>
          </cell>
          <cell r="F53" t="str">
            <v>Vb</v>
          </cell>
          <cell r="G53">
            <v>1</v>
          </cell>
          <cell r="H53">
            <v>24417</v>
          </cell>
          <cell r="I53">
            <v>24417</v>
          </cell>
        </row>
        <row r="54">
          <cell r="C54" t="str">
            <v>08.01.02.01</v>
          </cell>
          <cell r="D54" t="str">
            <v>Tapume Padrão BNG</v>
          </cell>
          <cell r="E54" t="str">
            <v xml:space="preserve">SER.CG </v>
          </cell>
          <cell r="F54" t="str">
            <v xml:space="preserve">m2 </v>
          </cell>
          <cell r="G54">
            <v>355</v>
          </cell>
          <cell r="H54">
            <v>112.67999999999999</v>
          </cell>
          <cell r="I54">
            <v>40001.4</v>
          </cell>
        </row>
        <row r="55">
          <cell r="C55" t="str">
            <v>1177</v>
          </cell>
          <cell r="D55" t="str">
            <v>Mobilização e desmobilizaçao</v>
          </cell>
          <cell r="E55" t="str">
            <v>MAT.</v>
          </cell>
          <cell r="F55" t="str">
            <v>m2</v>
          </cell>
          <cell r="G55">
            <v>1</v>
          </cell>
          <cell r="H55">
            <v>1.65</v>
          </cell>
          <cell r="I55">
            <v>1.65</v>
          </cell>
        </row>
        <row r="56">
          <cell r="C56" t="str">
            <v>1270</v>
          </cell>
          <cell r="D56" t="str">
            <v>Fornecimento painés OSB, inclusive estrutura</v>
          </cell>
          <cell r="E56" t="str">
            <v>MAT.</v>
          </cell>
          <cell r="F56" t="str">
            <v>m2</v>
          </cell>
          <cell r="G56">
            <v>0.76</v>
          </cell>
          <cell r="H56">
            <v>83.2</v>
          </cell>
          <cell r="I56">
            <v>63.23</v>
          </cell>
        </row>
        <row r="57">
          <cell r="C57" t="str">
            <v>210</v>
          </cell>
          <cell r="D57" t="str">
            <v>Fornecimento de painéis OSB para aquário</v>
          </cell>
          <cell r="E57" t="str">
            <v>MAT.</v>
          </cell>
          <cell r="F57" t="str">
            <v>m2</v>
          </cell>
          <cell r="G57">
            <v>0.13800000000000001</v>
          </cell>
          <cell r="H57">
            <v>58</v>
          </cell>
          <cell r="I57">
            <v>8</v>
          </cell>
        </row>
        <row r="58">
          <cell r="C58">
            <v>1</v>
          </cell>
          <cell r="D58" t="str">
            <v>Fornecimento e instalação de vidros</v>
          </cell>
          <cell r="E58" t="str">
            <v>MAT.</v>
          </cell>
          <cell r="F58" t="str">
            <v>m2</v>
          </cell>
          <cell r="G58">
            <v>0.1014</v>
          </cell>
          <cell r="H58">
            <v>300</v>
          </cell>
          <cell r="I58">
            <v>30.42</v>
          </cell>
        </row>
        <row r="59">
          <cell r="C59" t="str">
            <v>497</v>
          </cell>
          <cell r="D59" t="str">
            <v>Pintura em 3 demãos</v>
          </cell>
          <cell r="E59" t="str">
            <v>M.O.</v>
          </cell>
          <cell r="F59" t="str">
            <v>m2</v>
          </cell>
          <cell r="G59">
            <v>0.76056000000000001</v>
          </cell>
          <cell r="H59">
            <v>12.33</v>
          </cell>
          <cell r="I59">
            <v>9.3800000000000008</v>
          </cell>
        </row>
        <row r="60">
          <cell r="C60" t="str">
            <v>08.01.03.01</v>
          </cell>
          <cell r="D60" t="str">
            <v>Canteiro de Obras</v>
          </cell>
          <cell r="E60" t="str">
            <v xml:space="preserve">SER.CG </v>
          </cell>
          <cell r="F60" t="str">
            <v xml:space="preserve">m2 </v>
          </cell>
          <cell r="G60">
            <v>200</v>
          </cell>
          <cell r="H60">
            <v>430</v>
          </cell>
          <cell r="I60">
            <v>86000</v>
          </cell>
        </row>
        <row r="61">
          <cell r="C61" t="str">
            <v>469</v>
          </cell>
          <cell r="D61" t="str">
            <v>Canteiro / barracão de obra</v>
          </cell>
          <cell r="E61" t="str">
            <v>EMPRE</v>
          </cell>
          <cell r="F61" t="str">
            <v>m2</v>
          </cell>
          <cell r="G61">
            <v>1</v>
          </cell>
          <cell r="H61">
            <v>380</v>
          </cell>
          <cell r="I61">
            <v>380</v>
          </cell>
        </row>
        <row r="62">
          <cell r="C62" t="str">
            <v>5425</v>
          </cell>
          <cell r="D62" t="str">
            <v>Reforma e/ou mudança do canteiro de obras</v>
          </cell>
          <cell r="E62" t="str">
            <v>MAT.</v>
          </cell>
          <cell r="F62" t="str">
            <v>m2</v>
          </cell>
          <cell r="G62">
            <v>1</v>
          </cell>
          <cell r="H62">
            <v>50</v>
          </cell>
          <cell r="I62">
            <v>50</v>
          </cell>
        </row>
        <row r="63">
          <cell r="C63" t="str">
            <v>08.01.03.02</v>
          </cell>
          <cell r="D63" t="str">
            <v>Equipamentos para Canteiro de Obras</v>
          </cell>
          <cell r="E63" t="str">
            <v xml:space="preserve">SER.CG </v>
          </cell>
          <cell r="F63" t="str">
            <v xml:space="preserve">Vb </v>
          </cell>
          <cell r="G63">
            <v>1</v>
          </cell>
          <cell r="H63">
            <v>18517.32</v>
          </cell>
          <cell r="I63">
            <v>18517.32</v>
          </cell>
        </row>
        <row r="64">
          <cell r="C64" t="str">
            <v>1279</v>
          </cell>
          <cell r="D64" t="str">
            <v>Cadeira</v>
          </cell>
          <cell r="E64" t="str">
            <v>MAT.</v>
          </cell>
          <cell r="F64" t="str">
            <v>un</v>
          </cell>
          <cell r="G64">
            <v>13</v>
          </cell>
          <cell r="H64">
            <v>120</v>
          </cell>
          <cell r="I64">
            <v>1560</v>
          </cell>
        </row>
        <row r="65">
          <cell r="C65" t="str">
            <v>1289</v>
          </cell>
          <cell r="D65" t="str">
            <v>Impressora</v>
          </cell>
          <cell r="E65" t="str">
            <v>MAT.</v>
          </cell>
          <cell r="F65" t="str">
            <v>un</v>
          </cell>
          <cell r="G65">
            <v>2</v>
          </cell>
          <cell r="H65">
            <v>263.36</v>
          </cell>
          <cell r="I65">
            <v>526.72</v>
          </cell>
        </row>
        <row r="66">
          <cell r="C66" t="str">
            <v>3292</v>
          </cell>
          <cell r="D66" t="str">
            <v>Mesa 0,70x1,40m com 3 gavetas</v>
          </cell>
          <cell r="E66" t="str">
            <v>MAT.</v>
          </cell>
          <cell r="F66" t="str">
            <v>un</v>
          </cell>
          <cell r="G66">
            <v>5</v>
          </cell>
          <cell r="H66">
            <v>250</v>
          </cell>
          <cell r="I66">
            <v>1250</v>
          </cell>
        </row>
        <row r="67">
          <cell r="C67" t="str">
            <v>3294</v>
          </cell>
          <cell r="D67" t="str">
            <v>Mesa para computador</v>
          </cell>
          <cell r="E67" t="str">
            <v>MAT.</v>
          </cell>
          <cell r="F67" t="str">
            <v>un</v>
          </cell>
          <cell r="G67">
            <v>3</v>
          </cell>
          <cell r="H67">
            <v>250</v>
          </cell>
          <cell r="I67">
            <v>750</v>
          </cell>
        </row>
        <row r="68">
          <cell r="C68" t="str">
            <v>529</v>
          </cell>
          <cell r="D68" t="str">
            <v>Micro computador</v>
          </cell>
          <cell r="E68" t="str">
            <v>MAT.</v>
          </cell>
          <cell r="F68" t="str">
            <v>un</v>
          </cell>
          <cell r="G68">
            <v>4</v>
          </cell>
          <cell r="H68">
            <v>2395.15</v>
          </cell>
          <cell r="I68">
            <v>9580.6</v>
          </cell>
        </row>
        <row r="69">
          <cell r="C69" t="str">
            <v>530</v>
          </cell>
          <cell r="D69" t="str">
            <v>Aparelho telefone</v>
          </cell>
          <cell r="E69" t="str">
            <v>MAT.</v>
          </cell>
          <cell r="F69" t="str">
            <v>un</v>
          </cell>
          <cell r="G69">
            <v>6</v>
          </cell>
          <cell r="H69">
            <v>50</v>
          </cell>
          <cell r="I69">
            <v>300</v>
          </cell>
        </row>
        <row r="70">
          <cell r="C70" t="str">
            <v>531</v>
          </cell>
          <cell r="D70" t="str">
            <v>Aparelho de fax 110/220V</v>
          </cell>
          <cell r="E70" t="str">
            <v>MAT.</v>
          </cell>
          <cell r="F70" t="str">
            <v>un</v>
          </cell>
          <cell r="G70">
            <v>1</v>
          </cell>
          <cell r="H70">
            <v>350</v>
          </cell>
          <cell r="I70">
            <v>350</v>
          </cell>
        </row>
        <row r="71">
          <cell r="C71">
            <v>1</v>
          </cell>
          <cell r="D71" t="str">
            <v>Ar condicionado</v>
          </cell>
          <cell r="E71" t="str">
            <v>MAT.</v>
          </cell>
          <cell r="F71" t="str">
            <v>un</v>
          </cell>
          <cell r="G71">
            <v>2</v>
          </cell>
          <cell r="H71">
            <v>800</v>
          </cell>
          <cell r="I71">
            <v>1600</v>
          </cell>
        </row>
        <row r="72">
          <cell r="C72">
            <v>1</v>
          </cell>
          <cell r="D72" t="str">
            <v>Central telefônica</v>
          </cell>
          <cell r="E72" t="str">
            <v>MAT.</v>
          </cell>
          <cell r="F72" t="str">
            <v>un</v>
          </cell>
          <cell r="G72">
            <v>1</v>
          </cell>
          <cell r="H72">
            <v>2000</v>
          </cell>
          <cell r="I72">
            <v>2000</v>
          </cell>
        </row>
        <row r="73">
          <cell r="C73">
            <v>1</v>
          </cell>
          <cell r="D73" t="str">
            <v>Frigobar</v>
          </cell>
          <cell r="E73" t="str">
            <v>MAT.</v>
          </cell>
          <cell r="F73" t="str">
            <v>un</v>
          </cell>
          <cell r="G73">
            <v>1</v>
          </cell>
          <cell r="H73">
            <v>600</v>
          </cell>
          <cell r="I73">
            <v>600</v>
          </cell>
        </row>
        <row r="74">
          <cell r="C74" t="str">
            <v>08.01.04.01</v>
          </cell>
          <cell r="D74" t="str">
            <v>Placa de Obra Padrão BNG</v>
          </cell>
          <cell r="E74" t="str">
            <v xml:space="preserve">SER.CG </v>
          </cell>
          <cell r="F74" t="str">
            <v xml:space="preserve">un </v>
          </cell>
          <cell r="G74">
            <v>1</v>
          </cell>
          <cell r="H74">
            <v>8000</v>
          </cell>
          <cell r="I74">
            <v>8000</v>
          </cell>
        </row>
        <row r="75">
          <cell r="C75" t="str">
            <v>1653</v>
          </cell>
          <cell r="D75" t="str">
            <v>Placa de obra</v>
          </cell>
          <cell r="E75" t="str">
            <v>MAT.</v>
          </cell>
          <cell r="F75" t="str">
            <v>Vb</v>
          </cell>
          <cell r="G75">
            <v>1</v>
          </cell>
          <cell r="H75">
            <v>8000</v>
          </cell>
          <cell r="I75">
            <v>8000</v>
          </cell>
        </row>
        <row r="76">
          <cell r="C76" t="str">
            <v>08.01.06.01</v>
          </cell>
          <cell r="D76" t="str">
            <v>Limpeza do Terreno</v>
          </cell>
          <cell r="E76" t="str">
            <v xml:space="preserve">SER.CG </v>
          </cell>
          <cell r="F76" t="str">
            <v xml:space="preserve">m2 </v>
          </cell>
          <cell r="G76">
            <v>4596</v>
          </cell>
          <cell r="H76">
            <v>0.8</v>
          </cell>
          <cell r="I76">
            <v>3676.8</v>
          </cell>
        </row>
        <row r="77">
          <cell r="C77" t="str">
            <v>797</v>
          </cell>
          <cell r="D77" t="str">
            <v>Limpeza de terreno</v>
          </cell>
          <cell r="E77" t="str">
            <v>MAT.</v>
          </cell>
          <cell r="F77" t="str">
            <v>m2</v>
          </cell>
          <cell r="G77">
            <v>1</v>
          </cell>
          <cell r="H77">
            <v>0.8</v>
          </cell>
          <cell r="I77">
            <v>0.8</v>
          </cell>
        </row>
        <row r="78">
          <cell r="C78" t="str">
            <v>08.01.07.01</v>
          </cell>
          <cell r="D78" t="str">
            <v>Gabarito da Obra</v>
          </cell>
          <cell r="E78" t="str">
            <v xml:space="preserve">SER.CG </v>
          </cell>
          <cell r="F78" t="str">
            <v>ml</v>
          </cell>
          <cell r="G78">
            <v>300</v>
          </cell>
          <cell r="H78">
            <v>15</v>
          </cell>
          <cell r="I78">
            <v>4500</v>
          </cell>
        </row>
        <row r="79">
          <cell r="C79" t="str">
            <v>4457</v>
          </cell>
          <cell r="D79" t="str">
            <v>Sarrafo 1"x3" - cedrinho aparelhado</v>
          </cell>
          <cell r="E79" t="str">
            <v>MAT.</v>
          </cell>
          <cell r="F79" t="str">
            <v>m</v>
          </cell>
          <cell r="G79">
            <v>1</v>
          </cell>
          <cell r="H79">
            <v>4.5</v>
          </cell>
          <cell r="I79">
            <v>4.5</v>
          </cell>
        </row>
        <row r="80">
          <cell r="C80" t="str">
            <v>4458</v>
          </cell>
          <cell r="D80" t="str">
            <v>Pontalete 3"x3" - cedrinho aparelhado</v>
          </cell>
          <cell r="E80" t="str">
            <v>MAT.</v>
          </cell>
          <cell r="F80" t="str">
            <v>m</v>
          </cell>
          <cell r="G80">
            <v>1</v>
          </cell>
          <cell r="H80">
            <v>5.54</v>
          </cell>
          <cell r="I80">
            <v>5.54</v>
          </cell>
        </row>
        <row r="81">
          <cell r="C81" t="str">
            <v>61</v>
          </cell>
          <cell r="D81" t="str">
            <v>Arame recozido nº18</v>
          </cell>
          <cell r="E81" t="str">
            <v>MAT.</v>
          </cell>
          <cell r="F81" t="str">
            <v>kg</v>
          </cell>
          <cell r="G81">
            <v>0.1</v>
          </cell>
          <cell r="H81">
            <v>4.5999999999999996</v>
          </cell>
          <cell r="I81">
            <v>0.46</v>
          </cell>
        </row>
        <row r="82">
          <cell r="C82">
            <v>1</v>
          </cell>
          <cell r="D82" t="str">
            <v>MDO para execução de gabarito</v>
          </cell>
          <cell r="E82" t="str">
            <v>MAT.</v>
          </cell>
          <cell r="F82" t="str">
            <v>ml</v>
          </cell>
          <cell r="G82">
            <v>1</v>
          </cell>
          <cell r="H82">
            <v>4.5</v>
          </cell>
          <cell r="I82">
            <v>4.5</v>
          </cell>
        </row>
        <row r="83">
          <cell r="C83" t="str">
            <v>09.01.01.01</v>
          </cell>
          <cell r="D83" t="str">
            <v>Consumo de Água</v>
          </cell>
          <cell r="E83" t="str">
            <v xml:space="preserve">SER.CG </v>
          </cell>
          <cell r="F83" t="str">
            <v xml:space="preserve">mês </v>
          </cell>
          <cell r="G83">
            <v>26</v>
          </cell>
          <cell r="H83">
            <v>2800</v>
          </cell>
          <cell r="I83">
            <v>72800</v>
          </cell>
        </row>
        <row r="84">
          <cell r="C84" t="str">
            <v>234</v>
          </cell>
          <cell r="D84" t="str">
            <v>Consumo de água</v>
          </cell>
          <cell r="E84" t="str">
            <v>VERBA</v>
          </cell>
          <cell r="F84" t="str">
            <v>mês</v>
          </cell>
          <cell r="G84">
            <v>1</v>
          </cell>
          <cell r="H84">
            <v>2800</v>
          </cell>
          <cell r="I84">
            <v>2800</v>
          </cell>
        </row>
        <row r="85">
          <cell r="C85" t="str">
            <v>09.01.02.01</v>
          </cell>
          <cell r="D85" t="str">
            <v>Consumo de Energia</v>
          </cell>
          <cell r="E85" t="str">
            <v xml:space="preserve">SER.CG </v>
          </cell>
          <cell r="F85" t="str">
            <v xml:space="preserve">mês </v>
          </cell>
          <cell r="G85">
            <v>26</v>
          </cell>
          <cell r="H85">
            <v>3200</v>
          </cell>
          <cell r="I85">
            <v>83200</v>
          </cell>
        </row>
        <row r="86">
          <cell r="C86" t="str">
            <v>233</v>
          </cell>
          <cell r="D86" t="str">
            <v>Consumo de energia</v>
          </cell>
          <cell r="E86" t="str">
            <v>VERBA</v>
          </cell>
          <cell r="F86" t="str">
            <v>mês</v>
          </cell>
          <cell r="G86">
            <v>1</v>
          </cell>
          <cell r="H86">
            <v>3200</v>
          </cell>
          <cell r="I86">
            <v>3200</v>
          </cell>
        </row>
        <row r="87">
          <cell r="C87" t="str">
            <v>09.01.03.01</v>
          </cell>
          <cell r="D87" t="str">
            <v>Consumo de Telefone</v>
          </cell>
          <cell r="E87" t="str">
            <v xml:space="preserve">SER.CG </v>
          </cell>
          <cell r="F87" t="str">
            <v xml:space="preserve">mês </v>
          </cell>
          <cell r="G87">
            <v>26</v>
          </cell>
          <cell r="H87">
            <v>1100</v>
          </cell>
          <cell r="I87">
            <v>28600</v>
          </cell>
        </row>
        <row r="88">
          <cell r="C88" t="str">
            <v>235</v>
          </cell>
          <cell r="D88" t="str">
            <v>Consumo de telefone</v>
          </cell>
          <cell r="E88" t="str">
            <v>VERBA</v>
          </cell>
          <cell r="F88" t="str">
            <v>mês</v>
          </cell>
          <cell r="G88">
            <v>1</v>
          </cell>
          <cell r="H88">
            <v>1100</v>
          </cell>
          <cell r="I88">
            <v>1100</v>
          </cell>
        </row>
        <row r="89">
          <cell r="C89" t="str">
            <v>09.01.06.01</v>
          </cell>
          <cell r="D89" t="str">
            <v>Remoção de Entulho</v>
          </cell>
          <cell r="E89" t="str">
            <v xml:space="preserve">SER.CG </v>
          </cell>
          <cell r="F89" t="str">
            <v xml:space="preserve">mês </v>
          </cell>
          <cell r="G89">
            <v>26</v>
          </cell>
          <cell r="H89">
            <v>1920</v>
          </cell>
          <cell r="I89">
            <v>49920</v>
          </cell>
        </row>
        <row r="90">
          <cell r="C90" t="str">
            <v>941</v>
          </cell>
          <cell r="D90" t="str">
            <v>Caçamba de entulho</v>
          </cell>
          <cell r="E90" t="str">
            <v>EMPRE</v>
          </cell>
          <cell r="F90" t="str">
            <v>vg</v>
          </cell>
          <cell r="G90">
            <v>12</v>
          </cell>
          <cell r="H90">
            <v>160</v>
          </cell>
          <cell r="I90">
            <v>1920</v>
          </cell>
        </row>
        <row r="91">
          <cell r="C91" t="str">
            <v>09.01.07.01</v>
          </cell>
          <cell r="D91" t="str">
            <v>Carretos</v>
          </cell>
          <cell r="E91" t="str">
            <v xml:space="preserve">SER.CG </v>
          </cell>
          <cell r="F91" t="str">
            <v xml:space="preserve">mês </v>
          </cell>
          <cell r="G91">
            <v>26</v>
          </cell>
          <cell r="H91">
            <v>350</v>
          </cell>
          <cell r="I91">
            <v>9100</v>
          </cell>
        </row>
        <row r="92">
          <cell r="C92" t="str">
            <v>317</v>
          </cell>
          <cell r="D92" t="str">
            <v>Frete (vg)</v>
          </cell>
          <cell r="E92" t="str">
            <v>EMPRE</v>
          </cell>
          <cell r="F92" t="str">
            <v>vg</v>
          </cell>
          <cell r="G92">
            <v>1</v>
          </cell>
          <cell r="H92">
            <v>350</v>
          </cell>
          <cell r="I92">
            <v>350</v>
          </cell>
        </row>
        <row r="93">
          <cell r="C93" t="str">
            <v>09.01.08.01</v>
          </cell>
          <cell r="D93" t="str">
            <v>Vigilância</v>
          </cell>
          <cell r="E93" t="str">
            <v xml:space="preserve">SER.CG </v>
          </cell>
          <cell r="F93" t="str">
            <v xml:space="preserve">mês </v>
          </cell>
          <cell r="G93">
            <v>26</v>
          </cell>
          <cell r="H93">
            <v>7500</v>
          </cell>
          <cell r="I93">
            <v>195000</v>
          </cell>
        </row>
        <row r="94">
          <cell r="C94" t="str">
            <v>231</v>
          </cell>
          <cell r="D94" t="str">
            <v>Vigilância</v>
          </cell>
          <cell r="E94" t="str">
            <v>M.O.</v>
          </cell>
          <cell r="F94" t="str">
            <v>mês</v>
          </cell>
          <cell r="G94">
            <v>1.5</v>
          </cell>
          <cell r="H94">
            <v>5000</v>
          </cell>
          <cell r="I94">
            <v>7500</v>
          </cell>
        </row>
        <row r="95">
          <cell r="C95" t="str">
            <v>09.01.09.01</v>
          </cell>
          <cell r="D95" t="str">
            <v>Material de Escritório</v>
          </cell>
          <cell r="E95" t="str">
            <v xml:space="preserve">SER.CG </v>
          </cell>
          <cell r="F95" t="str">
            <v xml:space="preserve">mês </v>
          </cell>
          <cell r="G95">
            <v>26</v>
          </cell>
          <cell r="H95">
            <v>400</v>
          </cell>
          <cell r="I95">
            <v>10400</v>
          </cell>
        </row>
        <row r="96">
          <cell r="C96" t="str">
            <v>2651</v>
          </cell>
          <cell r="D96" t="str">
            <v>Material de escritório</v>
          </cell>
          <cell r="E96" t="str">
            <v>MAT.</v>
          </cell>
          <cell r="F96" t="str">
            <v>Vb</v>
          </cell>
          <cell r="G96">
            <v>1</v>
          </cell>
          <cell r="H96">
            <v>400</v>
          </cell>
          <cell r="I96">
            <v>400</v>
          </cell>
        </row>
        <row r="97">
          <cell r="C97" t="str">
            <v>09.01.10.01</v>
          </cell>
          <cell r="D97" t="str">
            <v>Manutenção de Canteiro</v>
          </cell>
          <cell r="E97" t="str">
            <v xml:space="preserve">SER.CG </v>
          </cell>
          <cell r="F97" t="str">
            <v xml:space="preserve">mês </v>
          </cell>
          <cell r="G97">
            <v>26</v>
          </cell>
          <cell r="H97">
            <v>5000</v>
          </cell>
          <cell r="I97">
            <v>130000</v>
          </cell>
        </row>
        <row r="98">
          <cell r="C98" t="str">
            <v>1307</v>
          </cell>
          <cell r="D98" t="str">
            <v>MDO para manutenção de canteiro</v>
          </cell>
          <cell r="E98" t="str">
            <v>EMPRE</v>
          </cell>
          <cell r="F98" t="str">
            <v>Vb</v>
          </cell>
          <cell r="G98">
            <v>1</v>
          </cell>
          <cell r="H98">
            <v>4000</v>
          </cell>
          <cell r="I98">
            <v>4000</v>
          </cell>
        </row>
        <row r="99">
          <cell r="C99" t="str">
            <v>2703</v>
          </cell>
          <cell r="D99" t="str">
            <v>Material para manutenção de canteiro</v>
          </cell>
          <cell r="E99" t="str">
            <v>EMPRE</v>
          </cell>
          <cell r="F99" t="str">
            <v>mês</v>
          </cell>
          <cell r="G99">
            <v>1</v>
          </cell>
          <cell r="H99">
            <v>1000</v>
          </cell>
          <cell r="I99">
            <v>1000</v>
          </cell>
        </row>
        <row r="100">
          <cell r="C100" t="str">
            <v>09.01.11.01</v>
          </cell>
          <cell r="D100" t="str">
            <v>Despesas com Vizinhos</v>
          </cell>
          <cell r="E100" t="str">
            <v xml:space="preserve">SER.CG </v>
          </cell>
          <cell r="F100" t="str">
            <v xml:space="preserve">Vb </v>
          </cell>
          <cell r="G100">
            <v>1</v>
          </cell>
          <cell r="H100">
            <v>80000</v>
          </cell>
          <cell r="I100">
            <v>80000</v>
          </cell>
        </row>
        <row r="101">
          <cell r="C101" t="str">
            <v>2653</v>
          </cell>
          <cell r="D101" t="str">
            <v>Despesas com vizinhos</v>
          </cell>
          <cell r="E101" t="str">
            <v>EMPRE</v>
          </cell>
          <cell r="F101" t="str">
            <v>Vb</v>
          </cell>
          <cell r="G101">
            <v>1</v>
          </cell>
          <cell r="H101">
            <v>80000</v>
          </cell>
          <cell r="I101">
            <v>80000</v>
          </cell>
        </row>
        <row r="102">
          <cell r="C102" t="str">
            <v>09.02.01.02</v>
          </cell>
          <cell r="D102" t="str">
            <v>Andaime Tubular</v>
          </cell>
          <cell r="E102" t="str">
            <v xml:space="preserve">SER.CG </v>
          </cell>
          <cell r="F102" t="str">
            <v xml:space="preserve">mês </v>
          </cell>
          <cell r="G102">
            <v>5</v>
          </cell>
          <cell r="H102">
            <v>3996</v>
          </cell>
          <cell r="I102">
            <v>19980</v>
          </cell>
        </row>
        <row r="103">
          <cell r="C103" t="str">
            <v>3581</v>
          </cell>
          <cell r="D103" t="str">
            <v>Andaime Tubular</v>
          </cell>
          <cell r="E103" t="str">
            <v>EQ.LOC</v>
          </cell>
          <cell r="F103" t="str">
            <v>mês</v>
          </cell>
          <cell r="G103">
            <v>1</v>
          </cell>
          <cell r="H103">
            <v>3996</v>
          </cell>
          <cell r="I103">
            <v>3996</v>
          </cell>
        </row>
        <row r="104">
          <cell r="C104" t="str">
            <v>09.02.03.01</v>
          </cell>
          <cell r="D104" t="str">
            <v>Balancim Pesado</v>
          </cell>
          <cell r="E104" t="str">
            <v xml:space="preserve">SER.CG </v>
          </cell>
          <cell r="F104" t="str">
            <v xml:space="preserve">mês </v>
          </cell>
          <cell r="G104">
            <v>6</v>
          </cell>
          <cell r="H104">
            <v>18150</v>
          </cell>
          <cell r="I104">
            <v>108900</v>
          </cell>
        </row>
        <row r="105">
          <cell r="C105" t="str">
            <v>3581</v>
          </cell>
          <cell r="D105" t="str">
            <v>Balancim pesado</v>
          </cell>
          <cell r="E105" t="str">
            <v>EQ.LOC</v>
          </cell>
          <cell r="F105" t="str">
            <v>mês</v>
          </cell>
          <cell r="G105">
            <v>1</v>
          </cell>
          <cell r="H105">
            <v>18150</v>
          </cell>
          <cell r="I105">
            <v>18150</v>
          </cell>
        </row>
        <row r="106">
          <cell r="C106" t="str">
            <v>09.02.04.01</v>
          </cell>
          <cell r="D106" t="str">
            <v>Elevador de Carga</v>
          </cell>
          <cell r="E106" t="str">
            <v xml:space="preserve">SER.CG </v>
          </cell>
          <cell r="F106" t="str">
            <v xml:space="preserve">mês </v>
          </cell>
          <cell r="G106">
            <v>12</v>
          </cell>
          <cell r="H106">
            <v>6700</v>
          </cell>
          <cell r="I106">
            <v>80400</v>
          </cell>
        </row>
        <row r="107">
          <cell r="C107" t="str">
            <v>428</v>
          </cell>
          <cell r="D107" t="str">
            <v>Elevador de Carga</v>
          </cell>
          <cell r="E107" t="str">
            <v>EQ.LOC</v>
          </cell>
          <cell r="F107" t="str">
            <v>mês</v>
          </cell>
          <cell r="G107">
            <v>1</v>
          </cell>
          <cell r="H107">
            <v>6700</v>
          </cell>
          <cell r="I107">
            <v>6700</v>
          </cell>
        </row>
        <row r="108">
          <cell r="C108" t="str">
            <v>09.02.05.01</v>
          </cell>
          <cell r="D108" t="str">
            <v>Grua</v>
          </cell>
          <cell r="E108" t="str">
            <v xml:space="preserve">SER.CG </v>
          </cell>
          <cell r="F108" t="str">
            <v xml:space="preserve">mês </v>
          </cell>
          <cell r="G108">
            <v>12</v>
          </cell>
          <cell r="H108">
            <v>27500</v>
          </cell>
          <cell r="I108">
            <v>330000</v>
          </cell>
        </row>
        <row r="109">
          <cell r="C109" t="str">
            <v>428</v>
          </cell>
          <cell r="D109" t="str">
            <v>Grua</v>
          </cell>
          <cell r="E109" t="str">
            <v>EQ.LOC</v>
          </cell>
          <cell r="F109" t="str">
            <v>mês</v>
          </cell>
          <cell r="G109">
            <v>1</v>
          </cell>
          <cell r="H109">
            <v>27500</v>
          </cell>
          <cell r="I109">
            <v>27500</v>
          </cell>
        </row>
        <row r="110">
          <cell r="C110" t="str">
            <v>09.02.05.02</v>
          </cell>
          <cell r="D110" t="str">
            <v>Obras Civis para instalação de grua</v>
          </cell>
          <cell r="E110" t="str">
            <v xml:space="preserve">SER.CG </v>
          </cell>
          <cell r="F110" t="str">
            <v>vb</v>
          </cell>
          <cell r="G110">
            <v>1</v>
          </cell>
          <cell r="H110">
            <v>52800</v>
          </cell>
          <cell r="I110">
            <v>52800</v>
          </cell>
        </row>
        <row r="111">
          <cell r="C111" t="str">
            <v>428</v>
          </cell>
          <cell r="D111" t="str">
            <v>Obras Civis para instalação de grua</v>
          </cell>
          <cell r="E111" t="str">
            <v>EQ.LOC</v>
          </cell>
          <cell r="F111" t="str">
            <v>vb</v>
          </cell>
          <cell r="G111">
            <v>1</v>
          </cell>
          <cell r="H111">
            <v>52800</v>
          </cell>
          <cell r="I111">
            <v>52800</v>
          </cell>
        </row>
        <row r="112">
          <cell r="C112" t="str">
            <v>09.02.06.01</v>
          </cell>
          <cell r="D112" t="str">
            <v>Elevador Cremalheira</v>
          </cell>
          <cell r="E112" t="str">
            <v xml:space="preserve">SER.CG </v>
          </cell>
          <cell r="F112" t="str">
            <v xml:space="preserve">mês </v>
          </cell>
          <cell r="G112">
            <v>12</v>
          </cell>
          <cell r="H112">
            <v>8487</v>
          </cell>
          <cell r="I112">
            <v>101844</v>
          </cell>
        </row>
        <row r="113">
          <cell r="C113" t="str">
            <v>428</v>
          </cell>
          <cell r="D113" t="str">
            <v>Elevador Cremalheira</v>
          </cell>
          <cell r="E113" t="str">
            <v>EQ.LOC</v>
          </cell>
          <cell r="F113" t="str">
            <v>mês</v>
          </cell>
          <cell r="G113">
            <v>1</v>
          </cell>
          <cell r="H113">
            <v>8487</v>
          </cell>
          <cell r="I113">
            <v>8487</v>
          </cell>
        </row>
        <row r="114">
          <cell r="C114" t="str">
            <v>09.02.06.02</v>
          </cell>
          <cell r="D114" t="str">
            <v>Obras Civis para instalação de cremalheira</v>
          </cell>
          <cell r="E114" t="str">
            <v xml:space="preserve">SER.CG </v>
          </cell>
          <cell r="F114" t="str">
            <v>vb</v>
          </cell>
          <cell r="G114">
            <v>1</v>
          </cell>
          <cell r="H114">
            <v>8900</v>
          </cell>
          <cell r="I114">
            <v>8900</v>
          </cell>
        </row>
        <row r="115">
          <cell r="C115" t="str">
            <v>428</v>
          </cell>
          <cell r="D115" t="str">
            <v>Obras Civis para instalação de cremalheira</v>
          </cell>
          <cell r="E115" t="str">
            <v>EQ.LOC</v>
          </cell>
          <cell r="F115" t="str">
            <v>vb</v>
          </cell>
          <cell r="G115">
            <v>1</v>
          </cell>
          <cell r="H115">
            <v>8900</v>
          </cell>
          <cell r="I115">
            <v>8900</v>
          </cell>
        </row>
        <row r="116">
          <cell r="C116" t="str">
            <v>09.02.07.01</v>
          </cell>
          <cell r="D116" t="str">
            <v>Ferramentas Manuais</v>
          </cell>
          <cell r="E116" t="str">
            <v xml:space="preserve">SER.CG </v>
          </cell>
          <cell r="F116" t="str">
            <v xml:space="preserve">mês </v>
          </cell>
          <cell r="G116">
            <v>26</v>
          </cell>
          <cell r="H116">
            <v>200</v>
          </cell>
          <cell r="I116">
            <v>5200</v>
          </cell>
        </row>
        <row r="117">
          <cell r="C117" t="str">
            <v>2664</v>
          </cell>
          <cell r="D117" t="str">
            <v>Ferramentas em geral</v>
          </cell>
          <cell r="E117" t="str">
            <v>EQ.LOC</v>
          </cell>
          <cell r="F117" t="str">
            <v>mês</v>
          </cell>
          <cell r="G117">
            <v>1</v>
          </cell>
          <cell r="H117">
            <v>200</v>
          </cell>
          <cell r="I117">
            <v>200</v>
          </cell>
        </row>
        <row r="118">
          <cell r="C118" t="str">
            <v>09.02.08.01</v>
          </cell>
          <cell r="D118" t="str">
            <v>Equipamentos</v>
          </cell>
          <cell r="E118" t="str">
            <v xml:space="preserve">SER.CG </v>
          </cell>
          <cell r="F118" t="str">
            <v xml:space="preserve">mês </v>
          </cell>
          <cell r="G118">
            <v>26</v>
          </cell>
          <cell r="H118">
            <v>500</v>
          </cell>
          <cell r="I118">
            <v>13000</v>
          </cell>
        </row>
        <row r="119">
          <cell r="C119" t="str">
            <v>2921</v>
          </cell>
          <cell r="D119" t="str">
            <v>Equipamentos em geral</v>
          </cell>
          <cell r="E119" t="str">
            <v>EQ.LOC</v>
          </cell>
          <cell r="F119" t="str">
            <v>mês</v>
          </cell>
          <cell r="G119">
            <v>1</v>
          </cell>
          <cell r="H119">
            <v>500</v>
          </cell>
          <cell r="I119">
            <v>500</v>
          </cell>
        </row>
        <row r="120">
          <cell r="C120" t="str">
            <v>09.03.01.01</v>
          </cell>
          <cell r="D120" t="str">
            <v>Equipamentos de Proteção Individual (EPI)</v>
          </cell>
          <cell r="E120" t="str">
            <v xml:space="preserve">SER.CG </v>
          </cell>
          <cell r="F120" t="str">
            <v xml:space="preserve">mês </v>
          </cell>
          <cell r="G120">
            <v>26</v>
          </cell>
          <cell r="H120">
            <v>150</v>
          </cell>
          <cell r="I120">
            <v>3900</v>
          </cell>
        </row>
        <row r="121">
          <cell r="C121" t="str">
            <v>2917</v>
          </cell>
          <cell r="D121" t="str">
            <v>Equipamentos de segurança</v>
          </cell>
          <cell r="E121" t="str">
            <v>EQ.LOC</v>
          </cell>
          <cell r="F121" t="str">
            <v>mês</v>
          </cell>
          <cell r="G121">
            <v>1</v>
          </cell>
          <cell r="H121">
            <v>150</v>
          </cell>
          <cell r="I121">
            <v>150</v>
          </cell>
        </row>
        <row r="122">
          <cell r="C122" t="str">
            <v>09.03.02.01</v>
          </cell>
          <cell r="D122" t="str">
            <v>Tela de Proteção para Fachada</v>
          </cell>
          <cell r="E122" t="str">
            <v xml:space="preserve">SER.CG </v>
          </cell>
          <cell r="F122" t="str">
            <v xml:space="preserve">m2 </v>
          </cell>
          <cell r="G122">
            <v>13860</v>
          </cell>
          <cell r="H122">
            <v>2.7</v>
          </cell>
          <cell r="I122">
            <v>37422</v>
          </cell>
        </row>
        <row r="123">
          <cell r="C123" t="str">
            <v>485</v>
          </cell>
          <cell r="D123" t="str">
            <v>MDO para proteção de fachada com tela</v>
          </cell>
          <cell r="E123" t="str">
            <v>M.O.</v>
          </cell>
          <cell r="F123" t="str">
            <v>m2</v>
          </cell>
          <cell r="G123">
            <v>1</v>
          </cell>
          <cell r="H123">
            <v>1.8</v>
          </cell>
          <cell r="I123">
            <v>1.8</v>
          </cell>
        </row>
        <row r="124">
          <cell r="C124" t="str">
            <v>834</v>
          </cell>
          <cell r="D124" t="str">
            <v>Tela para fachada</v>
          </cell>
          <cell r="E124" t="str">
            <v>MAT.</v>
          </cell>
          <cell r="F124" t="str">
            <v>m2</v>
          </cell>
          <cell r="G124">
            <v>1</v>
          </cell>
          <cell r="H124">
            <v>0.9</v>
          </cell>
          <cell r="I124">
            <v>0.9</v>
          </cell>
        </row>
        <row r="125">
          <cell r="C125" t="str">
            <v>09.03.02.02</v>
          </cell>
          <cell r="D125" t="str">
            <v>Proteção Periférica</v>
          </cell>
          <cell r="E125" t="str">
            <v xml:space="preserve">SER.CG </v>
          </cell>
          <cell r="F125" t="str">
            <v xml:space="preserve">m </v>
          </cell>
          <cell r="G125">
            <v>1188</v>
          </cell>
          <cell r="H125">
            <v>10.860000000000001</v>
          </cell>
          <cell r="I125">
            <v>12901.68</v>
          </cell>
        </row>
        <row r="126">
          <cell r="C126" t="str">
            <v>1144</v>
          </cell>
          <cell r="D126" t="str">
            <v>Tábua 1"x12" - cedrinho</v>
          </cell>
          <cell r="E126" t="str">
            <v>MAT.</v>
          </cell>
          <cell r="F126" t="str">
            <v>m</v>
          </cell>
          <cell r="G126">
            <v>1</v>
          </cell>
          <cell r="H126">
            <v>6.46</v>
          </cell>
          <cell r="I126">
            <v>6.46</v>
          </cell>
        </row>
        <row r="127">
          <cell r="C127" t="str">
            <v>2930</v>
          </cell>
          <cell r="D127" t="str">
            <v>Cabo de aço de fibra galvanizada 3/8"</v>
          </cell>
          <cell r="E127" t="str">
            <v>MAT.</v>
          </cell>
          <cell r="F127" t="str">
            <v>m</v>
          </cell>
          <cell r="G127">
            <v>1</v>
          </cell>
          <cell r="H127">
            <v>2.5</v>
          </cell>
          <cell r="I127">
            <v>2.5</v>
          </cell>
        </row>
        <row r="128">
          <cell r="C128" t="str">
            <v>836</v>
          </cell>
          <cell r="D128" t="str">
            <v>Tela para proteção laranja</v>
          </cell>
          <cell r="E128" t="str">
            <v>MAT.</v>
          </cell>
          <cell r="F128" t="str">
            <v>m2</v>
          </cell>
          <cell r="G128">
            <v>1</v>
          </cell>
          <cell r="H128">
            <v>1.9</v>
          </cell>
          <cell r="I128">
            <v>1.9</v>
          </cell>
        </row>
        <row r="129">
          <cell r="C129" t="str">
            <v>09.03.02.03</v>
          </cell>
          <cell r="D129" t="str">
            <v>Sinalização de Segurança</v>
          </cell>
          <cell r="E129" t="str">
            <v xml:space="preserve">SER.CG </v>
          </cell>
          <cell r="F129" t="str">
            <v xml:space="preserve">mês </v>
          </cell>
          <cell r="G129">
            <v>26</v>
          </cell>
          <cell r="H129">
            <v>100</v>
          </cell>
          <cell r="I129">
            <v>2600</v>
          </cell>
        </row>
        <row r="130">
          <cell r="C130" t="str">
            <v>2662</v>
          </cell>
          <cell r="D130" t="str">
            <v>Material de segurança</v>
          </cell>
          <cell r="E130" t="str">
            <v>MAT.</v>
          </cell>
          <cell r="F130" t="str">
            <v>mês</v>
          </cell>
          <cell r="G130">
            <v>1</v>
          </cell>
          <cell r="H130">
            <v>100</v>
          </cell>
          <cell r="I130">
            <v>100</v>
          </cell>
        </row>
        <row r="131">
          <cell r="C131" t="str">
            <v>09.03.03.01</v>
          </cell>
          <cell r="D131" t="str">
            <v>Bandeja Primária</v>
          </cell>
          <cell r="E131" t="str">
            <v xml:space="preserve">SER.CG </v>
          </cell>
          <cell r="F131" t="str">
            <v xml:space="preserve">m </v>
          </cell>
          <cell r="G131">
            <v>198</v>
          </cell>
          <cell r="H131">
            <v>137.23000000000002</v>
          </cell>
          <cell r="I131">
            <v>27171.54</v>
          </cell>
        </row>
        <row r="132">
          <cell r="C132" t="str">
            <v>1182</v>
          </cell>
          <cell r="D132" t="str">
            <v>Sarrafo 1"x6" - pinho 2ª industrial</v>
          </cell>
          <cell r="E132" t="str">
            <v>MAT.</v>
          </cell>
          <cell r="F132" t="str">
            <v>m</v>
          </cell>
          <cell r="G132">
            <v>0.45</v>
          </cell>
          <cell r="H132">
            <v>3.23</v>
          </cell>
          <cell r="I132">
            <v>1.45</v>
          </cell>
        </row>
        <row r="133">
          <cell r="C133" t="str">
            <v>3242</v>
          </cell>
          <cell r="D133" t="str">
            <v>Suporte para bandeja primária (peças retas)</v>
          </cell>
          <cell r="E133" t="str">
            <v>MAT.</v>
          </cell>
          <cell r="F133" t="str">
            <v>un</v>
          </cell>
          <cell r="G133">
            <v>1.02</v>
          </cell>
          <cell r="H133">
            <v>6</v>
          </cell>
          <cell r="I133">
            <v>6.12</v>
          </cell>
        </row>
        <row r="134">
          <cell r="C134" t="str">
            <v>4427</v>
          </cell>
          <cell r="D134" t="str">
            <v>Tábua 2"x12" - cedrinho</v>
          </cell>
          <cell r="E134" t="str">
            <v>MAT.</v>
          </cell>
          <cell r="F134" t="str">
            <v>m</v>
          </cell>
          <cell r="G134">
            <v>9.16</v>
          </cell>
          <cell r="H134">
            <v>13</v>
          </cell>
          <cell r="I134">
            <v>119.08</v>
          </cell>
        </row>
        <row r="135">
          <cell r="C135" t="str">
            <v>62</v>
          </cell>
          <cell r="D135" t="str">
            <v>Prego 18x27 com cabeça</v>
          </cell>
          <cell r="E135" t="str">
            <v>MAT.</v>
          </cell>
          <cell r="F135" t="str">
            <v>kg</v>
          </cell>
          <cell r="G135">
            <v>0.32</v>
          </cell>
          <cell r="H135">
            <v>4.0199999999999996</v>
          </cell>
          <cell r="I135">
            <v>1.29</v>
          </cell>
        </row>
        <row r="136">
          <cell r="C136" t="str">
            <v>975</v>
          </cell>
          <cell r="D136" t="str">
            <v>Compensado resinado 10mm 1,10x2,20m - cola fenólica</v>
          </cell>
          <cell r="E136" t="str">
            <v>MAT.</v>
          </cell>
          <cell r="F136" t="str">
            <v>ch</v>
          </cell>
          <cell r="G136">
            <v>0.36</v>
          </cell>
          <cell r="H136">
            <v>25.8</v>
          </cell>
          <cell r="I136">
            <v>9.2899999999999991</v>
          </cell>
        </row>
        <row r="137">
          <cell r="C137" t="str">
            <v>09.03.03.02</v>
          </cell>
          <cell r="D137" t="str">
            <v>Bandeja Secundária</v>
          </cell>
          <cell r="E137" t="str">
            <v xml:space="preserve">SER.CG </v>
          </cell>
          <cell r="F137" t="str">
            <v xml:space="preserve">m </v>
          </cell>
          <cell r="G137">
            <v>396</v>
          </cell>
          <cell r="H137">
            <v>92.700000000000017</v>
          </cell>
          <cell r="I137">
            <v>36709.199999999997</v>
          </cell>
        </row>
        <row r="138">
          <cell r="C138" t="str">
            <v>1182</v>
          </cell>
          <cell r="D138" t="str">
            <v>Sarrafo 1"x6" - pinho 2ª industrial</v>
          </cell>
          <cell r="E138" t="str">
            <v>MAT.</v>
          </cell>
          <cell r="F138" t="str">
            <v>m</v>
          </cell>
          <cell r="G138">
            <v>2.64</v>
          </cell>
          <cell r="H138">
            <v>3.23</v>
          </cell>
          <cell r="I138">
            <v>8.5299999999999994</v>
          </cell>
        </row>
        <row r="139">
          <cell r="C139" t="str">
            <v>3243</v>
          </cell>
          <cell r="D139" t="str">
            <v>Suporte para bandeja secundária</v>
          </cell>
          <cell r="E139" t="str">
            <v>MAT.</v>
          </cell>
          <cell r="F139" t="str">
            <v>un</v>
          </cell>
          <cell r="G139">
            <v>1.02</v>
          </cell>
          <cell r="H139">
            <v>6</v>
          </cell>
          <cell r="I139">
            <v>6.12</v>
          </cell>
        </row>
        <row r="140">
          <cell r="C140" t="str">
            <v>4427</v>
          </cell>
          <cell r="D140" t="str">
            <v>Tábua 2"x12" - cedrinho</v>
          </cell>
          <cell r="E140" t="str">
            <v>MAT.</v>
          </cell>
          <cell r="F140" t="str">
            <v>m</v>
          </cell>
          <cell r="G140">
            <v>5.13</v>
          </cell>
          <cell r="H140">
            <v>13</v>
          </cell>
          <cell r="I140">
            <v>66.69</v>
          </cell>
        </row>
        <row r="141">
          <cell r="C141" t="str">
            <v>62</v>
          </cell>
          <cell r="D141" t="str">
            <v>Prego 18x27 com cabeça</v>
          </cell>
          <cell r="E141" t="str">
            <v>MAT.</v>
          </cell>
          <cell r="F141" t="str">
            <v>kg</v>
          </cell>
          <cell r="G141">
            <v>0.32</v>
          </cell>
          <cell r="H141">
            <v>4.0199999999999996</v>
          </cell>
          <cell r="I141">
            <v>1.29</v>
          </cell>
        </row>
        <row r="142">
          <cell r="C142" t="str">
            <v>975</v>
          </cell>
          <cell r="D142" t="str">
            <v>Compensado resinado 10mm 1,10x2,20m - cola fenólica</v>
          </cell>
          <cell r="E142" t="str">
            <v>MAT.</v>
          </cell>
          <cell r="F142" t="str">
            <v>ch</v>
          </cell>
          <cell r="G142">
            <v>0.36</v>
          </cell>
          <cell r="H142">
            <v>27.98</v>
          </cell>
          <cell r="I142">
            <v>10.07</v>
          </cell>
        </row>
        <row r="143">
          <cell r="C143" t="str">
            <v>09.04.01.01</v>
          </cell>
          <cell r="D143" t="str">
            <v>Controle Tecnológico do Concreto</v>
          </cell>
          <cell r="E143" t="str">
            <v xml:space="preserve">SER.CG </v>
          </cell>
          <cell r="F143" t="str">
            <v xml:space="preserve">Vb </v>
          </cell>
          <cell r="G143">
            <v>1</v>
          </cell>
          <cell r="H143">
            <v>124332.82</v>
          </cell>
          <cell r="I143">
            <v>124332.82</v>
          </cell>
        </row>
        <row r="144">
          <cell r="C144" t="str">
            <v>875</v>
          </cell>
          <cell r="D144" t="str">
            <v>Ensaios de concreto</v>
          </cell>
          <cell r="E144" t="str">
            <v>EMPRE</v>
          </cell>
          <cell r="F144" t="str">
            <v>Vb</v>
          </cell>
          <cell r="G144">
            <v>1</v>
          </cell>
          <cell r="H144">
            <v>124332.82</v>
          </cell>
          <cell r="I144">
            <v>124332.82</v>
          </cell>
        </row>
        <row r="145">
          <cell r="C145" t="str">
            <v>09.04.02.01</v>
          </cell>
          <cell r="D145" t="str">
            <v>Controle Tecnológico do Aço</v>
          </cell>
          <cell r="E145" t="str">
            <v xml:space="preserve">SER.CG </v>
          </cell>
          <cell r="F145" t="str">
            <v xml:space="preserve">Vb </v>
          </cell>
          <cell r="G145">
            <v>1</v>
          </cell>
          <cell r="H145">
            <v>500</v>
          </cell>
          <cell r="I145">
            <v>500</v>
          </cell>
        </row>
        <row r="146">
          <cell r="C146" t="str">
            <v>870</v>
          </cell>
          <cell r="D146" t="str">
            <v>Ensaios de aço</v>
          </cell>
          <cell r="E146" t="str">
            <v>EMPRE</v>
          </cell>
          <cell r="F146" t="str">
            <v>Vb</v>
          </cell>
          <cell r="G146">
            <v>1</v>
          </cell>
          <cell r="H146">
            <v>500</v>
          </cell>
          <cell r="I146">
            <v>500</v>
          </cell>
        </row>
        <row r="147">
          <cell r="C147" t="str">
            <v>10.01.01.01</v>
          </cell>
          <cell r="D147" t="str">
            <v>Escavação Mecânica de Solos com Bota Fora de Terra</v>
          </cell>
          <cell r="E147" t="str">
            <v xml:space="preserve">SER.CG </v>
          </cell>
          <cell r="F147" t="str">
            <v xml:space="preserve">m3 </v>
          </cell>
          <cell r="G147">
            <v>47670</v>
          </cell>
          <cell r="H147">
            <v>24</v>
          </cell>
          <cell r="I147">
            <v>1144080</v>
          </cell>
        </row>
        <row r="148">
          <cell r="C148" t="str">
            <v>2665</v>
          </cell>
          <cell r="D148" t="str">
            <v>Escavação mecânica com bota fora</v>
          </cell>
          <cell r="E148" t="str">
            <v>EMPRE</v>
          </cell>
          <cell r="F148" t="str">
            <v>m3</v>
          </cell>
          <cell r="G148">
            <v>1</v>
          </cell>
          <cell r="H148">
            <v>24</v>
          </cell>
          <cell r="I148">
            <v>24</v>
          </cell>
        </row>
        <row r="149">
          <cell r="C149" t="str">
            <v>12.01.01.01</v>
          </cell>
          <cell r="D149" t="str">
            <v>Lastro de concreto p/ fundações - e=5cm</v>
          </cell>
          <cell r="E149" t="str">
            <v xml:space="preserve">SER.CG </v>
          </cell>
          <cell r="F149" t="str">
            <v xml:space="preserve">m2 </v>
          </cell>
          <cell r="G149">
            <v>1129</v>
          </cell>
          <cell r="H149">
            <v>22.04</v>
          </cell>
          <cell r="I149">
            <v>24883.16</v>
          </cell>
        </row>
        <row r="150">
          <cell r="C150" t="str">
            <v>198</v>
          </cell>
          <cell r="D150" t="str">
            <v>Cimento Portland Composto CPII-E32 (saco 50kg)</v>
          </cell>
          <cell r="E150" t="str">
            <v>MAT.</v>
          </cell>
          <cell r="F150" t="str">
            <v>sc</v>
          </cell>
          <cell r="G150">
            <v>0.22</v>
          </cell>
          <cell r="H150">
            <v>13.4</v>
          </cell>
          <cell r="I150">
            <v>2.95</v>
          </cell>
        </row>
        <row r="151">
          <cell r="C151" t="str">
            <v>63</v>
          </cell>
          <cell r="D151" t="str">
            <v>Areia</v>
          </cell>
          <cell r="E151" t="str">
            <v>MAT.</v>
          </cell>
          <cell r="F151" t="str">
            <v>m3</v>
          </cell>
          <cell r="G151">
            <v>3.49E-2</v>
          </cell>
          <cell r="H151">
            <v>50</v>
          </cell>
          <cell r="I151">
            <v>1.75</v>
          </cell>
        </row>
        <row r="152">
          <cell r="C152" t="str">
            <v>65</v>
          </cell>
          <cell r="D152" t="str">
            <v>Pedra n.º 1</v>
          </cell>
          <cell r="E152" t="str">
            <v>MAT.</v>
          </cell>
          <cell r="F152" t="str">
            <v>m3</v>
          </cell>
          <cell r="G152">
            <v>4.3900000000000002E-2</v>
          </cell>
          <cell r="H152">
            <v>42</v>
          </cell>
          <cell r="I152">
            <v>1.84</v>
          </cell>
        </row>
        <row r="153">
          <cell r="C153" t="str">
            <v>99.1276</v>
          </cell>
          <cell r="D153" t="str">
            <v>MDO para execução de lastro de concreto</v>
          </cell>
          <cell r="E153" t="str">
            <v>M.O.</v>
          </cell>
          <cell r="F153" t="str">
            <v>m2</v>
          </cell>
          <cell r="G153">
            <v>1</v>
          </cell>
          <cell r="H153">
            <v>15.5</v>
          </cell>
          <cell r="I153">
            <v>15.5</v>
          </cell>
        </row>
        <row r="154">
          <cell r="C154" t="str">
            <v>12.02.04.01</v>
          </cell>
          <cell r="D154" t="str">
            <v>Mureta Guia</v>
          </cell>
          <cell r="E154" t="str">
            <v xml:space="preserve">SER.CG </v>
          </cell>
          <cell r="F154" t="str">
            <v xml:space="preserve">m </v>
          </cell>
          <cell r="G154">
            <v>289</v>
          </cell>
          <cell r="H154">
            <v>353.48</v>
          </cell>
          <cell r="I154">
            <v>102155.72</v>
          </cell>
        </row>
        <row r="155">
          <cell r="C155">
            <v>1</v>
          </cell>
          <cell r="D155" t="str">
            <v>Limpa rodas</v>
          </cell>
          <cell r="E155" t="str">
            <v>SER.CG</v>
          </cell>
          <cell r="F155" t="str">
            <v>m</v>
          </cell>
          <cell r="G155">
            <v>1</v>
          </cell>
          <cell r="H155">
            <v>41.52</v>
          </cell>
          <cell r="I155">
            <v>41.52</v>
          </cell>
        </row>
        <row r="156">
          <cell r="C156" t="str">
            <v>14</v>
          </cell>
          <cell r="D156" t="str">
            <v>Aço CA-50 Ø 6,3mm</v>
          </cell>
          <cell r="E156" t="str">
            <v>MAT.</v>
          </cell>
          <cell r="F156" t="str">
            <v>kg</v>
          </cell>
          <cell r="G156">
            <v>6.8</v>
          </cell>
          <cell r="H156">
            <v>2.74</v>
          </cell>
          <cell r="I156">
            <v>18.63</v>
          </cell>
        </row>
        <row r="157">
          <cell r="C157" t="str">
            <v>2406</v>
          </cell>
          <cell r="D157" t="str">
            <v>Execução de mureta guia, inclusive material (forma, preço e desmoldante)</v>
          </cell>
          <cell r="E157" t="str">
            <v>M.O.</v>
          </cell>
          <cell r="F157" t="str">
            <v>m</v>
          </cell>
          <cell r="G157">
            <v>1</v>
          </cell>
          <cell r="H157">
            <v>214.4</v>
          </cell>
          <cell r="I157">
            <v>214.4</v>
          </cell>
        </row>
        <row r="158">
          <cell r="C158" t="str">
            <v>30</v>
          </cell>
          <cell r="D158" t="str">
            <v>Aço CA-50 Ø 10,0mm</v>
          </cell>
          <cell r="E158" t="str">
            <v>MAT.</v>
          </cell>
          <cell r="F158" t="str">
            <v>kg</v>
          </cell>
          <cell r="G158">
            <v>17.3</v>
          </cell>
          <cell r="H158">
            <v>2.2663699999999998</v>
          </cell>
          <cell r="I158">
            <v>39.21</v>
          </cell>
        </row>
        <row r="159">
          <cell r="C159" t="str">
            <v>3337</v>
          </cell>
          <cell r="D159" t="str">
            <v>Concreto fck=20 MPa slump 5±1</v>
          </cell>
          <cell r="E159" t="str">
            <v>MAT.</v>
          </cell>
          <cell r="F159" t="str">
            <v>m3</v>
          </cell>
          <cell r="G159">
            <v>0.24</v>
          </cell>
          <cell r="H159">
            <v>165.5</v>
          </cell>
          <cell r="I159">
            <v>39.72</v>
          </cell>
        </row>
        <row r="160">
          <cell r="C160">
            <v>1</v>
          </cell>
          <cell r="D160" t="str">
            <v>MDO de corte e dobra</v>
          </cell>
          <cell r="E160" t="str">
            <v>MAT.</v>
          </cell>
          <cell r="F160" t="str">
            <v>t</v>
          </cell>
          <cell r="G160">
            <v>6.7999999999999996E-3</v>
          </cell>
          <cell r="H160">
            <v>0</v>
          </cell>
          <cell r="I160">
            <v>0</v>
          </cell>
        </row>
        <row r="161">
          <cell r="C161" t="str">
            <v>12.02.04.02</v>
          </cell>
          <cell r="D161" t="str">
            <v>Parede Diafragma (e=40cm)</v>
          </cell>
          <cell r="E161" t="str">
            <v xml:space="preserve">SER.CG </v>
          </cell>
          <cell r="F161" t="str">
            <v xml:space="preserve">m2 </v>
          </cell>
          <cell r="G161">
            <v>4737</v>
          </cell>
          <cell r="H161">
            <v>376.99</v>
          </cell>
          <cell r="I161">
            <v>1785801.63</v>
          </cell>
        </row>
        <row r="162">
          <cell r="C162" t="str">
            <v>15</v>
          </cell>
          <cell r="D162" t="str">
            <v>Aço CA-50 Ø 8,0mm</v>
          </cell>
          <cell r="E162" t="str">
            <v>MAT.</v>
          </cell>
          <cell r="F162" t="str">
            <v>kg</v>
          </cell>
          <cell r="G162">
            <v>2.9129999999999998</v>
          </cell>
          <cell r="H162">
            <v>2.5314999999999999</v>
          </cell>
          <cell r="I162">
            <v>7.37</v>
          </cell>
        </row>
        <row r="163">
          <cell r="C163" t="str">
            <v>1673</v>
          </cell>
          <cell r="D163" t="str">
            <v>Caminhão para retirada do material da parede diafragma</v>
          </cell>
          <cell r="E163" t="str">
            <v>EMPRE</v>
          </cell>
          <cell r="F163" t="str">
            <v>m3</v>
          </cell>
          <cell r="G163">
            <v>0.75962499999999999</v>
          </cell>
          <cell r="H163">
            <v>42</v>
          </cell>
          <cell r="I163">
            <v>31.9</v>
          </cell>
        </row>
        <row r="164">
          <cell r="C164" t="str">
            <v>1674</v>
          </cell>
          <cell r="D164" t="str">
            <v>Retro escavadeira - aluguel</v>
          </cell>
          <cell r="E164" t="str">
            <v>EQ.LOC</v>
          </cell>
          <cell r="F164" t="str">
            <v>dia</v>
          </cell>
          <cell r="G164">
            <v>8.8660000000000006E-3</v>
          </cell>
          <cell r="H164">
            <v>400</v>
          </cell>
          <cell r="I164">
            <v>3.55</v>
          </cell>
        </row>
        <row r="165">
          <cell r="C165" t="str">
            <v>1694</v>
          </cell>
          <cell r="D165" t="str">
            <v>Concreto fck=20 MPa slump 20±2 cons. 400kg cim/m3</v>
          </cell>
          <cell r="E165" t="str">
            <v>MAT.</v>
          </cell>
          <cell r="F165" t="str">
            <v>m3</v>
          </cell>
          <cell r="G165">
            <v>0.48</v>
          </cell>
          <cell r="H165">
            <v>192</v>
          </cell>
          <cell r="I165">
            <v>92.16</v>
          </cell>
        </row>
        <row r="166">
          <cell r="C166" t="str">
            <v>31</v>
          </cell>
          <cell r="D166" t="str">
            <v>Aço CA-50 Ø 12,5mm</v>
          </cell>
          <cell r="E166" t="str">
            <v>MAT.</v>
          </cell>
          <cell r="F166" t="str">
            <v>kg</v>
          </cell>
          <cell r="G166">
            <v>4.5199999999999996</v>
          </cell>
          <cell r="H166">
            <v>2.1519699999999999</v>
          </cell>
          <cell r="I166">
            <v>9.73</v>
          </cell>
        </row>
        <row r="167">
          <cell r="C167" t="str">
            <v>32</v>
          </cell>
          <cell r="D167" t="str">
            <v>Aço CA-50 Ø 16,0mm</v>
          </cell>
          <cell r="E167" t="str">
            <v>MAT.</v>
          </cell>
          <cell r="F167" t="str">
            <v>kg</v>
          </cell>
          <cell r="G167">
            <v>29.47</v>
          </cell>
          <cell r="H167">
            <v>2.1519699999999999</v>
          </cell>
          <cell r="I167">
            <v>63.42</v>
          </cell>
        </row>
        <row r="168">
          <cell r="C168" t="str">
            <v>320</v>
          </cell>
          <cell r="D168" t="str">
            <v>Limpa fossa</v>
          </cell>
          <cell r="E168" t="str">
            <v>EMPRE</v>
          </cell>
          <cell r="F168" t="str">
            <v>vg</v>
          </cell>
          <cell r="G168">
            <v>1.23E-2</v>
          </cell>
          <cell r="H168">
            <v>250</v>
          </cell>
          <cell r="I168">
            <v>3.08</v>
          </cell>
        </row>
        <row r="169">
          <cell r="C169" t="str">
            <v>3207</v>
          </cell>
          <cell r="D169" t="str">
            <v>MDO para corte e dobra aço para parede diafragma</v>
          </cell>
          <cell r="E169" t="str">
            <v>M.O.</v>
          </cell>
          <cell r="F169" t="str">
            <v>kg</v>
          </cell>
          <cell r="G169">
            <v>36.9</v>
          </cell>
          <cell r="H169">
            <v>0</v>
          </cell>
          <cell r="I169">
            <v>0</v>
          </cell>
        </row>
        <row r="170">
          <cell r="C170" t="str">
            <v>342</v>
          </cell>
          <cell r="D170" t="str">
            <v>Execução de parede diafragma</v>
          </cell>
          <cell r="E170" t="str">
            <v>M.O.</v>
          </cell>
          <cell r="F170" t="str">
            <v>m2</v>
          </cell>
          <cell r="G170">
            <v>1</v>
          </cell>
          <cell r="H170">
            <v>126.4</v>
          </cell>
          <cell r="I170">
            <v>126.4</v>
          </cell>
        </row>
        <row r="171">
          <cell r="C171" t="str">
            <v>3915</v>
          </cell>
          <cell r="D171" t="str">
            <v>Taxa de mobilização de equipamento para parede diafragma</v>
          </cell>
          <cell r="E171" t="str">
            <v>EMPRE</v>
          </cell>
          <cell r="F171" t="str">
            <v>m2</v>
          </cell>
          <cell r="G171">
            <v>4.2220000000000002E-4</v>
          </cell>
          <cell r="H171">
            <v>23642.33</v>
          </cell>
          <cell r="I171">
            <v>9.98</v>
          </cell>
        </row>
        <row r="172">
          <cell r="C172" t="str">
            <v>61</v>
          </cell>
          <cell r="D172" t="str">
            <v>Arame recozido nº18</v>
          </cell>
          <cell r="E172" t="str">
            <v>MAT.</v>
          </cell>
          <cell r="F172" t="str">
            <v>kg</v>
          </cell>
          <cell r="G172">
            <v>0.332986</v>
          </cell>
          <cell r="H172">
            <v>3.8</v>
          </cell>
          <cell r="I172">
            <v>1.27</v>
          </cell>
        </row>
        <row r="173">
          <cell r="C173">
            <v>1</v>
          </cell>
          <cell r="D173" t="str">
            <v>Agua</v>
          </cell>
          <cell r="F173" t="str">
            <v>m3</v>
          </cell>
          <cell r="G173">
            <v>0.88660000000000005</v>
          </cell>
          <cell r="H173">
            <v>10</v>
          </cell>
          <cell r="I173">
            <v>8.8699999999999992</v>
          </cell>
        </row>
        <row r="174">
          <cell r="C174">
            <v>1</v>
          </cell>
          <cell r="D174" t="str">
            <v>Gerador de energia</v>
          </cell>
          <cell r="F174" t="str">
            <v>mês</v>
          </cell>
          <cell r="G174">
            <v>2.9555E-4</v>
          </cell>
          <cell r="H174">
            <v>25440</v>
          </cell>
          <cell r="I174">
            <v>7.52</v>
          </cell>
        </row>
        <row r="175">
          <cell r="C175">
            <v>1</v>
          </cell>
          <cell r="D175" t="str">
            <v>Controle Tecnologico</v>
          </cell>
          <cell r="F175" t="str">
            <v>m3</v>
          </cell>
          <cell r="G175">
            <v>0.48</v>
          </cell>
          <cell r="H175">
            <v>15</v>
          </cell>
          <cell r="I175">
            <v>7.2</v>
          </cell>
        </row>
        <row r="176">
          <cell r="C176">
            <v>1</v>
          </cell>
          <cell r="D176" t="str">
            <v>Mão de obra de apoio</v>
          </cell>
          <cell r="F176" t="str">
            <v>vb</v>
          </cell>
          <cell r="G176">
            <v>1</v>
          </cell>
          <cell r="H176">
            <v>4.54</v>
          </cell>
          <cell r="I176">
            <v>4.54</v>
          </cell>
        </row>
        <row r="177">
          <cell r="C177" t="str">
            <v>12.02.05.01</v>
          </cell>
          <cell r="D177" t="str">
            <v>Execução de tirantes</v>
          </cell>
          <cell r="E177" t="str">
            <v xml:space="preserve">SER.CG </v>
          </cell>
          <cell r="F177" t="str">
            <v xml:space="preserve">ml </v>
          </cell>
          <cell r="G177">
            <v>4836</v>
          </cell>
          <cell r="H177">
            <v>232.16</v>
          </cell>
          <cell r="I177">
            <v>1122725.76</v>
          </cell>
        </row>
        <row r="178">
          <cell r="C178" t="str">
            <v>1865</v>
          </cell>
          <cell r="D178" t="str">
            <v>Cimento Portland Alta Resistência Inicial CPV-ARI (saco 50kg)</v>
          </cell>
          <cell r="E178" t="str">
            <v>MAT.</v>
          </cell>
          <cell r="F178" t="str">
            <v>sc</v>
          </cell>
          <cell r="G178">
            <v>1.5</v>
          </cell>
          <cell r="H178">
            <v>12.6</v>
          </cell>
          <cell r="I178">
            <v>18.899999999999999</v>
          </cell>
        </row>
        <row r="179">
          <cell r="C179" t="str">
            <v>392</v>
          </cell>
          <cell r="D179" t="str">
            <v>Tamponamento tirantes parede diafragma</v>
          </cell>
          <cell r="E179" t="str">
            <v>MAT.</v>
          </cell>
          <cell r="F179" t="str">
            <v>un</v>
          </cell>
          <cell r="G179">
            <v>5.7689999999999998E-2</v>
          </cell>
          <cell r="H179">
            <v>92</v>
          </cell>
          <cell r="I179">
            <v>5.31</v>
          </cell>
        </row>
        <row r="180">
          <cell r="C180" t="str">
            <v>4436</v>
          </cell>
          <cell r="D180" t="str">
            <v>MDO de apoio para execução de tirantes</v>
          </cell>
          <cell r="E180" t="str">
            <v>M.O.</v>
          </cell>
          <cell r="F180" t="str">
            <v>Vb</v>
          </cell>
          <cell r="G180">
            <v>1</v>
          </cell>
          <cell r="H180">
            <v>8.8800000000000008</v>
          </cell>
          <cell r="I180">
            <v>8.8800000000000008</v>
          </cell>
        </row>
        <row r="181">
          <cell r="C181" t="str">
            <v>4449</v>
          </cell>
          <cell r="D181" t="str">
            <v>Execução de tirante</v>
          </cell>
          <cell r="E181" t="str">
            <v>EMPRE</v>
          </cell>
          <cell r="F181" t="str">
            <v>m</v>
          </cell>
          <cell r="G181">
            <v>1.0580000000000001</v>
          </cell>
          <cell r="H181">
            <v>157.77000000000001</v>
          </cell>
          <cell r="I181">
            <v>166.92</v>
          </cell>
        </row>
        <row r="182">
          <cell r="C182">
            <v>1</v>
          </cell>
          <cell r="D182" t="str">
            <v>Perfuração em solo</v>
          </cell>
          <cell r="F182" t="str">
            <v>m</v>
          </cell>
          <cell r="G182">
            <v>2.316E-2</v>
          </cell>
          <cell r="H182">
            <v>284.17</v>
          </cell>
          <cell r="I182">
            <v>6.58</v>
          </cell>
        </row>
        <row r="183">
          <cell r="C183" t="str">
            <v>4734</v>
          </cell>
          <cell r="D183" t="str">
            <v>Perfuração para instalação de tirantes</v>
          </cell>
          <cell r="E183" t="str">
            <v>MAT.</v>
          </cell>
          <cell r="F183" t="str">
            <v>un</v>
          </cell>
          <cell r="G183">
            <v>5.7700000000000001E-2</v>
          </cell>
          <cell r="H183">
            <v>50</v>
          </cell>
          <cell r="I183">
            <v>2.89</v>
          </cell>
        </row>
        <row r="184">
          <cell r="C184">
            <v>1</v>
          </cell>
          <cell r="D184" t="str">
            <v>Agua</v>
          </cell>
          <cell r="E184" t="str">
            <v>MAT.</v>
          </cell>
          <cell r="F184" t="str">
            <v>m3</v>
          </cell>
          <cell r="G184">
            <v>0.47970000000000002</v>
          </cell>
          <cell r="H184">
            <v>10</v>
          </cell>
          <cell r="I184">
            <v>4.8</v>
          </cell>
        </row>
        <row r="185">
          <cell r="C185">
            <v>1</v>
          </cell>
          <cell r="D185" t="str">
            <v>Gerador de energia</v>
          </cell>
          <cell r="F185" t="str">
            <v>mês</v>
          </cell>
          <cell r="G185">
            <v>3.9977900000000001E-4</v>
          </cell>
          <cell r="H185">
            <v>25964.76</v>
          </cell>
          <cell r="I185">
            <v>10.38</v>
          </cell>
        </row>
        <row r="186">
          <cell r="C186">
            <v>1</v>
          </cell>
          <cell r="D186" t="str">
            <v>Desprotensão</v>
          </cell>
          <cell r="F186" t="str">
            <v>un</v>
          </cell>
          <cell r="G186">
            <v>5.7692E-2</v>
          </cell>
          <cell r="H186">
            <v>130</v>
          </cell>
          <cell r="I186">
            <v>7.5</v>
          </cell>
        </row>
        <row r="187">
          <cell r="C187" t="str">
            <v>12.03.01.01</v>
          </cell>
          <cell r="D187" t="str">
            <v>Forma para fundação com chapa compensada</v>
          </cell>
          <cell r="E187" t="str">
            <v xml:space="preserve">SER.CG </v>
          </cell>
          <cell r="F187" t="str">
            <v xml:space="preserve">m2 </v>
          </cell>
          <cell r="G187">
            <v>1559</v>
          </cell>
          <cell r="H187">
            <v>23.650000000000002</v>
          </cell>
          <cell r="I187">
            <v>36870.35</v>
          </cell>
        </row>
        <row r="188">
          <cell r="C188" t="str">
            <v>2247</v>
          </cell>
          <cell r="D188" t="str">
            <v>Sarrafo 1"x3" - pinus aparelhado</v>
          </cell>
          <cell r="E188" t="str">
            <v>MAT.</v>
          </cell>
          <cell r="F188" t="str">
            <v>m</v>
          </cell>
          <cell r="G188">
            <v>1.53</v>
          </cell>
          <cell r="H188">
            <v>2.1</v>
          </cell>
          <cell r="I188">
            <v>3.21</v>
          </cell>
        </row>
        <row r="189">
          <cell r="C189" t="str">
            <v>2250</v>
          </cell>
          <cell r="D189" t="str">
            <v>Pontalete 3"x3" - pinus aparelhado</v>
          </cell>
          <cell r="E189" t="str">
            <v>MAT.</v>
          </cell>
          <cell r="F189" t="str">
            <v>m</v>
          </cell>
          <cell r="G189">
            <v>3</v>
          </cell>
          <cell r="H189">
            <v>3.63</v>
          </cell>
          <cell r="I189">
            <v>10.89</v>
          </cell>
        </row>
        <row r="190">
          <cell r="C190" t="str">
            <v>58</v>
          </cell>
          <cell r="D190" t="str">
            <v>Desmoldante (tambor 200 l)</v>
          </cell>
          <cell r="E190" t="str">
            <v>MAT.</v>
          </cell>
          <cell r="F190" t="str">
            <v>un</v>
          </cell>
          <cell r="G190">
            <v>5.0000000000000001E-3</v>
          </cell>
          <cell r="H190">
            <v>754</v>
          </cell>
          <cell r="I190">
            <v>3.77</v>
          </cell>
        </row>
        <row r="191">
          <cell r="C191" t="str">
            <v>62</v>
          </cell>
          <cell r="D191" t="str">
            <v>Prego 18x27 com cabeça</v>
          </cell>
          <cell r="E191" t="str">
            <v>MAT.</v>
          </cell>
          <cell r="F191" t="str">
            <v>kg</v>
          </cell>
          <cell r="G191">
            <v>0.2</v>
          </cell>
          <cell r="H191">
            <v>4.0199999999999996</v>
          </cell>
          <cell r="I191">
            <v>0.8</v>
          </cell>
        </row>
        <row r="192">
          <cell r="C192" t="str">
            <v>975</v>
          </cell>
          <cell r="D192" t="str">
            <v>Compensado resinado 10mm 1,10x2,20m - cola fenólica</v>
          </cell>
          <cell r="E192" t="str">
            <v>MAT.</v>
          </cell>
          <cell r="F192" t="str">
            <v>ch</v>
          </cell>
          <cell r="G192">
            <v>0.17799999999999999</v>
          </cell>
          <cell r="H192">
            <v>27.98</v>
          </cell>
          <cell r="I192">
            <v>4.9800000000000004</v>
          </cell>
        </row>
        <row r="193">
          <cell r="C193" t="str">
            <v>12.03.01.02</v>
          </cell>
          <cell r="D193" t="str">
            <v>Aço CA-50 para fundação</v>
          </cell>
          <cell r="E193" t="str">
            <v xml:space="preserve">SER.CG </v>
          </cell>
          <cell r="F193" t="str">
            <v xml:space="preserve">kg </v>
          </cell>
          <cell r="G193">
            <v>54468</v>
          </cell>
          <cell r="H193">
            <v>2.61</v>
          </cell>
          <cell r="I193">
            <v>142161.48000000001</v>
          </cell>
        </row>
        <row r="194">
          <cell r="C194" t="str">
            <v>1284</v>
          </cell>
          <cell r="D194" t="str">
            <v>Espaçador CHP 3/4</v>
          </cell>
          <cell r="E194" t="str">
            <v>MAT.</v>
          </cell>
          <cell r="F194" t="str">
            <v>mh</v>
          </cell>
          <cell r="G194">
            <v>8.0000000000000007E-5</v>
          </cell>
          <cell r="H194">
            <v>260</v>
          </cell>
          <cell r="I194">
            <v>0.02</v>
          </cell>
        </row>
        <row r="195">
          <cell r="C195" t="str">
            <v>14</v>
          </cell>
          <cell r="D195" t="str">
            <v>Aço CA-50 Ø 6,3mm</v>
          </cell>
          <cell r="E195" t="str">
            <v>MAT.</v>
          </cell>
          <cell r="F195" t="str">
            <v>t</v>
          </cell>
          <cell r="G195">
            <v>3.3000000000000003E-5</v>
          </cell>
          <cell r="H195">
            <v>2740.36</v>
          </cell>
          <cell r="I195">
            <v>0.09</v>
          </cell>
        </row>
        <row r="196">
          <cell r="C196" t="str">
            <v>15</v>
          </cell>
          <cell r="D196" t="str">
            <v>Aço CA-50 Ø 8,0mm</v>
          </cell>
          <cell r="E196" t="str">
            <v>MAT.</v>
          </cell>
          <cell r="F196" t="str">
            <v>t</v>
          </cell>
          <cell r="G196">
            <v>1.1E-5</v>
          </cell>
          <cell r="H196">
            <v>2531.5</v>
          </cell>
          <cell r="I196">
            <v>0.03</v>
          </cell>
        </row>
        <row r="197">
          <cell r="C197" t="str">
            <v>30</v>
          </cell>
          <cell r="D197" t="str">
            <v>Aço CA-50 Ø 10,0mm</v>
          </cell>
          <cell r="E197" t="str">
            <v>MAT.</v>
          </cell>
          <cell r="F197" t="str">
            <v>t</v>
          </cell>
          <cell r="G197">
            <v>3.1000000000000001E-5</v>
          </cell>
          <cell r="H197">
            <v>2266.37</v>
          </cell>
          <cell r="I197">
            <v>7.0000000000000007E-2</v>
          </cell>
        </row>
        <row r="198">
          <cell r="C198" t="str">
            <v>31</v>
          </cell>
          <cell r="D198" t="str">
            <v>Aço CA-50 Ø 12,5mm</v>
          </cell>
          <cell r="E198" t="str">
            <v>MAT.</v>
          </cell>
          <cell r="F198" t="str">
            <v>t</v>
          </cell>
          <cell r="G198">
            <v>1.13E-4</v>
          </cell>
          <cell r="H198">
            <v>2151.9699999999998</v>
          </cell>
          <cell r="I198">
            <v>0.24</v>
          </cell>
        </row>
        <row r="199">
          <cell r="C199" t="str">
            <v>32</v>
          </cell>
          <cell r="D199" t="str">
            <v>Aço CA-50 Ø 16,0mm</v>
          </cell>
          <cell r="E199" t="str">
            <v>MAT.</v>
          </cell>
          <cell r="F199" t="str">
            <v>t</v>
          </cell>
          <cell r="G199">
            <v>2.1699999999999999E-4</v>
          </cell>
          <cell r="H199">
            <v>2151.9699999999998</v>
          </cell>
          <cell r="I199">
            <v>0.47</v>
          </cell>
        </row>
        <row r="200">
          <cell r="C200" t="str">
            <v>33</v>
          </cell>
          <cell r="D200" t="str">
            <v>Aço CA-50 Ø 20,0mm</v>
          </cell>
          <cell r="E200" t="str">
            <v>MAT.</v>
          </cell>
          <cell r="F200" t="str">
            <v>t</v>
          </cell>
          <cell r="G200">
            <v>3.5799999999999997E-4</v>
          </cell>
          <cell r="H200">
            <v>2151.9699999999998</v>
          </cell>
          <cell r="I200">
            <v>0.77</v>
          </cell>
        </row>
        <row r="201">
          <cell r="C201" t="str">
            <v>34</v>
          </cell>
          <cell r="D201" t="str">
            <v>Aço CA-50 Ø 25,0mm</v>
          </cell>
          <cell r="E201" t="str">
            <v>MAT.</v>
          </cell>
          <cell r="F201" t="str">
            <v>t</v>
          </cell>
          <cell r="G201">
            <v>3.3700000000000001E-4</v>
          </cell>
          <cell r="H201">
            <v>2151.9699999999998</v>
          </cell>
          <cell r="I201">
            <v>0.73</v>
          </cell>
        </row>
        <row r="202">
          <cell r="C202" t="str">
            <v>37</v>
          </cell>
          <cell r="D202" t="str">
            <v>MDO para corte e dobra de aço</v>
          </cell>
          <cell r="E202" t="str">
            <v>M.O.</v>
          </cell>
          <cell r="F202" t="str">
            <v>kg</v>
          </cell>
          <cell r="G202">
            <v>1.1000000000000001</v>
          </cell>
          <cell r="H202">
            <v>0</v>
          </cell>
          <cell r="I202">
            <v>0</v>
          </cell>
        </row>
        <row r="203">
          <cell r="C203" t="str">
            <v>61</v>
          </cell>
          <cell r="D203" t="str">
            <v>Arame recozido nº18</v>
          </cell>
          <cell r="E203" t="str">
            <v>MAT.</v>
          </cell>
          <cell r="F203" t="str">
            <v>kg</v>
          </cell>
          <cell r="G203">
            <v>5.0358E-2</v>
          </cell>
          <cell r="H203">
            <v>3.8</v>
          </cell>
          <cell r="I203">
            <v>0.19</v>
          </cell>
        </row>
        <row r="204">
          <cell r="C204" t="str">
            <v>12.03.01.03</v>
          </cell>
          <cell r="D204" t="str">
            <v>Concreto fck=30 Mpa</v>
          </cell>
          <cell r="E204" t="str">
            <v xml:space="preserve">SER.CG </v>
          </cell>
          <cell r="F204" t="str">
            <v xml:space="preserve">m3 </v>
          </cell>
          <cell r="G204">
            <v>801</v>
          </cell>
          <cell r="H204">
            <v>228.63</v>
          </cell>
          <cell r="I204">
            <v>183132.63</v>
          </cell>
        </row>
        <row r="205">
          <cell r="C205" t="str">
            <v>2421</v>
          </cell>
          <cell r="D205" t="str">
            <v>Taxa de bomba de concreto</v>
          </cell>
          <cell r="E205" t="str">
            <v>MAT.</v>
          </cell>
          <cell r="F205" t="str">
            <v>m3</v>
          </cell>
          <cell r="G205">
            <v>1</v>
          </cell>
          <cell r="H205">
            <v>30</v>
          </cell>
          <cell r="I205">
            <v>30</v>
          </cell>
        </row>
        <row r="206">
          <cell r="C206" t="str">
            <v>3798</v>
          </cell>
          <cell r="D206" t="str">
            <v>Concreto fck=30 MPa slump 8±1 B1 e B2</v>
          </cell>
          <cell r="E206" t="str">
            <v>MAT.</v>
          </cell>
          <cell r="F206" t="str">
            <v>m3</v>
          </cell>
          <cell r="G206">
            <v>1.07</v>
          </cell>
          <cell r="H206">
            <v>185.64</v>
          </cell>
          <cell r="I206">
            <v>198.63</v>
          </cell>
        </row>
        <row r="207">
          <cell r="C207" t="str">
            <v>12.03.01.05</v>
          </cell>
          <cell r="D207" t="str">
            <v>MDO para lançamento de concreto em fundações</v>
          </cell>
          <cell r="E207" t="str">
            <v xml:space="preserve">SER.CG </v>
          </cell>
          <cell r="F207" t="str">
            <v xml:space="preserve">m3 </v>
          </cell>
          <cell r="G207">
            <v>801</v>
          </cell>
          <cell r="H207">
            <v>270</v>
          </cell>
          <cell r="I207">
            <v>216270</v>
          </cell>
        </row>
        <row r="208">
          <cell r="C208" t="str">
            <v>2410</v>
          </cell>
          <cell r="D208" t="str">
            <v>MDO para lançamento de concreto de sapatas</v>
          </cell>
          <cell r="E208" t="str">
            <v>M.O.</v>
          </cell>
          <cell r="F208" t="str">
            <v>m3</v>
          </cell>
          <cell r="G208">
            <v>1</v>
          </cell>
          <cell r="H208">
            <v>270</v>
          </cell>
          <cell r="I208">
            <v>270</v>
          </cell>
        </row>
        <row r="209">
          <cell r="C209" t="str">
            <v>12.03.01.06</v>
          </cell>
          <cell r="D209" t="str">
            <v>Escavação manual de cavas e valas para fundação</v>
          </cell>
          <cell r="E209" t="str">
            <v xml:space="preserve">SER.CG </v>
          </cell>
          <cell r="F209" t="str">
            <v xml:space="preserve">m3 </v>
          </cell>
          <cell r="G209">
            <v>4660</v>
          </cell>
          <cell r="H209">
            <v>45</v>
          </cell>
          <cell r="I209">
            <v>209700</v>
          </cell>
        </row>
        <row r="210">
          <cell r="C210" t="str">
            <v>99.1222</v>
          </cell>
          <cell r="D210" t="str">
            <v>MDO de esvação manual de cavas e valas para fundação</v>
          </cell>
          <cell r="E210" t="str">
            <v>M.O.</v>
          </cell>
          <cell r="F210" t="str">
            <v>m3</v>
          </cell>
          <cell r="G210">
            <v>1</v>
          </cell>
          <cell r="H210">
            <v>45</v>
          </cell>
          <cell r="I210">
            <v>45</v>
          </cell>
        </row>
        <row r="211">
          <cell r="C211" t="str">
            <v>12.03.01.07</v>
          </cell>
          <cell r="D211" t="str">
            <v>Reaterro manual compactado de valas e cavas</v>
          </cell>
          <cell r="E211" t="str">
            <v xml:space="preserve">SER.CG </v>
          </cell>
          <cell r="F211" t="str">
            <v xml:space="preserve">m3 </v>
          </cell>
          <cell r="G211">
            <v>3459</v>
          </cell>
          <cell r="H211">
            <v>40</v>
          </cell>
          <cell r="I211">
            <v>138360</v>
          </cell>
        </row>
        <row r="212">
          <cell r="C212" t="str">
            <v>99.1223</v>
          </cell>
          <cell r="D212" t="str">
            <v>MDO de reaterro manual compactado de valas e cavas</v>
          </cell>
          <cell r="E212" t="str">
            <v>M.O.</v>
          </cell>
          <cell r="F212" t="str">
            <v>m3</v>
          </cell>
          <cell r="G212">
            <v>1</v>
          </cell>
          <cell r="H212">
            <v>40</v>
          </cell>
          <cell r="I212">
            <v>40</v>
          </cell>
        </row>
        <row r="213">
          <cell r="C213" t="str">
            <v>12.03.01.08</v>
          </cell>
          <cell r="D213" t="str">
            <v>Remoção de solo excedente da escavação de valas e cavas</v>
          </cell>
          <cell r="E213" t="str">
            <v xml:space="preserve">SER.CG </v>
          </cell>
          <cell r="F213" t="str">
            <v xml:space="preserve">m3 </v>
          </cell>
          <cell r="G213">
            <v>1561</v>
          </cell>
          <cell r="H213">
            <v>28</v>
          </cell>
          <cell r="I213">
            <v>43708</v>
          </cell>
        </row>
        <row r="214">
          <cell r="C214" t="str">
            <v>99.1224</v>
          </cell>
          <cell r="D214" t="str">
            <v>Remoção de material escavado</v>
          </cell>
          <cell r="E214" t="str">
            <v>EMPRE</v>
          </cell>
          <cell r="F214" t="str">
            <v>m3</v>
          </cell>
          <cell r="G214">
            <v>1</v>
          </cell>
          <cell r="H214">
            <v>28</v>
          </cell>
          <cell r="I214">
            <v>28</v>
          </cell>
        </row>
        <row r="215">
          <cell r="C215" t="str">
            <v>13.01.01.01</v>
          </cell>
          <cell r="D215" t="str">
            <v>Forma plana para superestrutura de concreto (Pavtos. Tipos)</v>
          </cell>
          <cell r="E215" t="str">
            <v xml:space="preserve">SER.CG </v>
          </cell>
          <cell r="F215" t="str">
            <v xml:space="preserve">m2 </v>
          </cell>
          <cell r="G215">
            <v>38370.83</v>
          </cell>
          <cell r="H215">
            <v>4.96</v>
          </cell>
          <cell r="I215">
            <v>190319.32</v>
          </cell>
        </row>
        <row r="216">
          <cell r="C216" t="str">
            <v>1177</v>
          </cell>
          <cell r="D216" t="str">
            <v>Sarrafo 1"x4" - pinus</v>
          </cell>
          <cell r="E216" t="str">
            <v>MAT.</v>
          </cell>
          <cell r="F216" t="str">
            <v>dz</v>
          </cell>
          <cell r="G216">
            <v>2.5400000000000002E-3</v>
          </cell>
          <cell r="H216">
            <v>75.599999999999994</v>
          </cell>
          <cell r="I216">
            <v>0.19</v>
          </cell>
        </row>
        <row r="217">
          <cell r="C217" t="str">
            <v>1271</v>
          </cell>
          <cell r="D217" t="str">
            <v>Pontalete 3"x3" - pinus</v>
          </cell>
          <cell r="E217" t="str">
            <v>MAT.</v>
          </cell>
          <cell r="F217" t="str">
            <v>dz</v>
          </cell>
          <cell r="G217">
            <v>4.0900000000000002E-4</v>
          </cell>
          <cell r="H217">
            <v>95</v>
          </cell>
          <cell r="I217">
            <v>0.04</v>
          </cell>
        </row>
        <row r="218">
          <cell r="C218" t="str">
            <v>1286</v>
          </cell>
          <cell r="D218" t="str">
            <v>Espaçador MA-20</v>
          </cell>
          <cell r="E218" t="str">
            <v>MAT.</v>
          </cell>
          <cell r="F218" t="str">
            <v>mh</v>
          </cell>
          <cell r="G218">
            <v>2.7699999999999999E-3</v>
          </cell>
          <cell r="H218">
            <v>338</v>
          </cell>
          <cell r="I218">
            <v>0.94</v>
          </cell>
        </row>
        <row r="219">
          <cell r="C219" t="str">
            <v>2317</v>
          </cell>
          <cell r="D219" t="str">
            <v>Compensado plastificado 18mm 1,22x2,44m</v>
          </cell>
          <cell r="E219" t="str">
            <v>MAT.</v>
          </cell>
          <cell r="F219" t="str">
            <v>ch</v>
          </cell>
          <cell r="G219">
            <v>2.1000000000000001E-2</v>
          </cell>
          <cell r="H219">
            <v>84.21</v>
          </cell>
          <cell r="I219">
            <v>1.77</v>
          </cell>
        </row>
        <row r="220">
          <cell r="C220" t="str">
            <v>450</v>
          </cell>
          <cell r="D220" t="str">
            <v>Tábua 1"x12" - cedrinho</v>
          </cell>
          <cell r="E220" t="str">
            <v>MAT.</v>
          </cell>
          <cell r="F220" t="str">
            <v>dz</v>
          </cell>
          <cell r="G220">
            <v>1.0900000000000001E-4</v>
          </cell>
          <cell r="H220">
            <v>326</v>
          </cell>
          <cell r="I220">
            <v>0.04</v>
          </cell>
        </row>
        <row r="221">
          <cell r="C221" t="str">
            <v>453</v>
          </cell>
          <cell r="D221" t="str">
            <v>Sarrafo 1"x3" - pinus</v>
          </cell>
          <cell r="E221" t="str">
            <v>MAT.</v>
          </cell>
          <cell r="F221" t="str">
            <v>dz</v>
          </cell>
          <cell r="G221">
            <v>6.8199999999999997E-3</v>
          </cell>
          <cell r="H221">
            <v>75.599999999999994</v>
          </cell>
          <cell r="I221">
            <v>0.52</v>
          </cell>
        </row>
        <row r="222">
          <cell r="C222" t="str">
            <v>58</v>
          </cell>
          <cell r="D222" t="str">
            <v>Desmoldante (tambor 200 l)</v>
          </cell>
          <cell r="E222" t="str">
            <v>MAT.</v>
          </cell>
          <cell r="F222" t="str">
            <v>un</v>
          </cell>
          <cell r="G222">
            <v>2.0000000000000001E-4</v>
          </cell>
          <cell r="H222">
            <v>754</v>
          </cell>
          <cell r="I222">
            <v>0.15</v>
          </cell>
        </row>
        <row r="223">
          <cell r="C223" t="str">
            <v>62</v>
          </cell>
          <cell r="D223" t="str">
            <v>Prego 18x27 com cabeça</v>
          </cell>
          <cell r="E223" t="str">
            <v>MAT.</v>
          </cell>
          <cell r="F223" t="str">
            <v>kg</v>
          </cell>
          <cell r="G223">
            <v>0.25</v>
          </cell>
          <cell r="H223">
            <v>4.0199999999999996</v>
          </cell>
          <cell r="I223">
            <v>1.01</v>
          </cell>
        </row>
        <row r="224">
          <cell r="C224">
            <v>1</v>
          </cell>
          <cell r="D224" t="str">
            <v>Reforma de formas</v>
          </cell>
          <cell r="F224" t="str">
            <v>m2</v>
          </cell>
          <cell r="G224">
            <v>1</v>
          </cell>
          <cell r="H224">
            <v>0.3</v>
          </cell>
          <cell r="I224">
            <v>0.3</v>
          </cell>
        </row>
        <row r="225">
          <cell r="C225" t="str">
            <v>13.01.01.02</v>
          </cell>
          <cell r="D225" t="str">
            <v>Forma plana para superestrutura de concreto (Pavtos. Térreo / Ático / Cx. Dagua)</v>
          </cell>
          <cell r="E225" t="str">
            <v xml:space="preserve">SER.CG </v>
          </cell>
          <cell r="F225" t="str">
            <v xml:space="preserve">m2 </v>
          </cell>
          <cell r="G225">
            <v>18190</v>
          </cell>
          <cell r="H225">
            <v>17.71</v>
          </cell>
          <cell r="I225">
            <v>322144.90000000002</v>
          </cell>
        </row>
        <row r="226">
          <cell r="C226" t="str">
            <v>1177</v>
          </cell>
          <cell r="D226" t="str">
            <v>Sarrafo 1"x4" - pinus</v>
          </cell>
          <cell r="E226" t="str">
            <v>MAT.</v>
          </cell>
          <cell r="F226" t="str">
            <v>dz</v>
          </cell>
          <cell r="G226">
            <v>1.5699999999999999E-2</v>
          </cell>
          <cell r="H226">
            <v>75.599999999999994</v>
          </cell>
          <cell r="I226">
            <v>1.19</v>
          </cell>
        </row>
        <row r="227">
          <cell r="C227" t="str">
            <v>1270</v>
          </cell>
          <cell r="D227" t="str">
            <v>Pontalete 3"x3" - cedrinho</v>
          </cell>
          <cell r="E227" t="str">
            <v>MAT.</v>
          </cell>
          <cell r="F227" t="str">
            <v>dz</v>
          </cell>
          <cell r="G227">
            <v>3.5000000000000001E-3</v>
          </cell>
          <cell r="H227">
            <v>166.3</v>
          </cell>
          <cell r="I227">
            <v>0.57999999999999996</v>
          </cell>
        </row>
        <row r="228">
          <cell r="C228" t="str">
            <v>210</v>
          </cell>
          <cell r="D228" t="str">
            <v>Compensado super resinado 18mm 1,22m x 2,44m - cola fenólica</v>
          </cell>
          <cell r="E228" t="str">
            <v>MAT.</v>
          </cell>
          <cell r="F228" t="str">
            <v>ch</v>
          </cell>
          <cell r="G228">
            <v>0.24</v>
          </cell>
          <cell r="H228">
            <v>56.7</v>
          </cell>
          <cell r="I228">
            <v>13.61</v>
          </cell>
        </row>
        <row r="229">
          <cell r="C229" t="str">
            <v>453</v>
          </cell>
          <cell r="D229" t="str">
            <v>Sarrafo 1"x3" - pinus</v>
          </cell>
          <cell r="E229" t="str">
            <v>MAT.</v>
          </cell>
          <cell r="F229" t="str">
            <v>dz</v>
          </cell>
          <cell r="G229">
            <v>1.24E-2</v>
          </cell>
          <cell r="H229">
            <v>75.599999999999994</v>
          </cell>
          <cell r="I229">
            <v>0.94</v>
          </cell>
        </row>
        <row r="230">
          <cell r="C230" t="str">
            <v>58</v>
          </cell>
          <cell r="D230" t="str">
            <v>Desmoldante (tambor 200 l)</v>
          </cell>
          <cell r="E230" t="str">
            <v>MAT.</v>
          </cell>
          <cell r="F230" t="str">
            <v>un</v>
          </cell>
          <cell r="G230">
            <v>5.0000000000000001E-4</v>
          </cell>
          <cell r="H230">
            <v>754</v>
          </cell>
          <cell r="I230">
            <v>0.38</v>
          </cell>
        </row>
        <row r="231">
          <cell r="C231">
            <v>1</v>
          </cell>
          <cell r="D231" t="str">
            <v>Prego 18x27 com cabeça</v>
          </cell>
          <cell r="F231" t="str">
            <v>kg</v>
          </cell>
          <cell r="G231">
            <v>0.25</v>
          </cell>
          <cell r="H231">
            <v>4.0199999999999996</v>
          </cell>
          <cell r="I231">
            <v>1.01</v>
          </cell>
        </row>
        <row r="232">
          <cell r="C232" t="str">
            <v>13.01.01.03</v>
          </cell>
          <cell r="D232" t="str">
            <v>Forma pré fabricada tipo cubeta</v>
          </cell>
          <cell r="E232" t="str">
            <v xml:space="preserve">SER.CG </v>
          </cell>
          <cell r="F232" t="str">
            <v xml:space="preserve">Vb </v>
          </cell>
          <cell r="G232">
            <v>1</v>
          </cell>
          <cell r="H232">
            <v>46050.15</v>
          </cell>
          <cell r="I232">
            <v>46050.15</v>
          </cell>
        </row>
        <row r="233">
          <cell r="C233" t="str">
            <v>4900</v>
          </cell>
          <cell r="D233" t="str">
            <v>Forma pré-fabricada tipo cubeta</v>
          </cell>
          <cell r="E233" t="str">
            <v>MAT.</v>
          </cell>
          <cell r="F233" t="str">
            <v>mês</v>
          </cell>
          <cell r="G233">
            <v>0.93</v>
          </cell>
          <cell r="H233">
            <v>49516.29</v>
          </cell>
          <cell r="I233">
            <v>46050.15</v>
          </cell>
        </row>
        <row r="234">
          <cell r="C234" t="str">
            <v>13.01.01.05</v>
          </cell>
          <cell r="D234" t="str">
            <v>Armação de AÇO CA-50 para superestrutura de concreto</v>
          </cell>
          <cell r="E234" t="str">
            <v xml:space="preserve">SER.CG </v>
          </cell>
          <cell r="F234" t="str">
            <v xml:space="preserve">kg </v>
          </cell>
          <cell r="G234">
            <v>817870</v>
          </cell>
          <cell r="H234">
            <v>2.91</v>
          </cell>
          <cell r="I234">
            <v>2380001.7000000002</v>
          </cell>
        </row>
        <row r="235">
          <cell r="C235" t="str">
            <v>1284</v>
          </cell>
          <cell r="D235" t="str">
            <v>Espaçador CHP 3/4</v>
          </cell>
          <cell r="E235" t="str">
            <v>MAT.</v>
          </cell>
          <cell r="F235" t="str">
            <v>mh</v>
          </cell>
          <cell r="G235">
            <v>7.7000000000000001E-5</v>
          </cell>
          <cell r="H235">
            <v>260</v>
          </cell>
          <cell r="I235">
            <v>0.02</v>
          </cell>
        </row>
        <row r="236">
          <cell r="C236" t="str">
            <v>14</v>
          </cell>
          <cell r="D236" t="str">
            <v>Aço CA-50 Ø 6,3mm</v>
          </cell>
          <cell r="E236" t="str">
            <v>MAT.</v>
          </cell>
          <cell r="F236" t="str">
            <v>t</v>
          </cell>
          <cell r="G236">
            <v>9.0000000000000006E-5</v>
          </cell>
          <cell r="H236">
            <v>2740.36</v>
          </cell>
          <cell r="I236">
            <v>0.25</v>
          </cell>
        </row>
        <row r="237">
          <cell r="C237" t="str">
            <v>15</v>
          </cell>
          <cell r="D237" t="str">
            <v>Aço CA-50 Ø 8,0mm</v>
          </cell>
          <cell r="E237" t="str">
            <v>MAT.</v>
          </cell>
          <cell r="F237" t="str">
            <v>t</v>
          </cell>
          <cell r="G237">
            <v>1.47E-4</v>
          </cell>
          <cell r="H237">
            <v>2531.35</v>
          </cell>
          <cell r="I237">
            <v>0.37</v>
          </cell>
        </row>
        <row r="238">
          <cell r="C238" t="str">
            <v>30</v>
          </cell>
          <cell r="D238" t="str">
            <v>Aço CA-50 Ø 10,0mm</v>
          </cell>
          <cell r="E238" t="str">
            <v>MAT.</v>
          </cell>
          <cell r="F238" t="str">
            <v>t</v>
          </cell>
          <cell r="G238">
            <v>2.1000000000000001E-4</v>
          </cell>
          <cell r="H238">
            <v>2266.37</v>
          </cell>
          <cell r="I238">
            <v>0.48</v>
          </cell>
        </row>
        <row r="239">
          <cell r="C239" t="str">
            <v>31</v>
          </cell>
          <cell r="D239" t="str">
            <v>Aço CA-50 Ø 12,5mm</v>
          </cell>
          <cell r="E239" t="str">
            <v>MAT.</v>
          </cell>
          <cell r="F239" t="str">
            <v>t</v>
          </cell>
          <cell r="G239">
            <v>1.2E-4</v>
          </cell>
          <cell r="H239">
            <v>2151.9699999999998</v>
          </cell>
          <cell r="I239">
            <v>0.26</v>
          </cell>
        </row>
        <row r="240">
          <cell r="C240" t="str">
            <v>32</v>
          </cell>
          <cell r="D240" t="str">
            <v>Aço CA-50 Ø 16,0mm</v>
          </cell>
          <cell r="E240" t="str">
            <v>MAT.</v>
          </cell>
          <cell r="F240" t="str">
            <v>t</v>
          </cell>
          <cell r="G240">
            <v>9.1000000000000003E-5</v>
          </cell>
          <cell r="H240">
            <v>2151.9699999999998</v>
          </cell>
          <cell r="I240">
            <v>0.2</v>
          </cell>
        </row>
        <row r="241">
          <cell r="C241" t="str">
            <v>33</v>
          </cell>
          <cell r="D241" t="str">
            <v>Aço CA-50 Ø 20,0mm</v>
          </cell>
          <cell r="E241" t="str">
            <v>MAT.</v>
          </cell>
          <cell r="F241" t="str">
            <v>t</v>
          </cell>
          <cell r="G241">
            <v>1.02E-4</v>
          </cell>
          <cell r="H241">
            <v>2151.9699999999998</v>
          </cell>
          <cell r="I241">
            <v>0.22</v>
          </cell>
        </row>
        <row r="242">
          <cell r="C242" t="str">
            <v>34</v>
          </cell>
          <cell r="D242" t="str">
            <v>Aço CA-50 Ø 25,0mm</v>
          </cell>
          <cell r="E242" t="str">
            <v>MAT.</v>
          </cell>
          <cell r="F242" t="str">
            <v>t</v>
          </cell>
          <cell r="G242">
            <v>1.8100000000000001E-4</v>
          </cell>
          <cell r="H242">
            <v>2151.9699999999998</v>
          </cell>
          <cell r="I242">
            <v>0.39</v>
          </cell>
        </row>
        <row r="243">
          <cell r="C243">
            <v>35</v>
          </cell>
          <cell r="D243" t="str">
            <v>Aço CA-50 Ø 32,0mm</v>
          </cell>
          <cell r="E243" t="str">
            <v>MAT.</v>
          </cell>
          <cell r="F243" t="str">
            <v>t</v>
          </cell>
          <cell r="G243">
            <v>6.0000000000000002E-5</v>
          </cell>
          <cell r="H243">
            <v>2408.6</v>
          </cell>
          <cell r="I243">
            <v>0.14000000000000001</v>
          </cell>
        </row>
        <row r="244">
          <cell r="C244" t="str">
            <v>37</v>
          </cell>
          <cell r="D244" t="str">
            <v>MDO para corte e dobra de aço</v>
          </cell>
          <cell r="E244" t="str">
            <v>M.O.</v>
          </cell>
          <cell r="F244" t="str">
            <v>kg</v>
          </cell>
          <cell r="G244">
            <v>1</v>
          </cell>
          <cell r="H244">
            <v>0.31</v>
          </cell>
          <cell r="I244">
            <v>0.31</v>
          </cell>
        </row>
        <row r="245">
          <cell r="C245" t="str">
            <v>61</v>
          </cell>
          <cell r="D245" t="str">
            <v>Arame recozido nº18</v>
          </cell>
          <cell r="E245" t="str">
            <v>MAT.</v>
          </cell>
          <cell r="F245" t="str">
            <v>kg</v>
          </cell>
          <cell r="G245">
            <v>0.02</v>
          </cell>
          <cell r="H245">
            <v>3.8</v>
          </cell>
          <cell r="I245">
            <v>0.08</v>
          </cell>
        </row>
        <row r="246">
          <cell r="C246">
            <v>1</v>
          </cell>
          <cell r="D246" t="str">
            <v>Treliça metálica para espaçador</v>
          </cell>
          <cell r="F246" t="str">
            <v>m</v>
          </cell>
          <cell r="G246">
            <v>6.9289740423294652E-2</v>
          </cell>
          <cell r="H246">
            <v>2.67</v>
          </cell>
          <cell r="I246">
            <v>0.19</v>
          </cell>
        </row>
        <row r="247">
          <cell r="C247" t="str">
            <v>13.01.01.06</v>
          </cell>
          <cell r="D247" t="str">
            <v>Armação de AÇO CA-60 para superestrutura de concreto</v>
          </cell>
          <cell r="E247" t="str">
            <v xml:space="preserve">SER.CG </v>
          </cell>
          <cell r="F247" t="str">
            <v xml:space="preserve">kg </v>
          </cell>
          <cell r="G247">
            <v>16030</v>
          </cell>
          <cell r="H247">
            <v>3.24</v>
          </cell>
          <cell r="I247">
            <v>51937.2</v>
          </cell>
        </row>
        <row r="248">
          <cell r="C248" t="str">
            <v>1284</v>
          </cell>
          <cell r="D248" t="str">
            <v>Espaçador CHP 3/4</v>
          </cell>
          <cell r="E248" t="str">
            <v>MAT.</v>
          </cell>
          <cell r="F248" t="str">
            <v>mh</v>
          </cell>
          <cell r="G248">
            <v>7.7000000000000001E-5</v>
          </cell>
          <cell r="H248">
            <v>260</v>
          </cell>
          <cell r="I248">
            <v>0.02</v>
          </cell>
        </row>
        <row r="249">
          <cell r="C249" t="str">
            <v>16</v>
          </cell>
          <cell r="D249" t="str">
            <v>Aço CA-60 Ø 5,0mm</v>
          </cell>
          <cell r="E249" t="str">
            <v>MAT.</v>
          </cell>
          <cell r="F249" t="str">
            <v>t</v>
          </cell>
          <cell r="G249">
            <v>1.0200000000000001E-3</v>
          </cell>
          <cell r="H249">
            <v>2778.72</v>
          </cell>
          <cell r="I249">
            <v>2.83</v>
          </cell>
        </row>
        <row r="250">
          <cell r="C250" t="str">
            <v>37</v>
          </cell>
          <cell r="D250" t="str">
            <v>MDO para corte e dobra de aço</v>
          </cell>
          <cell r="E250" t="str">
            <v>M.O.</v>
          </cell>
          <cell r="F250" t="str">
            <v>kg</v>
          </cell>
          <cell r="G250">
            <v>1</v>
          </cell>
          <cell r="H250">
            <v>0.31</v>
          </cell>
          <cell r="I250">
            <v>0.31</v>
          </cell>
        </row>
        <row r="251">
          <cell r="C251" t="str">
            <v>61</v>
          </cell>
          <cell r="D251" t="str">
            <v>Arame recozido nº18</v>
          </cell>
          <cell r="E251" t="str">
            <v>MAT.</v>
          </cell>
          <cell r="F251" t="str">
            <v>kg</v>
          </cell>
          <cell r="G251">
            <v>0.02</v>
          </cell>
          <cell r="H251">
            <v>3.8</v>
          </cell>
          <cell r="I251">
            <v>0.08</v>
          </cell>
        </row>
        <row r="252">
          <cell r="C252" t="str">
            <v>13.01.01.07</v>
          </cell>
          <cell r="D252" t="str">
            <v>Concreto fck=30 Mpa</v>
          </cell>
          <cell r="E252" t="str">
            <v xml:space="preserve">SER.CG </v>
          </cell>
          <cell r="F252" t="str">
            <v xml:space="preserve">m3 </v>
          </cell>
          <cell r="G252">
            <v>8322.9</v>
          </cell>
          <cell r="H252">
            <v>219.8</v>
          </cell>
          <cell r="I252">
            <v>1829373.42</v>
          </cell>
        </row>
        <row r="253">
          <cell r="C253" t="str">
            <v>2421</v>
          </cell>
          <cell r="D253" t="str">
            <v>Taxa de bomba de concreto</v>
          </cell>
          <cell r="E253" t="str">
            <v>MAT.</v>
          </cell>
          <cell r="F253" t="str">
            <v>m3</v>
          </cell>
          <cell r="G253">
            <v>0.78400000000000003</v>
          </cell>
          <cell r="H253">
            <v>30</v>
          </cell>
          <cell r="I253">
            <v>23.52</v>
          </cell>
        </row>
        <row r="254">
          <cell r="C254" t="str">
            <v>3798</v>
          </cell>
          <cell r="D254" t="str">
            <v>Concreto fck=30 MPa slump 9±1 B1 e B2</v>
          </cell>
          <cell r="E254" t="str">
            <v>MAT.</v>
          </cell>
          <cell r="F254" t="str">
            <v>m3</v>
          </cell>
          <cell r="G254">
            <v>0.86</v>
          </cell>
          <cell r="H254">
            <v>185.64</v>
          </cell>
          <cell r="I254">
            <v>159.65</v>
          </cell>
        </row>
        <row r="255">
          <cell r="C255">
            <v>1</v>
          </cell>
          <cell r="D255" t="str">
            <v>Concreto fck=30 MPa slump 12±1 B1 e B2</v>
          </cell>
          <cell r="E255" t="str">
            <v>MAT.</v>
          </cell>
          <cell r="F255" t="str">
            <v>m3</v>
          </cell>
          <cell r="G255">
            <v>0.19</v>
          </cell>
          <cell r="H255">
            <v>192.78</v>
          </cell>
          <cell r="I255">
            <v>36.630000000000003</v>
          </cell>
        </row>
        <row r="256">
          <cell r="C256" t="str">
            <v>13.01.01.09</v>
          </cell>
          <cell r="D256" t="str">
            <v>MDO para execução de superestrutura de concreto (Pavto. Tipo)</v>
          </cell>
          <cell r="E256" t="str">
            <v xml:space="preserve">SER.CG </v>
          </cell>
          <cell r="F256" t="str">
            <v xml:space="preserve">m3 </v>
          </cell>
          <cell r="G256">
            <v>4483</v>
          </cell>
          <cell r="H256">
            <v>275</v>
          </cell>
          <cell r="I256">
            <v>1232825</v>
          </cell>
        </row>
        <row r="257">
          <cell r="C257" t="str">
            <v>2946</v>
          </cell>
          <cell r="D257" t="str">
            <v>MDO para lançamento de concreto em estrutura (pavto tipo)</v>
          </cell>
          <cell r="E257" t="str">
            <v>M.O.</v>
          </cell>
          <cell r="F257" t="str">
            <v>m3</v>
          </cell>
          <cell r="G257">
            <v>1</v>
          </cell>
          <cell r="H257">
            <v>275</v>
          </cell>
          <cell r="I257">
            <v>275</v>
          </cell>
        </row>
        <row r="258">
          <cell r="C258" t="str">
            <v>13.01.01.11</v>
          </cell>
          <cell r="D258" t="str">
            <v>MDO para execução de superestrutura de concreto (Térreo / Ático / Cx. Dagua)</v>
          </cell>
          <cell r="E258" t="str">
            <v xml:space="preserve">SER.CG </v>
          </cell>
          <cell r="F258" t="str">
            <v xml:space="preserve">m3 </v>
          </cell>
          <cell r="G258">
            <v>3855</v>
          </cell>
          <cell r="H258">
            <v>280</v>
          </cell>
          <cell r="I258">
            <v>1079400</v>
          </cell>
        </row>
        <row r="259">
          <cell r="C259" t="str">
            <v>2947</v>
          </cell>
          <cell r="D259" t="str">
            <v>MDO para lançamento de concreto em estrutura (térreo/ático/cx dágua)</v>
          </cell>
          <cell r="E259" t="str">
            <v>M.O.</v>
          </cell>
          <cell r="F259" t="str">
            <v>m3</v>
          </cell>
          <cell r="G259">
            <v>1</v>
          </cell>
          <cell r="H259">
            <v>280</v>
          </cell>
          <cell r="I259">
            <v>280</v>
          </cell>
        </row>
        <row r="260">
          <cell r="C260" t="str">
            <v>13.02.01.01</v>
          </cell>
          <cell r="D260" t="str">
            <v>Marquise da portaria</v>
          </cell>
          <cell r="E260" t="str">
            <v xml:space="preserve">SER.CG </v>
          </cell>
          <cell r="F260" t="str">
            <v xml:space="preserve">m2 </v>
          </cell>
          <cell r="G260">
            <v>86</v>
          </cell>
          <cell r="H260">
            <v>145</v>
          </cell>
          <cell r="I260">
            <v>12470</v>
          </cell>
        </row>
        <row r="261">
          <cell r="C261" t="str">
            <v>4908</v>
          </cell>
          <cell r="D261" t="str">
            <v>Execução de marquise metálica</v>
          </cell>
          <cell r="E261" t="str">
            <v>EMPRE</v>
          </cell>
          <cell r="F261" t="str">
            <v>m2</v>
          </cell>
          <cell r="G261">
            <v>1</v>
          </cell>
          <cell r="H261">
            <v>145</v>
          </cell>
          <cell r="I261">
            <v>145</v>
          </cell>
        </row>
        <row r="262">
          <cell r="C262" t="str">
            <v>13.03.01.01</v>
          </cell>
          <cell r="D262" t="str">
            <v>Escoramento metálico</v>
          </cell>
          <cell r="E262" t="str">
            <v xml:space="preserve">SER.CG </v>
          </cell>
          <cell r="F262" t="str">
            <v xml:space="preserve">m3 </v>
          </cell>
          <cell r="G262">
            <v>103341</v>
          </cell>
          <cell r="H262">
            <v>3.6</v>
          </cell>
          <cell r="I262">
            <v>372027.6</v>
          </cell>
        </row>
        <row r="263">
          <cell r="C263" t="str">
            <v>99.1297</v>
          </cell>
          <cell r="D263" t="str">
            <v>Escoramento metálico - locação</v>
          </cell>
          <cell r="E263" t="str">
            <v>MAT.</v>
          </cell>
          <cell r="F263" t="str">
            <v>m3</v>
          </cell>
          <cell r="G263">
            <v>1</v>
          </cell>
          <cell r="H263">
            <v>3.6</v>
          </cell>
          <cell r="I263">
            <v>3.6</v>
          </cell>
        </row>
        <row r="264">
          <cell r="C264" t="str">
            <v>13.04.01.01</v>
          </cell>
          <cell r="D264" t="str">
            <v>Junta de Dilatação</v>
          </cell>
          <cell r="E264" t="str">
            <v xml:space="preserve">SER.CG </v>
          </cell>
          <cell r="F264" t="str">
            <v>m</v>
          </cell>
          <cell r="G264">
            <v>2500</v>
          </cell>
          <cell r="H264">
            <v>28.05</v>
          </cell>
          <cell r="I264">
            <v>70125</v>
          </cell>
        </row>
        <row r="265">
          <cell r="C265" t="str">
            <v>99.1297</v>
          </cell>
          <cell r="D265" t="str">
            <v xml:space="preserve">Junta Horizontal </v>
          </cell>
          <cell r="E265" t="str">
            <v>MAT.</v>
          </cell>
          <cell r="F265" t="str">
            <v>m</v>
          </cell>
          <cell r="G265">
            <v>0.53</v>
          </cell>
          <cell r="H265">
            <v>40</v>
          </cell>
          <cell r="I265">
            <v>21.2</v>
          </cell>
        </row>
        <row r="266">
          <cell r="C266">
            <v>1</v>
          </cell>
          <cell r="D266" t="str">
            <v xml:space="preserve">Junta Vertical </v>
          </cell>
          <cell r="E266" t="str">
            <v>MAT.</v>
          </cell>
          <cell r="F266" t="str">
            <v>m</v>
          </cell>
          <cell r="G266">
            <v>0.47</v>
          </cell>
          <cell r="H266">
            <v>1.8</v>
          </cell>
          <cell r="I266">
            <v>0.85</v>
          </cell>
        </row>
        <row r="267">
          <cell r="C267">
            <v>1</v>
          </cell>
          <cell r="D267" t="str">
            <v>Acabamento de piso</v>
          </cell>
          <cell r="E267" t="str">
            <v>MAT.</v>
          </cell>
          <cell r="F267" t="str">
            <v>m</v>
          </cell>
          <cell r="G267">
            <v>1</v>
          </cell>
          <cell r="H267">
            <v>6</v>
          </cell>
          <cell r="I267">
            <v>6</v>
          </cell>
        </row>
        <row r="268">
          <cell r="C268" t="str">
            <v>14.01.01.01</v>
          </cell>
          <cell r="D268" t="str">
            <v>Alvenaria de vedação em bloco cerâmico e=9cm</v>
          </cell>
          <cell r="E268" t="str">
            <v xml:space="preserve">SER.CG </v>
          </cell>
          <cell r="F268" t="str">
            <v xml:space="preserve">m2 </v>
          </cell>
          <cell r="G268">
            <v>1726</v>
          </cell>
          <cell r="H268">
            <v>35.5</v>
          </cell>
          <cell r="I268">
            <v>61273</v>
          </cell>
        </row>
        <row r="269">
          <cell r="C269" t="str">
            <v>1002</v>
          </cell>
          <cell r="D269" t="str">
            <v>Tela metálica para fixação de alvenaria malha 1 6,0x50cm</v>
          </cell>
          <cell r="E269" t="str">
            <v>MAT.</v>
          </cell>
          <cell r="F269" t="str">
            <v>un</v>
          </cell>
          <cell r="G269">
            <v>1.98</v>
          </cell>
          <cell r="H269">
            <v>0.78</v>
          </cell>
          <cell r="I269">
            <v>1.54</v>
          </cell>
        </row>
        <row r="270">
          <cell r="C270" t="str">
            <v>309</v>
          </cell>
          <cell r="D270" t="str">
            <v>Finca pino</v>
          </cell>
          <cell r="E270" t="str">
            <v>MAT.</v>
          </cell>
          <cell r="F270" t="str">
            <v>un</v>
          </cell>
          <cell r="G270">
            <v>1.98</v>
          </cell>
          <cell r="H270">
            <v>0.48</v>
          </cell>
          <cell r="I270">
            <v>0.95</v>
          </cell>
        </row>
        <row r="271">
          <cell r="C271" t="str">
            <v>4267</v>
          </cell>
          <cell r="D271" t="str">
            <v>Argamassa ensacada múltiplo uso (saco 40 kg)</v>
          </cell>
          <cell r="E271" t="str">
            <v>MAT.</v>
          </cell>
          <cell r="F271" t="str">
            <v>sc</v>
          </cell>
          <cell r="G271">
            <v>0.28000000000000003</v>
          </cell>
          <cell r="H271">
            <v>5.9</v>
          </cell>
          <cell r="I271">
            <v>1.65</v>
          </cell>
        </row>
        <row r="272">
          <cell r="C272" t="str">
            <v>87</v>
          </cell>
          <cell r="D272" t="str">
            <v>Bloco cerâmico de vedação 09x19x39cm</v>
          </cell>
          <cell r="E272" t="str">
            <v>MAT.</v>
          </cell>
          <cell r="F272" t="str">
            <v>mh</v>
          </cell>
          <cell r="G272">
            <v>1.2999999999999999E-2</v>
          </cell>
          <cell r="H272">
            <v>989.08</v>
          </cell>
          <cell r="I272">
            <v>12.86</v>
          </cell>
        </row>
        <row r="273">
          <cell r="C273" t="str">
            <v>99.1914</v>
          </cell>
          <cell r="D273" t="str">
            <v>MDO para alvenaria de bloco cerâmico e=9cm</v>
          </cell>
          <cell r="E273" t="str">
            <v>M.O.</v>
          </cell>
          <cell r="F273" t="str">
            <v>m2</v>
          </cell>
          <cell r="G273">
            <v>1</v>
          </cell>
          <cell r="H273">
            <v>18.5</v>
          </cell>
          <cell r="I273">
            <v>18.5</v>
          </cell>
        </row>
        <row r="274">
          <cell r="C274" t="str">
            <v>14.01.01.02</v>
          </cell>
          <cell r="D274" t="str">
            <v>Alvenaria de vedação em bloco cerâmico e=14cm</v>
          </cell>
          <cell r="E274" t="str">
            <v xml:space="preserve">SER.CG </v>
          </cell>
          <cell r="F274" t="str">
            <v xml:space="preserve">m2 </v>
          </cell>
          <cell r="G274">
            <v>14874</v>
          </cell>
          <cell r="H274">
            <v>39.879999999999995</v>
          </cell>
          <cell r="I274">
            <v>593175.12</v>
          </cell>
        </row>
        <row r="275">
          <cell r="C275" t="str">
            <v>1002</v>
          </cell>
          <cell r="D275" t="str">
            <v>Tela metálica para fixação de alvenaria malha 1 6,0x50cm</v>
          </cell>
          <cell r="E275" t="str">
            <v>MAT.</v>
          </cell>
          <cell r="F275" t="str">
            <v>un</v>
          </cell>
          <cell r="G275">
            <v>1.98</v>
          </cell>
          <cell r="H275">
            <v>0.78</v>
          </cell>
          <cell r="I275">
            <v>1.54</v>
          </cell>
        </row>
        <row r="276">
          <cell r="C276" t="str">
            <v>1074</v>
          </cell>
          <cell r="D276" t="str">
            <v>Bloco cerâmico de vedação 14x19x39cm</v>
          </cell>
          <cell r="E276" t="str">
            <v>MAT.</v>
          </cell>
          <cell r="F276" t="str">
            <v>mh</v>
          </cell>
          <cell r="G276">
            <v>1.2999999999999999E-2</v>
          </cell>
          <cell r="H276">
            <v>1248.5999999999999</v>
          </cell>
          <cell r="I276">
            <v>16.23</v>
          </cell>
        </row>
        <row r="277">
          <cell r="C277" t="str">
            <v>309</v>
          </cell>
          <cell r="D277" t="str">
            <v>Finca pino</v>
          </cell>
          <cell r="E277" t="str">
            <v>MAT.</v>
          </cell>
          <cell r="F277" t="str">
            <v>un</v>
          </cell>
          <cell r="G277">
            <v>1.98</v>
          </cell>
          <cell r="H277">
            <v>0.48</v>
          </cell>
          <cell r="I277">
            <v>0.95</v>
          </cell>
        </row>
        <row r="278">
          <cell r="C278" t="str">
            <v>4267</v>
          </cell>
          <cell r="D278" t="str">
            <v>Argamassa ensacada múltiplo uso (saco 40 kg)</v>
          </cell>
          <cell r="E278" t="str">
            <v>MAT.</v>
          </cell>
          <cell r="F278" t="str">
            <v>sc</v>
          </cell>
          <cell r="G278">
            <v>0.45</v>
          </cell>
          <cell r="H278">
            <v>5.9</v>
          </cell>
          <cell r="I278">
            <v>2.66</v>
          </cell>
        </row>
        <row r="279">
          <cell r="C279" t="str">
            <v>99.1915</v>
          </cell>
          <cell r="D279" t="str">
            <v>MDO para alvenaria de bloco cerâmico e=14cm</v>
          </cell>
          <cell r="E279" t="str">
            <v>M.O.</v>
          </cell>
          <cell r="F279" t="str">
            <v>m2</v>
          </cell>
          <cell r="G279">
            <v>1</v>
          </cell>
          <cell r="H279">
            <v>18.5</v>
          </cell>
          <cell r="I279">
            <v>18.5</v>
          </cell>
        </row>
        <row r="280">
          <cell r="C280" t="str">
            <v>14.01.01.03</v>
          </cell>
          <cell r="D280" t="str">
            <v>Alvenaria de vedação em bloco cerâmico e=19cm</v>
          </cell>
          <cell r="E280" t="str">
            <v xml:space="preserve">SER.CG </v>
          </cell>
          <cell r="F280" t="str">
            <v xml:space="preserve">m2 </v>
          </cell>
          <cell r="G280">
            <v>703</v>
          </cell>
          <cell r="H280">
            <v>45.91</v>
          </cell>
          <cell r="I280">
            <v>32274.73</v>
          </cell>
        </row>
        <row r="281">
          <cell r="C281" t="str">
            <v>1002</v>
          </cell>
          <cell r="D281" t="str">
            <v>Tela metálica para fixação de alvenaria malha 1 6,0x50cm</v>
          </cell>
          <cell r="E281" t="str">
            <v>MAT.</v>
          </cell>
          <cell r="F281" t="str">
            <v>un</v>
          </cell>
          <cell r="G281">
            <v>1.98</v>
          </cell>
          <cell r="H281">
            <v>0.78</v>
          </cell>
          <cell r="I281">
            <v>1.54</v>
          </cell>
        </row>
        <row r="282">
          <cell r="C282" t="str">
            <v>309</v>
          </cell>
          <cell r="D282" t="str">
            <v>Finca pino</v>
          </cell>
          <cell r="E282" t="str">
            <v>MAT.</v>
          </cell>
          <cell r="F282" t="str">
            <v>un</v>
          </cell>
          <cell r="G282">
            <v>1.98</v>
          </cell>
          <cell r="H282">
            <v>0.48</v>
          </cell>
          <cell r="I282">
            <v>0.95</v>
          </cell>
        </row>
        <row r="283">
          <cell r="C283" t="str">
            <v>4267</v>
          </cell>
          <cell r="D283" t="str">
            <v>Argamassa ensacada múltiplo uso (saco 40 kg)</v>
          </cell>
          <cell r="E283" t="str">
            <v>MAT.</v>
          </cell>
          <cell r="F283" t="str">
            <v>sc</v>
          </cell>
          <cell r="G283">
            <v>0.61</v>
          </cell>
          <cell r="H283">
            <v>5.9</v>
          </cell>
          <cell r="I283">
            <v>3.6</v>
          </cell>
        </row>
        <row r="284">
          <cell r="C284" t="str">
            <v>91</v>
          </cell>
          <cell r="D284" t="str">
            <v>Bloco cerâmico de vedação 19x19x39cm</v>
          </cell>
          <cell r="E284" t="str">
            <v>MAT.</v>
          </cell>
          <cell r="F284" t="str">
            <v>mh</v>
          </cell>
          <cell r="G284">
            <v>1.2999999999999999E-2</v>
          </cell>
          <cell r="H284">
            <v>1640.15</v>
          </cell>
          <cell r="I284">
            <v>21.32</v>
          </cell>
        </row>
        <row r="285">
          <cell r="C285" t="str">
            <v>99.1916</v>
          </cell>
          <cell r="D285" t="str">
            <v>MDO para alvenaria de bloco cerâmico e=19cm</v>
          </cell>
          <cell r="E285" t="str">
            <v>M.O.</v>
          </cell>
          <cell r="F285" t="str">
            <v>m2</v>
          </cell>
          <cell r="G285">
            <v>1</v>
          </cell>
          <cell r="H285">
            <v>18.5</v>
          </cell>
          <cell r="I285">
            <v>18.5</v>
          </cell>
        </row>
        <row r="286">
          <cell r="C286" t="str">
            <v>14.01.01.04</v>
          </cell>
          <cell r="D286" t="str">
            <v>Verga e contraverga</v>
          </cell>
          <cell r="E286" t="str">
            <v xml:space="preserve">SER.CG </v>
          </cell>
          <cell r="F286" t="str">
            <v xml:space="preserve">m3 </v>
          </cell>
          <cell r="G286">
            <v>33</v>
          </cell>
          <cell r="H286">
            <v>589.21</v>
          </cell>
          <cell r="I286">
            <v>19443.93</v>
          </cell>
        </row>
        <row r="287">
          <cell r="C287" t="str">
            <v>1144</v>
          </cell>
          <cell r="D287" t="str">
            <v>Tábua 1"x12" - cedrinho</v>
          </cell>
          <cell r="E287" t="str">
            <v>MAT.</v>
          </cell>
          <cell r="F287" t="str">
            <v>m</v>
          </cell>
          <cell r="G287">
            <v>0.22351399999999999</v>
          </cell>
          <cell r="H287">
            <v>6.47</v>
          </cell>
          <cell r="I287">
            <v>1.45</v>
          </cell>
        </row>
        <row r="288">
          <cell r="C288" t="str">
            <v>1186</v>
          </cell>
          <cell r="D288" t="str">
            <v>Sarrafo 1"x4" - cedrinho</v>
          </cell>
          <cell r="E288" t="str">
            <v>MAT.</v>
          </cell>
          <cell r="F288" t="str">
            <v>dz</v>
          </cell>
          <cell r="G288">
            <v>0.36432700000000001</v>
          </cell>
          <cell r="H288">
            <v>112</v>
          </cell>
          <cell r="I288">
            <v>40.799999999999997</v>
          </cell>
        </row>
        <row r="289">
          <cell r="C289" t="str">
            <v>1270</v>
          </cell>
          <cell r="D289" t="str">
            <v>Pontalete 3"x3" - cedrinho</v>
          </cell>
          <cell r="E289" t="str">
            <v>MAT.</v>
          </cell>
          <cell r="F289" t="str">
            <v>dz</v>
          </cell>
          <cell r="G289">
            <v>0.71524399999999999</v>
          </cell>
          <cell r="H289">
            <v>166.3</v>
          </cell>
          <cell r="I289">
            <v>118.95</v>
          </cell>
        </row>
        <row r="290">
          <cell r="C290" t="str">
            <v>30</v>
          </cell>
          <cell r="D290" t="str">
            <v>Aço CA-50 Ø 10,0mm</v>
          </cell>
          <cell r="E290" t="str">
            <v>MAT.</v>
          </cell>
          <cell r="F290" t="str">
            <v>t</v>
          </cell>
          <cell r="G290">
            <v>0.05</v>
          </cell>
          <cell r="H290">
            <v>3923.94</v>
          </cell>
          <cell r="I290">
            <v>196.2</v>
          </cell>
        </row>
        <row r="291">
          <cell r="C291" t="str">
            <v>3337</v>
          </cell>
          <cell r="D291" t="str">
            <v>Concreto fck=15 MPa slump 5±1</v>
          </cell>
          <cell r="E291" t="str">
            <v>MAT.</v>
          </cell>
          <cell r="F291" t="str">
            <v>m3</v>
          </cell>
          <cell r="G291">
            <v>1.02</v>
          </cell>
          <cell r="H291">
            <v>115</v>
          </cell>
          <cell r="I291">
            <v>117.3</v>
          </cell>
        </row>
        <row r="292">
          <cell r="C292" t="str">
            <v>58</v>
          </cell>
          <cell r="D292" t="str">
            <v>Desmoldante (tambor 200 l)</v>
          </cell>
          <cell r="E292" t="str">
            <v>MAT.</v>
          </cell>
          <cell r="F292" t="str">
            <v>un</v>
          </cell>
          <cell r="G292">
            <v>2.1999999999999999E-2</v>
          </cell>
          <cell r="H292">
            <v>754</v>
          </cell>
          <cell r="I292">
            <v>16.59</v>
          </cell>
        </row>
        <row r="293">
          <cell r="C293" t="str">
            <v>61</v>
          </cell>
          <cell r="D293" t="str">
            <v>Arame recozido nº18</v>
          </cell>
          <cell r="E293" t="str">
            <v>MAT.</v>
          </cell>
          <cell r="F293" t="str">
            <v>kg</v>
          </cell>
          <cell r="G293">
            <v>1.2</v>
          </cell>
          <cell r="H293">
            <v>3.63</v>
          </cell>
          <cell r="I293">
            <v>4.3600000000000003</v>
          </cell>
        </row>
        <row r="294">
          <cell r="C294" t="str">
            <v>62</v>
          </cell>
          <cell r="D294" t="str">
            <v>Prego 18x27 com cabeça</v>
          </cell>
          <cell r="E294" t="str">
            <v>MAT.</v>
          </cell>
          <cell r="F294" t="str">
            <v>kg</v>
          </cell>
          <cell r="G294">
            <v>2.13</v>
          </cell>
          <cell r="H294">
            <v>4.0199999999999996</v>
          </cell>
          <cell r="I294">
            <v>8.56</v>
          </cell>
        </row>
        <row r="295">
          <cell r="C295" t="str">
            <v>99.1277</v>
          </cell>
          <cell r="D295" t="str">
            <v>MDO de execução de verga de concreto</v>
          </cell>
          <cell r="E295" t="str">
            <v>M.O.</v>
          </cell>
          <cell r="F295" t="str">
            <v>m3</v>
          </cell>
          <cell r="G295">
            <v>1</v>
          </cell>
          <cell r="H295">
            <v>85</v>
          </cell>
          <cell r="I295">
            <v>85</v>
          </cell>
        </row>
        <row r="296">
          <cell r="C296" t="str">
            <v>14.02.01.01</v>
          </cell>
          <cell r="D296" t="str">
            <v>Dry-wall chapa simples branca - 2 faces</v>
          </cell>
          <cell r="E296" t="str">
            <v xml:space="preserve">SER.CG </v>
          </cell>
          <cell r="F296" t="str">
            <v xml:space="preserve">m2 </v>
          </cell>
          <cell r="G296">
            <v>8468</v>
          </cell>
          <cell r="H296">
            <v>46</v>
          </cell>
          <cell r="I296">
            <v>389528</v>
          </cell>
        </row>
        <row r="297">
          <cell r="C297" t="str">
            <v>99.2550</v>
          </cell>
          <cell r="D297" t="str">
            <v>Dry-wall chapa simples branca - 2 faces</v>
          </cell>
          <cell r="E297" t="str">
            <v>EMPRE</v>
          </cell>
          <cell r="F297" t="str">
            <v>m2</v>
          </cell>
          <cell r="G297">
            <v>1</v>
          </cell>
          <cell r="H297">
            <v>46</v>
          </cell>
          <cell r="I297">
            <v>46</v>
          </cell>
        </row>
        <row r="298">
          <cell r="C298" t="str">
            <v>14.02.01.02</v>
          </cell>
          <cell r="D298" t="str">
            <v>Dry-wall chapa simples branca - 1 face + verde 1 face</v>
          </cell>
          <cell r="E298" t="str">
            <v xml:space="preserve">SER.CG </v>
          </cell>
          <cell r="F298" t="str">
            <v xml:space="preserve">m2 </v>
          </cell>
          <cell r="G298">
            <v>868</v>
          </cell>
          <cell r="H298">
            <v>56</v>
          </cell>
          <cell r="I298">
            <v>48608</v>
          </cell>
        </row>
        <row r="299">
          <cell r="C299" t="str">
            <v>99.2551</v>
          </cell>
          <cell r="D299" t="str">
            <v>Dry-wall chapa simples branca - 1 face + verde 1 face</v>
          </cell>
          <cell r="E299" t="str">
            <v>EMPRE</v>
          </cell>
          <cell r="F299" t="str">
            <v>m2</v>
          </cell>
          <cell r="G299">
            <v>1</v>
          </cell>
          <cell r="H299">
            <v>56</v>
          </cell>
          <cell r="I299">
            <v>56</v>
          </cell>
        </row>
        <row r="300">
          <cell r="C300" t="str">
            <v>14.02.01.03</v>
          </cell>
          <cell r="D300" t="str">
            <v>Fechamento em dry-wall chapa simples branca - 1 face</v>
          </cell>
          <cell r="E300" t="str">
            <v xml:space="preserve">SER.CG </v>
          </cell>
          <cell r="F300" t="str">
            <v xml:space="preserve">m2 </v>
          </cell>
          <cell r="G300">
            <v>91</v>
          </cell>
          <cell r="H300">
            <v>35</v>
          </cell>
          <cell r="I300">
            <v>3185</v>
          </cell>
        </row>
        <row r="301">
          <cell r="C301" t="str">
            <v>99.2552</v>
          </cell>
          <cell r="D301" t="str">
            <v>Fechamento em dry-wall chapa simples branca - 1 face</v>
          </cell>
          <cell r="E301" t="str">
            <v>EMPRE</v>
          </cell>
          <cell r="F301" t="str">
            <v>m2</v>
          </cell>
          <cell r="G301">
            <v>1</v>
          </cell>
          <cell r="H301">
            <v>35</v>
          </cell>
          <cell r="I301">
            <v>35</v>
          </cell>
        </row>
        <row r="302">
          <cell r="C302" t="str">
            <v>14.02.03.01</v>
          </cell>
          <cell r="D302" t="str">
            <v>Divisória em laminado tipo Neocom</v>
          </cell>
          <cell r="E302" t="str">
            <v xml:space="preserve">SER.CG </v>
          </cell>
          <cell r="F302" t="str">
            <v xml:space="preserve">m2 </v>
          </cell>
          <cell r="G302">
            <v>421</v>
          </cell>
          <cell r="H302">
            <v>278</v>
          </cell>
          <cell r="I302">
            <v>117038</v>
          </cell>
        </row>
        <row r="303">
          <cell r="C303" t="str">
            <v>4691</v>
          </cell>
          <cell r="D303" t="str">
            <v>Divisória sanitária em laminado melamínico</v>
          </cell>
          <cell r="E303" t="str">
            <v>EMPRE</v>
          </cell>
          <cell r="F303" t="str">
            <v>m2</v>
          </cell>
          <cell r="G303">
            <v>1</v>
          </cell>
          <cell r="H303">
            <v>278</v>
          </cell>
          <cell r="I303">
            <v>278</v>
          </cell>
        </row>
        <row r="304">
          <cell r="C304" t="str">
            <v>14.02.03.02</v>
          </cell>
          <cell r="D304" t="str">
            <v>Tapa vista em laminado melamínico - 0,30 x 1,20 m</v>
          </cell>
          <cell r="E304" t="str">
            <v xml:space="preserve">SER.CG </v>
          </cell>
          <cell r="F304" t="str">
            <v xml:space="preserve">un </v>
          </cell>
          <cell r="G304">
            <v>19</v>
          </cell>
          <cell r="H304">
            <v>179</v>
          </cell>
          <cell r="I304">
            <v>3401</v>
          </cell>
        </row>
        <row r="305">
          <cell r="C305" t="str">
            <v>99.2553</v>
          </cell>
          <cell r="D305" t="str">
            <v>Tapa vista em laminado melamínico - 0,30 x 1,20 m</v>
          </cell>
          <cell r="E305" t="str">
            <v>EMPRE</v>
          </cell>
          <cell r="F305" t="str">
            <v>un</v>
          </cell>
          <cell r="G305">
            <v>1</v>
          </cell>
          <cell r="H305">
            <v>179</v>
          </cell>
          <cell r="I305">
            <v>179</v>
          </cell>
        </row>
        <row r="306">
          <cell r="C306" t="str">
            <v>14.03.01.01</v>
          </cell>
          <cell r="D306" t="str">
            <v>Fechamento em lambri de PVC - parede diafragma</v>
          </cell>
          <cell r="E306" t="str">
            <v xml:space="preserve">SER.CG </v>
          </cell>
          <cell r="F306" t="str">
            <v xml:space="preserve">m2 </v>
          </cell>
          <cell r="G306">
            <v>2250</v>
          </cell>
          <cell r="H306">
            <v>35.5</v>
          </cell>
          <cell r="I306">
            <v>79875</v>
          </cell>
        </row>
        <row r="307">
          <cell r="C307" t="str">
            <v>99.2554</v>
          </cell>
          <cell r="D307" t="str">
            <v>Fechamento em lambri de PVC - parede diafragma</v>
          </cell>
          <cell r="E307" t="str">
            <v>EMPRE</v>
          </cell>
          <cell r="F307" t="str">
            <v>m2</v>
          </cell>
          <cell r="G307">
            <v>1</v>
          </cell>
          <cell r="H307">
            <v>35.200000000000003</v>
          </cell>
          <cell r="I307">
            <v>35.200000000000003</v>
          </cell>
        </row>
        <row r="308">
          <cell r="C308" t="str">
            <v>99.2558</v>
          </cell>
          <cell r="D308" t="str">
            <v>Alçapão para lambri de PVC</v>
          </cell>
          <cell r="E308" t="str">
            <v>EMPRE</v>
          </cell>
          <cell r="F308" t="str">
            <v>m2</v>
          </cell>
          <cell r="G308">
            <v>1.2766E-2</v>
          </cell>
          <cell r="H308">
            <v>23.5</v>
          </cell>
          <cell r="I308">
            <v>0.3</v>
          </cell>
        </row>
        <row r="309">
          <cell r="C309" t="str">
            <v>14.03.02.01</v>
          </cell>
          <cell r="D309" t="str">
            <v>Muro de fechamento em alvenaria e=14cm</v>
          </cell>
          <cell r="E309" t="str">
            <v xml:space="preserve">SER.CG </v>
          </cell>
          <cell r="F309" t="str">
            <v xml:space="preserve">m2 </v>
          </cell>
          <cell r="G309">
            <v>841</v>
          </cell>
          <cell r="H309">
            <v>107.49000000000001</v>
          </cell>
          <cell r="I309">
            <v>90399.09</v>
          </cell>
        </row>
        <row r="310">
          <cell r="C310" t="str">
            <v>13.01.01.02</v>
          </cell>
          <cell r="D310" t="str">
            <v>Forma plana para superestrutura de concreto (Pavtos. Térreo / Ático / Cx. Dagua)</v>
          </cell>
          <cell r="E310" t="str">
            <v>SER.CG</v>
          </cell>
          <cell r="F310" t="str">
            <v>m2</v>
          </cell>
          <cell r="G310">
            <v>0.2</v>
          </cell>
          <cell r="H310">
            <v>16.690000000000001</v>
          </cell>
          <cell r="I310">
            <v>3.34</v>
          </cell>
        </row>
        <row r="311">
          <cell r="C311" t="str">
            <v>1693</v>
          </cell>
          <cell r="D311" t="str">
            <v>Concreto fck=30 MPa slump 5±1</v>
          </cell>
          <cell r="E311" t="str">
            <v>MAT.</v>
          </cell>
          <cell r="F311" t="str">
            <v>m3</v>
          </cell>
          <cell r="G311">
            <v>7.8E-2</v>
          </cell>
          <cell r="H311">
            <v>178.5</v>
          </cell>
          <cell r="I311">
            <v>13.92</v>
          </cell>
        </row>
        <row r="312">
          <cell r="C312" t="str">
            <v>30</v>
          </cell>
          <cell r="D312" t="str">
            <v>Aço CA-50 Ø 10,0mm</v>
          </cell>
          <cell r="E312" t="str">
            <v>MAT.</v>
          </cell>
          <cell r="F312" t="str">
            <v>t</v>
          </cell>
          <cell r="G312">
            <v>4.4999999999999997E-3</v>
          </cell>
          <cell r="H312">
            <v>3923.94</v>
          </cell>
          <cell r="I312">
            <v>17.66</v>
          </cell>
        </row>
        <row r="313">
          <cell r="C313" t="str">
            <v>65</v>
          </cell>
          <cell r="D313" t="str">
            <v>Pedra n.º 1</v>
          </cell>
          <cell r="E313" t="str">
            <v>MAT.</v>
          </cell>
          <cell r="F313" t="str">
            <v>m3</v>
          </cell>
          <cell r="G313">
            <v>4.3899999999999998E-3</v>
          </cell>
          <cell r="H313">
            <v>42</v>
          </cell>
          <cell r="I313">
            <v>0.18</v>
          </cell>
        </row>
        <row r="314">
          <cell r="C314" t="str">
            <v>74</v>
          </cell>
          <cell r="D314" t="str">
            <v>Argamassa ensacada múltiplo uso (saco 50 kg)</v>
          </cell>
          <cell r="E314" t="str">
            <v>MAT.</v>
          </cell>
          <cell r="F314" t="str">
            <v>sc</v>
          </cell>
          <cell r="G314">
            <v>0.8</v>
          </cell>
          <cell r="H314">
            <v>7.5</v>
          </cell>
          <cell r="I314">
            <v>6</v>
          </cell>
        </row>
        <row r="315">
          <cell r="C315" t="str">
            <v>89</v>
          </cell>
          <cell r="D315" t="str">
            <v>Bloco cerâmico de vedação 14x19x39cm</v>
          </cell>
          <cell r="E315" t="str">
            <v>MAT.</v>
          </cell>
          <cell r="F315" t="str">
            <v>mh</v>
          </cell>
          <cell r="G315">
            <v>1.3129999999999999E-2</v>
          </cell>
          <cell r="H315">
            <v>1248.5999999999999</v>
          </cell>
          <cell r="I315">
            <v>16.39</v>
          </cell>
        </row>
        <row r="316">
          <cell r="C316" t="str">
            <v>99.1278</v>
          </cell>
          <cell r="D316" t="str">
            <v>MDO para muro de fechamento de bloco cerâmico</v>
          </cell>
          <cell r="E316" t="str">
            <v>M.O.</v>
          </cell>
          <cell r="F316" t="str">
            <v>m2</v>
          </cell>
          <cell r="G316">
            <v>1</v>
          </cell>
          <cell r="H316">
            <v>50</v>
          </cell>
          <cell r="I316">
            <v>50</v>
          </cell>
        </row>
        <row r="317">
          <cell r="C317" t="str">
            <v>14.03.02.02</v>
          </cell>
          <cell r="D317" t="str">
            <v>Mureta em alvenaria e=14cm</v>
          </cell>
          <cell r="E317" t="str">
            <v xml:space="preserve">SER.CG </v>
          </cell>
          <cell r="F317" t="str">
            <v>ml</v>
          </cell>
          <cell r="G317">
            <v>213</v>
          </cell>
          <cell r="H317">
            <v>83.91</v>
          </cell>
          <cell r="I317">
            <v>17872.830000000002</v>
          </cell>
        </row>
        <row r="318">
          <cell r="C318" t="str">
            <v>13.01.01.02</v>
          </cell>
          <cell r="D318" t="str">
            <v>Forma plana para superestrutura de concreto (Pavtos. Térreo / Ático / Cx. Dagua)</v>
          </cell>
          <cell r="E318" t="str">
            <v>SER.CG</v>
          </cell>
          <cell r="F318" t="str">
            <v>m2</v>
          </cell>
          <cell r="G318">
            <v>0.1</v>
          </cell>
          <cell r="H318">
            <v>16.690000000000001</v>
          </cell>
          <cell r="I318">
            <v>1.67</v>
          </cell>
        </row>
        <row r="319">
          <cell r="C319" t="str">
            <v>1693</v>
          </cell>
          <cell r="D319" t="str">
            <v>Concreto fck=30 MPa slump 5±1</v>
          </cell>
          <cell r="E319" t="str">
            <v>MAT.</v>
          </cell>
          <cell r="F319" t="str">
            <v>m3</v>
          </cell>
          <cell r="G319">
            <v>0.02</v>
          </cell>
          <cell r="H319">
            <v>178.5</v>
          </cell>
          <cell r="I319">
            <v>3.57</v>
          </cell>
        </row>
        <row r="320">
          <cell r="C320" t="str">
            <v>30</v>
          </cell>
          <cell r="D320" t="str">
            <v>Aço CA-50 Ø 10,0mm</v>
          </cell>
          <cell r="E320" t="str">
            <v>MAT.</v>
          </cell>
          <cell r="F320" t="str">
            <v>t</v>
          </cell>
          <cell r="G320">
            <v>1.6000000000000001E-3</v>
          </cell>
          <cell r="H320">
            <v>3923.94</v>
          </cell>
          <cell r="I320">
            <v>6.28</v>
          </cell>
        </row>
        <row r="321">
          <cell r="C321" t="str">
            <v>74</v>
          </cell>
          <cell r="D321" t="str">
            <v>Argamassa ensacada múltiplo uso (saco 50 kg)</v>
          </cell>
          <cell r="E321" t="str">
            <v>MAT.</v>
          </cell>
          <cell r="F321" t="str">
            <v>sc</v>
          </cell>
          <cell r="G321">
            <v>0.8</v>
          </cell>
          <cell r="H321">
            <v>7.5</v>
          </cell>
          <cell r="I321">
            <v>6</v>
          </cell>
        </row>
        <row r="322">
          <cell r="C322" t="str">
            <v>89</v>
          </cell>
          <cell r="D322" t="str">
            <v>Bloco cerâmico de vedação 14x19x39cm</v>
          </cell>
          <cell r="E322" t="str">
            <v>MAT.</v>
          </cell>
          <cell r="F322" t="str">
            <v>mh</v>
          </cell>
          <cell r="G322">
            <v>1.3129999999999999E-2</v>
          </cell>
          <cell r="H322">
            <v>1248</v>
          </cell>
          <cell r="I322">
            <v>16.39</v>
          </cell>
        </row>
        <row r="323">
          <cell r="C323" t="str">
            <v>99.1278</v>
          </cell>
          <cell r="D323" t="str">
            <v>MDO para muro de fechamento de bloco cerâmico</v>
          </cell>
          <cell r="E323" t="str">
            <v>M.O.</v>
          </cell>
          <cell r="F323" t="str">
            <v>m2</v>
          </cell>
          <cell r="G323">
            <v>1</v>
          </cell>
          <cell r="H323">
            <v>50</v>
          </cell>
          <cell r="I323">
            <v>50</v>
          </cell>
        </row>
        <row r="324">
          <cell r="C324" t="str">
            <v>14.05.02.01</v>
          </cell>
          <cell r="D324" t="str">
            <v>Arremate de piso em fechamento de shaft h=10cm</v>
          </cell>
          <cell r="E324" t="str">
            <v xml:space="preserve">SER.CG </v>
          </cell>
          <cell r="F324" t="str">
            <v xml:space="preserve">m </v>
          </cell>
          <cell r="G324">
            <v>126</v>
          </cell>
          <cell r="H324">
            <v>23.03</v>
          </cell>
          <cell r="I324">
            <v>2901.78</v>
          </cell>
        </row>
        <row r="325">
          <cell r="C325" t="str">
            <v>14.01.03.01</v>
          </cell>
          <cell r="D325" t="str">
            <v>Alvenaria de tijolo comum e=10cm</v>
          </cell>
          <cell r="E325" t="str">
            <v>SER.CG</v>
          </cell>
          <cell r="F325" t="str">
            <v>m2</v>
          </cell>
          <cell r="G325">
            <v>0.5</v>
          </cell>
          <cell r="H325">
            <v>46.06</v>
          </cell>
          <cell r="I325">
            <v>23.03</v>
          </cell>
        </row>
        <row r="326">
          <cell r="C326" t="str">
            <v>14.05.02.02</v>
          </cell>
          <cell r="D326" t="str">
            <v>Capa em concreto pré fabricada - topo muros</v>
          </cell>
          <cell r="E326" t="str">
            <v xml:space="preserve">SER.CG </v>
          </cell>
          <cell r="F326" t="str">
            <v xml:space="preserve">m </v>
          </cell>
          <cell r="G326">
            <v>280</v>
          </cell>
          <cell r="H326">
            <v>25</v>
          </cell>
          <cell r="I326">
            <v>7000</v>
          </cell>
        </row>
        <row r="327">
          <cell r="C327" t="str">
            <v>99.2555</v>
          </cell>
          <cell r="D327" t="str">
            <v>Capa em concreto pré fabricada - topo muros</v>
          </cell>
          <cell r="E327" t="str">
            <v>EMPRE</v>
          </cell>
          <cell r="F327" t="str">
            <v>m</v>
          </cell>
          <cell r="G327">
            <v>1</v>
          </cell>
          <cell r="H327">
            <v>25</v>
          </cell>
          <cell r="I327">
            <v>25</v>
          </cell>
        </row>
        <row r="328">
          <cell r="C328" t="str">
            <v>14.05.02.03</v>
          </cell>
          <cell r="D328" t="str">
            <v>Arremate em alvenaria para enchimento</v>
          </cell>
          <cell r="E328" t="str">
            <v xml:space="preserve">SER.CG </v>
          </cell>
          <cell r="F328" t="str">
            <v>m2</v>
          </cell>
          <cell r="G328">
            <v>122</v>
          </cell>
          <cell r="H328">
            <v>46.06</v>
          </cell>
          <cell r="I328">
            <v>5619.32</v>
          </cell>
        </row>
        <row r="329">
          <cell r="C329" t="str">
            <v>99.2555</v>
          </cell>
          <cell r="D329" t="str">
            <v>Alvenaria de tijolo comum e=10cm</v>
          </cell>
          <cell r="E329" t="str">
            <v>EMPRE</v>
          </cell>
          <cell r="F329" t="str">
            <v>m2</v>
          </cell>
          <cell r="G329">
            <v>1</v>
          </cell>
          <cell r="H329">
            <v>46.06</v>
          </cell>
          <cell r="I329">
            <v>46.06</v>
          </cell>
        </row>
        <row r="330">
          <cell r="C330" t="str">
            <v>14.05.02.04</v>
          </cell>
          <cell r="D330" t="str">
            <v>Enchimento em alvenaria em piso</v>
          </cell>
          <cell r="E330" t="str">
            <v xml:space="preserve">SER.CG </v>
          </cell>
          <cell r="F330" t="str">
            <v>m3</v>
          </cell>
          <cell r="G330">
            <v>43</v>
          </cell>
          <cell r="H330">
            <v>205.18</v>
          </cell>
          <cell r="I330">
            <v>8822.74</v>
          </cell>
        </row>
        <row r="331">
          <cell r="C331" t="str">
            <v>13.01.01.02</v>
          </cell>
          <cell r="D331" t="str">
            <v>Argamassa ensacada múltiplo uso (saco 50 kg)</v>
          </cell>
          <cell r="E331" t="str">
            <v>SER.CG</v>
          </cell>
          <cell r="F331" t="str">
            <v>sc</v>
          </cell>
          <cell r="G331">
            <v>5.71</v>
          </cell>
          <cell r="H331">
            <v>7.5</v>
          </cell>
          <cell r="I331">
            <v>42.83</v>
          </cell>
        </row>
        <row r="332">
          <cell r="C332" t="str">
            <v>1693</v>
          </cell>
          <cell r="D332" t="str">
            <v>Bloco cerâmico de vedação 14x19x39cm</v>
          </cell>
          <cell r="E332" t="str">
            <v>MAT.</v>
          </cell>
          <cell r="F332" t="str">
            <v>mh</v>
          </cell>
          <cell r="G332">
            <v>0.11</v>
          </cell>
          <cell r="H332">
            <v>1248.5999999999999</v>
          </cell>
          <cell r="I332">
            <v>137.35</v>
          </cell>
        </row>
        <row r="333">
          <cell r="C333" t="str">
            <v>30</v>
          </cell>
          <cell r="D333" t="str">
            <v>MDO para muro de fechamento de bloco cerâmico</v>
          </cell>
          <cell r="E333" t="str">
            <v>MAT.</v>
          </cell>
          <cell r="F333" t="str">
            <v>m3</v>
          </cell>
          <cell r="G333">
            <v>1</v>
          </cell>
          <cell r="H333">
            <v>25</v>
          </cell>
          <cell r="I333">
            <v>25</v>
          </cell>
        </row>
        <row r="334">
          <cell r="C334" t="str">
            <v>15.01.01.01</v>
          </cell>
          <cell r="D334" t="str">
            <v>Chumbamento de contra marco</v>
          </cell>
          <cell r="E334" t="str">
            <v xml:space="preserve">SER.CG </v>
          </cell>
          <cell r="F334" t="str">
            <v xml:space="preserve">m2 </v>
          </cell>
          <cell r="G334">
            <v>3511</v>
          </cell>
          <cell r="H334">
            <v>10.68</v>
          </cell>
          <cell r="I334">
            <v>37497.480000000003</v>
          </cell>
        </row>
        <row r="335">
          <cell r="C335" t="str">
            <v>4267</v>
          </cell>
          <cell r="D335" t="str">
            <v>Argamassa ensacada múltiplo uso (saco 40 kg)</v>
          </cell>
          <cell r="E335" t="str">
            <v>MAT.</v>
          </cell>
          <cell r="F335" t="str">
            <v>sc</v>
          </cell>
          <cell r="G335">
            <v>0.2</v>
          </cell>
          <cell r="H335">
            <v>5.9</v>
          </cell>
          <cell r="I335">
            <v>1.18</v>
          </cell>
        </row>
        <row r="336">
          <cell r="C336" t="str">
            <v>483</v>
          </cell>
          <cell r="D336" t="str">
            <v>MDO para chumbamento de contra marco</v>
          </cell>
          <cell r="E336" t="str">
            <v>EMPRE</v>
          </cell>
          <cell r="F336" t="str">
            <v>m2</v>
          </cell>
          <cell r="G336">
            <v>1</v>
          </cell>
          <cell r="H336">
            <v>9.5</v>
          </cell>
          <cell r="I336">
            <v>9.5</v>
          </cell>
        </row>
        <row r="337">
          <cell r="C337" t="str">
            <v>15.01.01.02</v>
          </cell>
          <cell r="D337" t="str">
            <v>CA-01 - 1,5 x 1,95 m - caixilho de alumínio, de correr, 2 folhas, com bandeira inferior fixa (1,50x0,50)m, pintura eletrostática cor branca, vidro liso incolor, conforme projeto de detalhamento fl. 256-arq-pe-101-caix-r00</v>
          </cell>
          <cell r="E337" t="str">
            <v xml:space="preserve">SER.CG </v>
          </cell>
          <cell r="F337" t="str">
            <v xml:space="preserve">un </v>
          </cell>
          <cell r="G337">
            <v>620</v>
          </cell>
          <cell r="H337">
            <v>697.44</v>
          </cell>
          <cell r="I337">
            <v>432412.8</v>
          </cell>
        </row>
        <row r="338">
          <cell r="C338" t="str">
            <v>99.2400</v>
          </cell>
          <cell r="D338" t="str">
            <v>1,5 x 1,95 m - caixilho de alumínio, de correr, 2 folhas, com bandeira inferior fixa (1,50x0,50)m, pintura eletrostática cor branca, vidro liso incolor, conforme projeto de detalhamento fl. 256-arq-pe-101-caix-r00</v>
          </cell>
          <cell r="E338" t="str">
            <v>MAT.</v>
          </cell>
          <cell r="F338" t="str">
            <v>un</v>
          </cell>
          <cell r="G338">
            <v>1</v>
          </cell>
          <cell r="H338">
            <v>697.44</v>
          </cell>
          <cell r="I338">
            <v>697.44</v>
          </cell>
        </row>
        <row r="339">
          <cell r="C339" t="str">
            <v>15.01.01.03</v>
          </cell>
          <cell r="D339" t="str">
            <v>CA-01A - 1,5 x 1,45 m - caixilho de alumínio, de correr, 2 folhas, pintura eletrostática cor branca, vidro liso incolor, conforme projeto de detalhamento fl. 256-arq-pe-101a-caix-r00</v>
          </cell>
          <cell r="E339" t="str">
            <v xml:space="preserve">SER.CG </v>
          </cell>
          <cell r="F339" t="str">
            <v xml:space="preserve">un </v>
          </cell>
          <cell r="G339">
            <v>10</v>
          </cell>
          <cell r="H339">
            <v>497.26</v>
          </cell>
          <cell r="I339">
            <v>4972.6000000000004</v>
          </cell>
        </row>
        <row r="340">
          <cell r="C340" t="str">
            <v>99.2401</v>
          </cell>
          <cell r="D340" t="str">
            <v>1,5 x 1,45 m - caixilho de alumínio, de correr, 2 folhas, pintura eletrostática cor branca, vidro liso incolor, conforme projeto de detalhamento fl. 256-arq-pe-101a-caix-r00</v>
          </cell>
          <cell r="E340" t="str">
            <v>MAT.</v>
          </cell>
          <cell r="F340" t="str">
            <v>un</v>
          </cell>
          <cell r="G340">
            <v>1</v>
          </cell>
          <cell r="H340">
            <v>497.26</v>
          </cell>
          <cell r="I340">
            <v>497.26</v>
          </cell>
        </row>
        <row r="341">
          <cell r="C341" t="str">
            <v>15.01.01.04</v>
          </cell>
          <cell r="D341" t="str">
            <v>CA-02 - 2,4 x 0,55 m - caixilho de alumínio, maxim-ar, 3 folhas, pintura eletrostática cor branca, vidro fantasia ou pontilhado, conforme projeto de detalhamento fl. 256-arq-pe-102-caix-r00</v>
          </cell>
          <cell r="E341" t="str">
            <v xml:space="preserve">SER.CG </v>
          </cell>
          <cell r="F341" t="str">
            <v xml:space="preserve">un </v>
          </cell>
          <cell r="G341">
            <v>34</v>
          </cell>
          <cell r="H341">
            <v>421.14</v>
          </cell>
          <cell r="I341">
            <v>14318.76</v>
          </cell>
        </row>
        <row r="342">
          <cell r="C342" t="str">
            <v>99.2402</v>
          </cell>
          <cell r="D342" t="str">
            <v>2,4 x 0,55 m - caixilho de alumínio, maxim-ar, 3 folhas, pintura eletrostática cor branca, vidro fantasia ou pontilhado, conforme projeto de detalhamento fl. 256-arq-pe-102-caix-r00</v>
          </cell>
          <cell r="E342" t="str">
            <v>MAT.</v>
          </cell>
          <cell r="F342" t="str">
            <v>un</v>
          </cell>
          <cell r="G342">
            <v>1</v>
          </cell>
          <cell r="H342">
            <v>421.14</v>
          </cell>
          <cell r="I342">
            <v>421.14</v>
          </cell>
        </row>
        <row r="343">
          <cell r="C343" t="str">
            <v>15.01.01.05</v>
          </cell>
          <cell r="D343" t="str">
            <v>CA-03 - 1,5 x 5,2 m - caixilho de alumínio, de correr, 2 folhas (1,50x1,45)m, e o restante fixo, pintura eletrostática cor branca, vidro liso incolor, conforme projeto de detalhamento fl. 256-arq-pe-103-caix-r00</v>
          </cell>
          <cell r="E343" t="str">
            <v xml:space="preserve">SER.CG </v>
          </cell>
          <cell r="F343" t="str">
            <v xml:space="preserve">un </v>
          </cell>
          <cell r="G343">
            <v>4</v>
          </cell>
          <cell r="H343">
            <v>1683.68</v>
          </cell>
          <cell r="I343">
            <v>6734.72</v>
          </cell>
        </row>
        <row r="344">
          <cell r="C344" t="str">
            <v>99.2403</v>
          </cell>
          <cell r="D344" t="str">
            <v>1,5 x 5,2 m - caixilho de alumínio, de correr, 2 folhas (1,50x1,45)m, e o restante fixo, pintura eletrostática cor branca, vidro liso incolor, conforme projeto de detalhamento fl. 256-arq-pe-103-caix-r00</v>
          </cell>
          <cell r="E344" t="str">
            <v>MAT.</v>
          </cell>
          <cell r="F344" t="str">
            <v>un</v>
          </cell>
          <cell r="G344">
            <v>1</v>
          </cell>
          <cell r="H344">
            <v>1683.68</v>
          </cell>
          <cell r="I344">
            <v>1683.68</v>
          </cell>
        </row>
        <row r="345">
          <cell r="C345" t="str">
            <v>15.01.01.06</v>
          </cell>
          <cell r="D345" t="str">
            <v>CA-04 - 2,4 x 1,85 m - veneziana de alumínio com pintura eletrostática cor branca, conforme projeto de detalhamento fl. 256-arq-pe-104-caix-r00</v>
          </cell>
          <cell r="E345" t="str">
            <v xml:space="preserve">SER.CG </v>
          </cell>
          <cell r="F345" t="str">
            <v xml:space="preserve">un </v>
          </cell>
          <cell r="G345">
            <v>2</v>
          </cell>
          <cell r="H345">
            <v>1890.45</v>
          </cell>
          <cell r="I345">
            <v>3780.9</v>
          </cell>
        </row>
        <row r="346">
          <cell r="C346" t="str">
            <v>99.2404</v>
          </cell>
          <cell r="D346" t="str">
            <v>2,4 x 1,85 m - veneziana de alumínio com pintura eletrostática cor branca, conforme projeto de detalhamento fl. 256-arq-pe-104-caix-r00</v>
          </cell>
          <cell r="E346" t="str">
            <v>MAT.</v>
          </cell>
          <cell r="F346" t="str">
            <v>un</v>
          </cell>
          <cell r="G346">
            <v>1</v>
          </cell>
          <cell r="H346">
            <v>1890.45</v>
          </cell>
          <cell r="I346">
            <v>1890.45</v>
          </cell>
        </row>
        <row r="347">
          <cell r="C347" t="str">
            <v>15.01.01.07</v>
          </cell>
          <cell r="D347" t="str">
            <v>CA-05 - 1,18 x 1,8 m - veneziana de alumínio com pintura eletrostática cor branca, conforme projeto de detalhamento fl. 256-arq-pe-105-caix-r00</v>
          </cell>
          <cell r="E347" t="str">
            <v xml:space="preserve">SER.CG </v>
          </cell>
          <cell r="F347" t="str">
            <v xml:space="preserve">un </v>
          </cell>
          <cell r="G347">
            <v>1</v>
          </cell>
          <cell r="H347">
            <v>974.74</v>
          </cell>
          <cell r="I347">
            <v>974.74</v>
          </cell>
        </row>
        <row r="348">
          <cell r="C348" t="str">
            <v>99.2405</v>
          </cell>
          <cell r="D348" t="str">
            <v>1,18 x 1,8 m - veneziana de alumínio com pintura eletrostática cor branca, conforme projeto de detalhamento fl. 256-arq-pe-105-caix-r00</v>
          </cell>
          <cell r="E348" t="str">
            <v>MAT.</v>
          </cell>
          <cell r="F348" t="str">
            <v>un</v>
          </cell>
          <cell r="G348">
            <v>1</v>
          </cell>
          <cell r="H348">
            <v>974.74</v>
          </cell>
          <cell r="I348">
            <v>974.74</v>
          </cell>
        </row>
        <row r="349">
          <cell r="C349" t="str">
            <v>15.01.01.08</v>
          </cell>
          <cell r="D349" t="str">
            <v>CA-06 - 1 x 1,8 m - veneziana de alumínio com pintura eletrostática cor branca, conforme projeto de detalhamento fl. 256-arq-pe-106-caix-r00</v>
          </cell>
          <cell r="E349" t="str">
            <v xml:space="preserve">SER.CG </v>
          </cell>
          <cell r="F349" t="str">
            <v xml:space="preserve">un </v>
          </cell>
          <cell r="G349">
            <v>1</v>
          </cell>
          <cell r="H349">
            <v>853.43</v>
          </cell>
          <cell r="I349">
            <v>853.43</v>
          </cell>
        </row>
        <row r="350">
          <cell r="C350" t="str">
            <v>99.2406</v>
          </cell>
          <cell r="D350" t="str">
            <v>1 x 1,8 m - veneziana de alumínio com pintura eletrostática cor branca, conforme projeto de detalhamento fl. 256-arq-pe-106-caix-r00</v>
          </cell>
          <cell r="E350" t="str">
            <v>MAT.</v>
          </cell>
          <cell r="F350" t="str">
            <v>un</v>
          </cell>
          <cell r="G350">
            <v>1</v>
          </cell>
          <cell r="H350">
            <v>853.43</v>
          </cell>
          <cell r="I350">
            <v>853.43</v>
          </cell>
        </row>
        <row r="351">
          <cell r="C351" t="str">
            <v>15.01.01.09</v>
          </cell>
          <cell r="D351" t="str">
            <v>CA-07 - 6,68 x 2,2 m - caixilho de alumínio em l (4,19+2,49), fixo, pintura eletrostática cor branca, vidro liso incolor, conforme projeto de detalhamento fl. 256-arq-pe-107-caix-r00</v>
          </cell>
          <cell r="E351" t="str">
            <v xml:space="preserve">SER.CG </v>
          </cell>
          <cell r="F351" t="str">
            <v xml:space="preserve">un </v>
          </cell>
          <cell r="G351">
            <v>3</v>
          </cell>
          <cell r="H351">
            <v>1434.65</v>
          </cell>
          <cell r="I351">
            <v>4303.95</v>
          </cell>
        </row>
        <row r="352">
          <cell r="C352" t="str">
            <v>99.2407</v>
          </cell>
          <cell r="D352" t="str">
            <v>6,68 x 2,2 m - caixilho de alumínio em l (4,19+2,49), fixo, pintura eletrostática cor branca, vidro liso incolor, conforme projeto de detalhamento fl. 256-arq-pe-107-caix-r00</v>
          </cell>
          <cell r="E352" t="str">
            <v>MAT.</v>
          </cell>
          <cell r="F352" t="str">
            <v>un</v>
          </cell>
          <cell r="G352">
            <v>1</v>
          </cell>
          <cell r="H352">
            <v>1434.65</v>
          </cell>
          <cell r="I352">
            <v>1434.65</v>
          </cell>
        </row>
        <row r="353">
          <cell r="C353" t="str">
            <v>15.01.01.10</v>
          </cell>
          <cell r="D353" t="str">
            <v>CA-08 - 2,32 x 2,2 m - caixilho de alumínio, fixo, 1 folha, pintura eletrostática cor branca, vidro liso incolor, conforme projeto de detalhamento 256-arq-pe-108-caix-r00</v>
          </cell>
          <cell r="E353" t="str">
            <v xml:space="preserve">SER.CG </v>
          </cell>
          <cell r="F353" t="str">
            <v xml:space="preserve">un </v>
          </cell>
          <cell r="G353">
            <v>1</v>
          </cell>
          <cell r="H353">
            <v>569.95000000000005</v>
          </cell>
          <cell r="I353">
            <v>569.95000000000005</v>
          </cell>
        </row>
        <row r="354">
          <cell r="C354" t="str">
            <v>99.2408</v>
          </cell>
          <cell r="D354" t="str">
            <v>2,32 x 2,2 m - caixilho de alumínio, fixo, 1 folha, pintura eletrostática cor branca, vidro liso incolor, conforme projeto de detalhamento 256-arq-pe-108-caix-r00</v>
          </cell>
          <cell r="E354" t="str">
            <v>MAT.</v>
          </cell>
          <cell r="F354" t="str">
            <v>un</v>
          </cell>
          <cell r="G354">
            <v>1</v>
          </cell>
          <cell r="H354">
            <v>569.95000000000005</v>
          </cell>
          <cell r="I354">
            <v>569.95000000000005</v>
          </cell>
        </row>
        <row r="355">
          <cell r="C355" t="str">
            <v>15.01.01.11</v>
          </cell>
          <cell r="D355" t="str">
            <v>CA-09 - 4 x 2,2 m - caixilho de aluminio, fixo, 1 folha, pintura eletrostática cor branca, vidro liso incolor, conforme projeto de detalhamento 256-arq-pe-109-caix-r00</v>
          </cell>
          <cell r="E355" t="str">
            <v xml:space="preserve">SER.CG </v>
          </cell>
          <cell r="F355" t="str">
            <v xml:space="preserve">un </v>
          </cell>
          <cell r="G355">
            <v>1</v>
          </cell>
          <cell r="H355">
            <v>767.17</v>
          </cell>
          <cell r="I355">
            <v>767.17</v>
          </cell>
        </row>
        <row r="356">
          <cell r="C356" t="str">
            <v>99.2409</v>
          </cell>
          <cell r="D356" t="str">
            <v>4 x 2,2 m - caixilho de aluminio, fixo, 1 folha, pintura eletrostática cor branca, vidro liso incolor, conforme projeto de detalhamento 256-arq-pe-109-caix-r00</v>
          </cell>
          <cell r="E356" t="str">
            <v>MAT.</v>
          </cell>
          <cell r="F356" t="str">
            <v>un</v>
          </cell>
          <cell r="G356">
            <v>1</v>
          </cell>
          <cell r="H356">
            <v>767.17</v>
          </cell>
          <cell r="I356">
            <v>767.17</v>
          </cell>
        </row>
        <row r="357">
          <cell r="C357" t="str">
            <v>15.01.01.12</v>
          </cell>
          <cell r="D357" t="str">
            <v>CA-10 - 1,2 x 6,97 m - caixilho de alumínio, fixo, 4 módulos, pintura eletrostática cor branca, vidro liso incolor, conforme projeto de detalhamento 256-arq-pe-110-caix-roo</v>
          </cell>
          <cell r="E357" t="str">
            <v xml:space="preserve">SER.CG </v>
          </cell>
          <cell r="F357" t="str">
            <v xml:space="preserve">un </v>
          </cell>
          <cell r="G357">
            <v>1</v>
          </cell>
          <cell r="H357">
            <v>2714.32</v>
          </cell>
          <cell r="I357">
            <v>2714.32</v>
          </cell>
        </row>
        <row r="358">
          <cell r="C358" t="str">
            <v>99.2410</v>
          </cell>
          <cell r="D358" t="str">
            <v>1,2 x 6,97 m - caixilho de alumínio, fixo, 4 módulos, pintura eletrostática cor branca, vidro liso incolor, conforme projeto de detalhamento 256-arq-pe-110-caix-roo</v>
          </cell>
          <cell r="E358" t="str">
            <v>MAT.</v>
          </cell>
          <cell r="F358" t="str">
            <v>un</v>
          </cell>
          <cell r="G358">
            <v>1</v>
          </cell>
          <cell r="H358">
            <v>2714.32</v>
          </cell>
          <cell r="I358">
            <v>2714.32</v>
          </cell>
        </row>
        <row r="359">
          <cell r="C359" t="str">
            <v>15.01.01.13</v>
          </cell>
          <cell r="D359" t="str">
            <v>CA-10A - 1,2 x 3,37 m - caixilho de alumínio de fixo, 2 módulos, pintura eletrostática cor branca, vidro liso incolor, conforme projeto de detalhamento 256-arq-pe-110a-caix-roo</v>
          </cell>
          <cell r="E359" t="str">
            <v xml:space="preserve">SER.CG </v>
          </cell>
          <cell r="F359" t="str">
            <v xml:space="preserve">un </v>
          </cell>
          <cell r="G359">
            <v>1</v>
          </cell>
          <cell r="H359">
            <v>1329.3</v>
          </cell>
          <cell r="I359">
            <v>1329.3</v>
          </cell>
        </row>
        <row r="360">
          <cell r="C360" t="str">
            <v>99.2411</v>
          </cell>
          <cell r="D360" t="str">
            <v>1,2 x 3,37 m - caixilho de alumínio de fixo, 2 módulos, pintura eletrostática cor branca, vidro liso incolor, conforme projeto de detalhamento 256-arq-pe-110a-caix-roo</v>
          </cell>
          <cell r="E360" t="str">
            <v>MAT.</v>
          </cell>
          <cell r="F360" t="str">
            <v>un</v>
          </cell>
          <cell r="G360">
            <v>1</v>
          </cell>
          <cell r="H360">
            <v>1329.3</v>
          </cell>
          <cell r="I360">
            <v>1329.3</v>
          </cell>
        </row>
        <row r="361">
          <cell r="C361" t="str">
            <v>15.01.01.14</v>
          </cell>
          <cell r="D361" t="str">
            <v>CA-11 - 2,6 x 6,97 m - caixilho de alumínio de fixo, 4 módulos, pintura eletrostática cor branca, vidro liso incolor, conforme projeto de detalhamento 256-arq-pe-111-caix-roo</v>
          </cell>
          <cell r="E361" t="str">
            <v xml:space="preserve">SER.CG </v>
          </cell>
          <cell r="F361" t="str">
            <v xml:space="preserve">un </v>
          </cell>
          <cell r="G361">
            <v>1</v>
          </cell>
          <cell r="H361">
            <v>3726.76</v>
          </cell>
          <cell r="I361">
            <v>3726.76</v>
          </cell>
        </row>
        <row r="362">
          <cell r="C362" t="str">
            <v>99.2412</v>
          </cell>
          <cell r="D362" t="str">
            <v>2,6 x 6,97 m - caixilho de alumínio de fixo, 4 módulos, pintura eletrostática cor branca, vidro liso incolor, conforme projeto de detalhamento 256-arq-pe-111-caix-roo</v>
          </cell>
          <cell r="E362" t="str">
            <v>MAT.</v>
          </cell>
          <cell r="F362" t="str">
            <v>un</v>
          </cell>
          <cell r="G362">
            <v>1</v>
          </cell>
          <cell r="H362">
            <v>3726.76</v>
          </cell>
          <cell r="I362">
            <v>3726.76</v>
          </cell>
        </row>
        <row r="363">
          <cell r="C363" t="str">
            <v>15.01.01.15</v>
          </cell>
          <cell r="D363" t="str">
            <v>CA-12 - 8,18 x 6,97 m - caixilho de alumínio, fixo, 20 módulos, pintura eletrostática cor branca, vidro liso incolor, conforme projeto de detalhamento 256-arq-pe-112-caix-roo</v>
          </cell>
          <cell r="E363" t="str">
            <v xml:space="preserve">SER.CG </v>
          </cell>
          <cell r="F363" t="str">
            <v xml:space="preserve">un </v>
          </cell>
          <cell r="G363">
            <v>1</v>
          </cell>
          <cell r="H363">
            <v>12402.99</v>
          </cell>
          <cell r="I363">
            <v>12402.99</v>
          </cell>
        </row>
        <row r="364">
          <cell r="C364" t="str">
            <v>99.2413</v>
          </cell>
          <cell r="D364" t="str">
            <v>8,18 x 6,97 m - caixilho de alumínio, fixo, 20 módulos, pintura eletrostática cor branca, vidro liso incolor, conforme projeto de detalhamento 256-arq-pe-112-caix-roo</v>
          </cell>
          <cell r="E364" t="str">
            <v>MAT.</v>
          </cell>
          <cell r="F364" t="str">
            <v>un</v>
          </cell>
          <cell r="G364">
            <v>1</v>
          </cell>
          <cell r="H364">
            <v>12402.99</v>
          </cell>
          <cell r="I364">
            <v>12402.99</v>
          </cell>
        </row>
        <row r="365">
          <cell r="C365" t="str">
            <v>15.01.01.16</v>
          </cell>
          <cell r="D365" t="str">
            <v>CA-13 - 2,8 x 2,8 m - caixilho de alumínio, fixo, 3 módulos, pintura eletrostática cor branca, vidro liso incolor, conforme projeto de detalhamento 256-arq-pe-113-caix-roo</v>
          </cell>
          <cell r="E365" t="str">
            <v xml:space="preserve">SER.CG </v>
          </cell>
          <cell r="F365" t="str">
            <v xml:space="preserve">un </v>
          </cell>
          <cell r="G365">
            <v>2</v>
          </cell>
          <cell r="H365">
            <v>2091</v>
          </cell>
          <cell r="I365">
            <v>4182</v>
          </cell>
        </row>
        <row r="366">
          <cell r="C366" t="str">
            <v>99.2414</v>
          </cell>
          <cell r="D366" t="str">
            <v>2,8 x 2,8 m - caixilho de alumínio, fixo, 3 módulos, pintura eletrostática cor branca, vidro liso incolor, conforme projeto de detalhamento 256-arq-pe-113-caix-roo</v>
          </cell>
          <cell r="E366" t="str">
            <v>MAT.</v>
          </cell>
          <cell r="F366" t="str">
            <v>un</v>
          </cell>
          <cell r="G366">
            <v>1</v>
          </cell>
          <cell r="H366">
            <v>2091</v>
          </cell>
          <cell r="I366">
            <v>2091</v>
          </cell>
        </row>
        <row r="367">
          <cell r="C367" t="str">
            <v>15.01.01.17</v>
          </cell>
          <cell r="D367" t="str">
            <v>CA-14 - 1,5 x 1,85 m - veneziana com ventilação, de alumínio, pintura eletrostática cor branca, conforme projeto de detalhamento 256-arq-pe-114-caix-roo</v>
          </cell>
          <cell r="E367" t="str">
            <v xml:space="preserve">SER.CG </v>
          </cell>
          <cell r="F367" t="str">
            <v xml:space="preserve">un </v>
          </cell>
          <cell r="G367">
            <v>8</v>
          </cell>
          <cell r="H367">
            <v>1217</v>
          </cell>
          <cell r="I367">
            <v>9736</v>
          </cell>
        </row>
        <row r="368">
          <cell r="C368" t="str">
            <v>99.2415</v>
          </cell>
          <cell r="D368" t="str">
            <v>1,5 x 1,85 m - veneziana com ventilação, de alumínio, pintura eletrostática cor branca, conforme projeto de detalhamento 256-arq-pe-114-caix-roo</v>
          </cell>
          <cell r="E368" t="str">
            <v>MAT.</v>
          </cell>
          <cell r="F368" t="str">
            <v>un</v>
          </cell>
          <cell r="G368">
            <v>1</v>
          </cell>
          <cell r="H368">
            <v>1217</v>
          </cell>
          <cell r="I368">
            <v>1217</v>
          </cell>
        </row>
        <row r="369">
          <cell r="C369" t="str">
            <v>15.01.01.18</v>
          </cell>
          <cell r="D369" t="str">
            <v>CA-15 - 1,4 x 1,2 m - veneziana com ventilação, de alumínio, pintura eletrostática cor branca, vidro liso incolor, conforme projeto de detalhamento 256-arq-pe-115-caix-roo</v>
          </cell>
          <cell r="E369" t="str">
            <v xml:space="preserve">SER.CG </v>
          </cell>
          <cell r="F369" t="str">
            <v xml:space="preserve">un </v>
          </cell>
          <cell r="G369">
            <v>2</v>
          </cell>
          <cell r="H369">
            <v>800.66</v>
          </cell>
          <cell r="I369">
            <v>1601.32</v>
          </cell>
        </row>
        <row r="370">
          <cell r="C370" t="str">
            <v>99.2416</v>
          </cell>
          <cell r="D370" t="str">
            <v>1,4 x 1,2 m - veneziana com ventilação, de alumínio, pintura eletrostática cor branca, vidro liso incolor, conforme projeto de detalhamento 256-arq-pe-115-caix-roo</v>
          </cell>
          <cell r="E370" t="str">
            <v>MAT.</v>
          </cell>
          <cell r="F370" t="str">
            <v>un</v>
          </cell>
          <cell r="G370">
            <v>1</v>
          </cell>
          <cell r="H370">
            <v>800.66</v>
          </cell>
          <cell r="I370">
            <v>800.66</v>
          </cell>
        </row>
        <row r="371">
          <cell r="C371" t="str">
            <v>15.01.01.19</v>
          </cell>
          <cell r="D371" t="str">
            <v>CA-16 - 1 x 0,8 m - caixilho de aluminio, pivotante, 3 folhas, pintura eletrostática cor branca, vidro liso incolor, conforme projeto de detalhamneto 256-arq-pe-116-caix-roo</v>
          </cell>
          <cell r="E371" t="str">
            <v xml:space="preserve">SER.CG </v>
          </cell>
          <cell r="F371" t="str">
            <v xml:space="preserve">un </v>
          </cell>
          <cell r="G371">
            <v>1</v>
          </cell>
          <cell r="H371">
            <v>350.45</v>
          </cell>
          <cell r="I371">
            <v>350.45</v>
          </cell>
        </row>
        <row r="372">
          <cell r="C372" t="str">
            <v>99.2417</v>
          </cell>
          <cell r="D372" t="str">
            <v>1 x 0,8 m - caixilho de aluminio, pivotante, 3 folhas, pintura eletrostática cor branca, vidro liso incolor, conforme projeto de detalhameneto 256-arq-pe-116-caix-roo</v>
          </cell>
          <cell r="E372" t="str">
            <v>MAT.</v>
          </cell>
          <cell r="F372" t="str">
            <v>un</v>
          </cell>
          <cell r="G372">
            <v>1</v>
          </cell>
          <cell r="H372">
            <v>350.45</v>
          </cell>
          <cell r="I372">
            <v>350.45</v>
          </cell>
        </row>
        <row r="373">
          <cell r="C373" t="str">
            <v>15.01.01.20</v>
          </cell>
          <cell r="D373" t="str">
            <v>VEN-01 - 14,88 x 0,8 m - veneziana em aluminio anodizado, cor bronze</v>
          </cell>
          <cell r="E373" t="str">
            <v xml:space="preserve">SER.CG </v>
          </cell>
          <cell r="F373" t="str">
            <v xml:space="preserve">un </v>
          </cell>
          <cell r="G373">
            <v>1</v>
          </cell>
          <cell r="H373">
            <v>5400</v>
          </cell>
          <cell r="I373">
            <v>5400</v>
          </cell>
        </row>
        <row r="374">
          <cell r="C374" t="str">
            <v>99.2418</v>
          </cell>
          <cell r="D374" t="str">
            <v>14,88 x 0,8 m - veneziana em aluminio anodizado, cor bronze</v>
          </cell>
          <cell r="E374" t="str">
            <v>MAT.</v>
          </cell>
          <cell r="F374" t="str">
            <v>un</v>
          </cell>
          <cell r="G374">
            <v>1</v>
          </cell>
          <cell r="H374">
            <v>5400</v>
          </cell>
          <cell r="I374">
            <v>5400</v>
          </cell>
        </row>
        <row r="375">
          <cell r="C375" t="str">
            <v>15.01.01.21</v>
          </cell>
          <cell r="D375" t="str">
            <v>VEN-02 - 13,03 x 0,8 m - veneziana em aluminio anodizado, cor bronze</v>
          </cell>
          <cell r="E375" t="str">
            <v xml:space="preserve">SER.CG </v>
          </cell>
          <cell r="F375" t="str">
            <v xml:space="preserve">un </v>
          </cell>
          <cell r="G375">
            <v>1</v>
          </cell>
          <cell r="H375">
            <v>4450</v>
          </cell>
          <cell r="I375">
            <v>4450</v>
          </cell>
        </row>
        <row r="376">
          <cell r="C376" t="str">
            <v>99.2419</v>
          </cell>
          <cell r="D376" t="str">
            <v>13,03 x 0,8 m - veneziana em aluminio anodizado, cor bronze</v>
          </cell>
          <cell r="E376" t="str">
            <v>MAT.</v>
          </cell>
          <cell r="F376" t="str">
            <v>un</v>
          </cell>
          <cell r="G376">
            <v>1</v>
          </cell>
          <cell r="H376">
            <v>4450</v>
          </cell>
          <cell r="I376">
            <v>4450</v>
          </cell>
        </row>
        <row r="377">
          <cell r="C377" t="str">
            <v>15.01.01.22</v>
          </cell>
          <cell r="D377" t="str">
            <v>VEN-03 - 13,22 x 0,8 m - veneziana em aluminio anodizado, cor bronze</v>
          </cell>
          <cell r="E377" t="str">
            <v xml:space="preserve">SER.CG </v>
          </cell>
          <cell r="F377" t="str">
            <v xml:space="preserve">un </v>
          </cell>
          <cell r="G377">
            <v>1</v>
          </cell>
          <cell r="H377">
            <v>4540</v>
          </cell>
          <cell r="I377">
            <v>4540</v>
          </cell>
        </row>
        <row r="378">
          <cell r="C378" t="str">
            <v>99.2420</v>
          </cell>
          <cell r="D378" t="str">
            <v>13,22 x 0,8 m - veneziana em aluminio anodizado, cor bronze</v>
          </cell>
          <cell r="E378" t="str">
            <v>MAT.</v>
          </cell>
          <cell r="F378" t="str">
            <v>un</v>
          </cell>
          <cell r="G378">
            <v>1</v>
          </cell>
          <cell r="H378">
            <v>4540</v>
          </cell>
          <cell r="I378">
            <v>4540</v>
          </cell>
        </row>
        <row r="379">
          <cell r="C379" t="str">
            <v>15.01.01.23</v>
          </cell>
          <cell r="D379" t="str">
            <v>VEN-04 - 11,05 x 0,8 m - veneziana em aluminio anodizado, cor bronze</v>
          </cell>
          <cell r="E379" t="str">
            <v xml:space="preserve">SER.CG </v>
          </cell>
          <cell r="F379" t="str">
            <v xml:space="preserve">un </v>
          </cell>
          <cell r="G379">
            <v>1</v>
          </cell>
          <cell r="H379">
            <v>3780</v>
          </cell>
          <cell r="I379">
            <v>3780</v>
          </cell>
        </row>
        <row r="380">
          <cell r="C380" t="str">
            <v>99.2421</v>
          </cell>
          <cell r="D380" t="str">
            <v>11,05 x 0,8 m - veneziana em aluminio anodizado, cor bronze</v>
          </cell>
          <cell r="E380" t="str">
            <v>MAT.</v>
          </cell>
          <cell r="F380" t="str">
            <v>un</v>
          </cell>
          <cell r="G380">
            <v>1</v>
          </cell>
          <cell r="H380">
            <v>3780</v>
          </cell>
          <cell r="I380">
            <v>3780</v>
          </cell>
        </row>
        <row r="381">
          <cell r="C381" t="str">
            <v>15.01.01.24</v>
          </cell>
          <cell r="D381" t="str">
            <v>VEN-05 - 19,1 x 0,8 m - veneziana em aluminio anodizado, cor bronze</v>
          </cell>
          <cell r="E381" t="str">
            <v xml:space="preserve">SER.CG </v>
          </cell>
          <cell r="F381" t="str">
            <v xml:space="preserve">un </v>
          </cell>
          <cell r="G381">
            <v>1</v>
          </cell>
          <cell r="H381">
            <v>6480</v>
          </cell>
          <cell r="I381">
            <v>6480</v>
          </cell>
        </row>
        <row r="382">
          <cell r="C382" t="str">
            <v>99.2422</v>
          </cell>
          <cell r="D382" t="str">
            <v>19,1 x 0,8 m - veneziana em aluminio anodizado, cor bronze</v>
          </cell>
          <cell r="E382" t="str">
            <v>MAT.</v>
          </cell>
          <cell r="F382" t="str">
            <v>un</v>
          </cell>
          <cell r="G382">
            <v>1</v>
          </cell>
          <cell r="H382">
            <v>6480</v>
          </cell>
          <cell r="I382">
            <v>6480</v>
          </cell>
        </row>
        <row r="383">
          <cell r="C383" t="str">
            <v>15.01.01.25</v>
          </cell>
          <cell r="D383" t="str">
            <v>PA-01 - 1,5 x 2,44 m - porta de alumínio, de correr, 2 folhas, pintura eletrostática cor branca, vidro liso incolor, conforme projeto de detalhamneto 256-arq-pe-201-caix-r00</v>
          </cell>
          <cell r="E383" t="str">
            <v xml:space="preserve">SER.CG </v>
          </cell>
          <cell r="F383" t="str">
            <v xml:space="preserve">un </v>
          </cell>
          <cell r="G383">
            <v>132</v>
          </cell>
          <cell r="H383">
            <v>869.67</v>
          </cell>
          <cell r="I383">
            <v>114796.44</v>
          </cell>
        </row>
        <row r="384">
          <cell r="C384" t="str">
            <v>99.2423</v>
          </cell>
          <cell r="D384" t="str">
            <v>1,5 x 2,44 m - porta de alumínio, de correr, 2 folhas, pintura eletrostática cor branca, vidro liso incolor, conforme projeto de detalhamneto 256-arq-pe-201-caix-r00</v>
          </cell>
          <cell r="E384" t="str">
            <v>MAT.</v>
          </cell>
          <cell r="F384" t="str">
            <v>un</v>
          </cell>
          <cell r="G384">
            <v>1</v>
          </cell>
          <cell r="H384">
            <v>869.67</v>
          </cell>
          <cell r="I384">
            <v>869.67</v>
          </cell>
        </row>
        <row r="385">
          <cell r="C385" t="str">
            <v>15.01.01.26</v>
          </cell>
          <cell r="D385" t="str">
            <v>PA-02 - 2,8 x 2,44 m - porta de alumínio, de correr, 2 folhas, pintura eletrostática cor branca, vidro liso incolor, conforme projeto de detalhamneto 256-arq-pe-202-caix-r00</v>
          </cell>
          <cell r="E385" t="str">
            <v xml:space="preserve">SER.CG </v>
          </cell>
          <cell r="F385" t="str">
            <v xml:space="preserve">un </v>
          </cell>
          <cell r="G385">
            <v>64</v>
          </cell>
          <cell r="H385">
            <v>1585.76</v>
          </cell>
          <cell r="I385">
            <v>101488.64</v>
          </cell>
        </row>
        <row r="386">
          <cell r="C386" t="str">
            <v>99.2424</v>
          </cell>
          <cell r="D386" t="str">
            <v>2,8 x 2,44 m - porta de alumínio, de correr, 2 folhas, pintura eletrostática cor branca, vidro liso incolor, conforme projeto de detalhamneto 256-arq-pe-202-caix-r00</v>
          </cell>
          <cell r="E386" t="str">
            <v>MAT.</v>
          </cell>
          <cell r="F386" t="str">
            <v>un</v>
          </cell>
          <cell r="G386">
            <v>1</v>
          </cell>
          <cell r="H386">
            <v>1585.76</v>
          </cell>
          <cell r="I386">
            <v>1585.76</v>
          </cell>
        </row>
        <row r="387">
          <cell r="C387" t="str">
            <v>15.01.01.27</v>
          </cell>
          <cell r="D387" t="str">
            <v>PA-03 - 1,5 x 5,68 m - porta de aluminio, de correr, 2 folhas (2,40x 1,50)m, o restante fixo, pintura eletrostática cor branca, vidro liso incolor, conforme projeto de detalhamento 256-arq-pe-203-caix-r00</v>
          </cell>
          <cell r="E387" t="str">
            <v xml:space="preserve">SER.CG </v>
          </cell>
          <cell r="F387" t="str">
            <v xml:space="preserve">un </v>
          </cell>
          <cell r="G387">
            <v>20</v>
          </cell>
          <cell r="H387">
            <v>1880.01</v>
          </cell>
          <cell r="I387">
            <v>37600.199999999997</v>
          </cell>
        </row>
        <row r="388">
          <cell r="C388" t="str">
            <v>99.2425</v>
          </cell>
          <cell r="D388" t="str">
            <v>1,5 x 5,68 m - porta de aluminio, de correr, 2 folhas (2,40x 1,50)m, o restante fixo, pintura eletrostática cor branca, vidro liso incolor, conforme projeto de detalhamento 256-arq-pe-203-caix-r00</v>
          </cell>
          <cell r="E388" t="str">
            <v>MAT.</v>
          </cell>
          <cell r="F388" t="str">
            <v>un</v>
          </cell>
          <cell r="G388">
            <v>1</v>
          </cell>
          <cell r="H388">
            <v>1880.01</v>
          </cell>
          <cell r="I388">
            <v>1880.01</v>
          </cell>
        </row>
        <row r="389">
          <cell r="C389" t="str">
            <v>15.01.01.28</v>
          </cell>
          <cell r="D389" t="str">
            <v>PA-04 - 0,8 x 1,8 m - porta de aluminio em veneziana com ventilação, de abrir, 1 folha, pintura eletrostática cor branca, conforme projeto de detalhamento 256-arq-pe-204-caix-r00</v>
          </cell>
          <cell r="E389" t="str">
            <v xml:space="preserve">SER.CG </v>
          </cell>
          <cell r="F389" t="str">
            <v xml:space="preserve">un </v>
          </cell>
          <cell r="G389">
            <v>2</v>
          </cell>
          <cell r="H389">
            <v>703.44</v>
          </cell>
          <cell r="I389">
            <v>1406.88</v>
          </cell>
        </row>
        <row r="390">
          <cell r="C390" t="str">
            <v>99.2426</v>
          </cell>
          <cell r="D390" t="str">
            <v>0,8 x 1,8 m - porta de aluminio em veneziana com ventilação, de abrir, 1 folha, pintura eletrostática cor branca, conforme projeto de detalhamento 256-arq-pe-204-caix-r00</v>
          </cell>
          <cell r="E390" t="str">
            <v>MAT.</v>
          </cell>
          <cell r="F390" t="str">
            <v>un</v>
          </cell>
          <cell r="G390">
            <v>1</v>
          </cell>
          <cell r="H390">
            <v>703.44</v>
          </cell>
          <cell r="I390">
            <v>703.44</v>
          </cell>
        </row>
        <row r="391">
          <cell r="C391" t="str">
            <v>15.01.01.29</v>
          </cell>
          <cell r="D391" t="str">
            <v>PA-05 - 0,9 x 2,2 m - porta de alumínio em veneziana com ventilação, de abrir, 1 folha, pintura eletrostática cor branca, conforme projeto de detalhamento 256-arq-pe-205-caix-r00</v>
          </cell>
          <cell r="E391" t="str">
            <v xml:space="preserve">SER.CG </v>
          </cell>
          <cell r="F391" t="str">
            <v xml:space="preserve">un </v>
          </cell>
          <cell r="G391">
            <v>2</v>
          </cell>
          <cell r="H391">
            <v>818.28</v>
          </cell>
          <cell r="I391">
            <v>1636.56</v>
          </cell>
        </row>
        <row r="392">
          <cell r="C392" t="str">
            <v>99.2427</v>
          </cell>
          <cell r="D392" t="str">
            <v>0,9 x 2,2 m - porta de alumínio em veneziana com ventilação, de abrir, 1 folha, pintura eletrostática cor branca, conforme projeto de detalhamento 256-arq-pe-205-caix-r00</v>
          </cell>
          <cell r="E392" t="str">
            <v>MAT.</v>
          </cell>
          <cell r="F392" t="str">
            <v>un</v>
          </cell>
          <cell r="G392">
            <v>1</v>
          </cell>
          <cell r="H392">
            <v>818.28</v>
          </cell>
          <cell r="I392">
            <v>818.28</v>
          </cell>
        </row>
        <row r="393">
          <cell r="C393" t="str">
            <v>15.01.01.30</v>
          </cell>
          <cell r="D393" t="str">
            <v>PA-06 - 0,8 x 2,2 m - porta de aluminio em veneziana com ventilação, de abrir, 1 folha, pintura eletrostática cor branca, conforme projeto de detalhamento 256-arq-pe-206-caix-r00</v>
          </cell>
          <cell r="E393" t="str">
            <v xml:space="preserve">SER.CG </v>
          </cell>
          <cell r="F393" t="str">
            <v xml:space="preserve">un </v>
          </cell>
          <cell r="G393">
            <v>2</v>
          </cell>
          <cell r="H393">
            <v>759.33</v>
          </cell>
          <cell r="I393">
            <v>1518.66</v>
          </cell>
        </row>
        <row r="394">
          <cell r="C394" t="str">
            <v>99.2428</v>
          </cell>
          <cell r="D394" t="str">
            <v>0,8 x 2,2 m - porta de aluminio em veneziana com ventilação, de abrir, 1 folha, pintura eletrostática cor branca, conforme projeto de detalhamento 256-arq-pe-206-caix-r00</v>
          </cell>
          <cell r="E394" t="str">
            <v>MAT.</v>
          </cell>
          <cell r="F394" t="str">
            <v>un</v>
          </cell>
          <cell r="G394">
            <v>1</v>
          </cell>
          <cell r="H394">
            <v>759.33</v>
          </cell>
          <cell r="I394">
            <v>759.33</v>
          </cell>
        </row>
        <row r="395">
          <cell r="C395" t="str">
            <v>15.01.01.31</v>
          </cell>
          <cell r="D395" t="str">
            <v>PA-07 - 2,3 x 2,2 m - porta de alumínio, de abrir, 1 folha de (0,90x2,20)m, e o restante fixo, pintura eletrostatica cor branca, vidro liso incolor, conforme projeto de detalhamento 256-arq-pe-207-caix-r00</v>
          </cell>
          <cell r="E395" t="str">
            <v xml:space="preserve">SER.CG </v>
          </cell>
          <cell r="F395" t="str">
            <v xml:space="preserve">un </v>
          </cell>
          <cell r="G395">
            <v>3</v>
          </cell>
          <cell r="H395">
            <v>1049.68</v>
          </cell>
          <cell r="I395">
            <v>3149.04</v>
          </cell>
        </row>
        <row r="396">
          <cell r="C396" t="str">
            <v>99.2429</v>
          </cell>
          <cell r="D396" t="str">
            <v>2,3 x 2,2 m - porta de alumínio, de abrir, 1 folha de (0,90x2,20)m, e o restante fixo, pintura eletrostatica cor branca, vidro liso incolor, conforme projeto de detalhamento 256-arq-pe-207-caix-r00</v>
          </cell>
          <cell r="E396" t="str">
            <v>MAT.</v>
          </cell>
          <cell r="F396" t="str">
            <v>un</v>
          </cell>
          <cell r="G396">
            <v>1</v>
          </cell>
          <cell r="H396">
            <v>1049.68</v>
          </cell>
          <cell r="I396">
            <v>1049.68</v>
          </cell>
        </row>
        <row r="397">
          <cell r="C397" t="str">
            <v>15.01.01.32</v>
          </cell>
          <cell r="D397" t="str">
            <v>PA-08 - 4,6 x 2,2 m - porta de aluminio, de correr, 2 folha (1,45x2,20)m, o restante fixo, pintura eletrostática cor branca, vidro liso incolor, conforme projeto de detalhamento 256-arq-pe-208-caix-r00</v>
          </cell>
          <cell r="E397" t="str">
            <v xml:space="preserve">SER.CG </v>
          </cell>
          <cell r="F397" t="str">
            <v xml:space="preserve">un </v>
          </cell>
          <cell r="G397">
            <v>1</v>
          </cell>
          <cell r="H397">
            <v>1864.47</v>
          </cell>
          <cell r="I397">
            <v>1864.47</v>
          </cell>
        </row>
        <row r="398">
          <cell r="C398" t="str">
            <v>99.2430</v>
          </cell>
          <cell r="D398" t="str">
            <v>4,6 x 2,2 m - porta de aluminio, de correr, 2 folha (1,45x2,20)m, o restante fixo, pintura eletrostática cor branca, vidro liso incolor, conforme projeto de detalhamento 256-arq-pe-208-caix-r00</v>
          </cell>
          <cell r="E398" t="str">
            <v>MAT.</v>
          </cell>
          <cell r="F398" t="str">
            <v>un</v>
          </cell>
          <cell r="G398">
            <v>1</v>
          </cell>
          <cell r="H398">
            <v>1864.47</v>
          </cell>
          <cell r="I398">
            <v>1864.47</v>
          </cell>
        </row>
        <row r="399">
          <cell r="C399" t="str">
            <v>15.01.01.33</v>
          </cell>
          <cell r="D399" t="str">
            <v>PA-09 - 0,8 x 2,2 m - porta de aluminio em veneziana com ventilação, de abrir, 1 folha, pintura eletrostatica cor branca, conforme projeto de detalhamento 256-arq-pe-209-caix-r00</v>
          </cell>
          <cell r="E399" t="str">
            <v xml:space="preserve">SER.CG </v>
          </cell>
          <cell r="F399" t="str">
            <v xml:space="preserve">un </v>
          </cell>
          <cell r="G399">
            <v>3</v>
          </cell>
          <cell r="H399">
            <v>759.34</v>
          </cell>
          <cell r="I399">
            <v>2278.02</v>
          </cell>
        </row>
        <row r="400">
          <cell r="C400" t="str">
            <v>99.2431</v>
          </cell>
          <cell r="D400" t="str">
            <v>0,8 x 2,2 m - porta de aluminio em veneziana com ventilação, de abrir, 1 folha, pintura eletrostatica cor branca, conforme projeto de detalhamento 256-arq-pe-209-caix-r00</v>
          </cell>
          <cell r="E400" t="str">
            <v>MAT.</v>
          </cell>
          <cell r="F400" t="str">
            <v>un</v>
          </cell>
          <cell r="G400">
            <v>1</v>
          </cell>
          <cell r="H400">
            <v>759.34</v>
          </cell>
          <cell r="I400">
            <v>759.34</v>
          </cell>
        </row>
        <row r="401">
          <cell r="C401" t="str">
            <v>15.01.01.34</v>
          </cell>
          <cell r="D401" t="str">
            <v>PA-10 - 1,76 x 3,47 m - porta de alumínio, de abrir, 2 folha (1,76x2,70)m, bandeira superior fixa (1,76x0,70)m, pintura eletrostatica cor branca, vidro liso incolor, conforme o projeto de detalhamento 256-arq-pe-210-caix-r00</v>
          </cell>
          <cell r="E401" t="str">
            <v xml:space="preserve">SER.CG </v>
          </cell>
          <cell r="F401" t="str">
            <v xml:space="preserve">un </v>
          </cell>
          <cell r="G401">
            <v>1</v>
          </cell>
          <cell r="H401">
            <v>1433.99</v>
          </cell>
          <cell r="I401">
            <v>1433.99</v>
          </cell>
        </row>
        <row r="402">
          <cell r="C402" t="str">
            <v>99.2432</v>
          </cell>
          <cell r="D402" t="str">
            <v>1,76 x 3,47 m - porta de alumínio, de abrir, 2 folha (1,76x2,70)m, bandeira superior fixa (1,76x0,70)m, pintura eletrostatica cor branca, vidro liso incolor, conforme o projeto de detalhamento 256-arq-pe-210-caix-r00</v>
          </cell>
          <cell r="E402" t="str">
            <v>MAT.</v>
          </cell>
          <cell r="F402" t="str">
            <v>un</v>
          </cell>
          <cell r="G402">
            <v>1</v>
          </cell>
          <cell r="H402">
            <v>1433.99</v>
          </cell>
          <cell r="I402">
            <v>1433.99</v>
          </cell>
        </row>
        <row r="403">
          <cell r="C403" t="str">
            <v>15.01.01.35</v>
          </cell>
          <cell r="D403" t="str">
            <v>PA-11A - 5 x 6,97 m - caixilho de alumínio, fixo, 12 módulos, pintura eletrostática cor branca, vidro liso incolor, conforme projeto de detalhamento 259-arq-pe-211-caix-r00</v>
          </cell>
          <cell r="E403" t="str">
            <v xml:space="preserve">SER.CG </v>
          </cell>
          <cell r="F403" t="str">
            <v xml:space="preserve">un </v>
          </cell>
          <cell r="G403">
            <v>1</v>
          </cell>
          <cell r="H403">
            <v>7032.25</v>
          </cell>
          <cell r="I403">
            <v>7032.25</v>
          </cell>
        </row>
        <row r="404">
          <cell r="C404" t="str">
            <v>99.2433</v>
          </cell>
          <cell r="D404" t="str">
            <v>5 x 6,97 m - caixilho de alumínio, fixo, 12 módulos, pintura eletrostática cor branca, vidro liso incolor, conforme projeto de detalhamento 259-arq-pe-211-caix-r00</v>
          </cell>
          <cell r="E404" t="str">
            <v>MAT.</v>
          </cell>
          <cell r="F404" t="str">
            <v>un</v>
          </cell>
          <cell r="G404">
            <v>1</v>
          </cell>
          <cell r="H404">
            <v>7032.25</v>
          </cell>
          <cell r="I404">
            <v>7032.25</v>
          </cell>
        </row>
        <row r="405">
          <cell r="C405" t="str">
            <v>15.01.01.36</v>
          </cell>
          <cell r="D405" t="str">
            <v>PA-11B - 6,63 x 3,37 m - caixilho de aluminio, com 1 porta, de abrir, 2 folhas (1,96x2,66)m, o restante fixo, 10 módulos, pintura eletrostática cor branca, vidro liso incolor, conforme projeto de detalhamento 56-arq-pe-211-caix-r00</v>
          </cell>
          <cell r="E405" t="str">
            <v xml:space="preserve">SER.CG </v>
          </cell>
          <cell r="F405" t="str">
            <v xml:space="preserve">un </v>
          </cell>
          <cell r="G405">
            <v>1</v>
          </cell>
          <cell r="H405">
            <v>7032.25</v>
          </cell>
          <cell r="I405">
            <v>7032.25</v>
          </cell>
        </row>
        <row r="406">
          <cell r="C406" t="str">
            <v>99.2434</v>
          </cell>
          <cell r="D406" t="str">
            <v>6,63 x 3,37 m - caixilho de aluminio, com 1 porta, de abrir, 2 folhas (1,96x2,66)m, o restante fixo, 10 módulos, pintura eletrostática cor branca, vidro liso incolor, conforme projeto de detalhamento 56-arq-pe-211-caix-r00</v>
          </cell>
          <cell r="E406" t="str">
            <v>MAT.</v>
          </cell>
          <cell r="F406" t="str">
            <v>un</v>
          </cell>
          <cell r="G406">
            <v>1</v>
          </cell>
          <cell r="H406">
            <v>7032.25</v>
          </cell>
          <cell r="I406">
            <v>7032.25</v>
          </cell>
        </row>
        <row r="407">
          <cell r="C407" t="str">
            <v>15.01.01.37</v>
          </cell>
          <cell r="D407" t="str">
            <v>PA-12 - 11,86 x 6,97 m - caixilho de alumínio com uma porta, de abrir, 2 folha (2,01x1,94)m, o restante fixo, 26 módulos, pintura eletrostática cor branca, conforme projeto de detalhamento 256-arq-pe-212-caix-r00</v>
          </cell>
          <cell r="E407" t="str">
            <v xml:space="preserve">SER.CG </v>
          </cell>
          <cell r="F407" t="str">
            <v xml:space="preserve">un </v>
          </cell>
          <cell r="G407">
            <v>1</v>
          </cell>
          <cell r="H407">
            <v>19779.97</v>
          </cell>
          <cell r="I407">
            <v>19779.97</v>
          </cell>
        </row>
        <row r="408">
          <cell r="C408" t="str">
            <v>99.2435</v>
          </cell>
          <cell r="D408" t="str">
            <v>11,86 x 6,97 m - caixilho de alumínio com uma porta, de abrir, 2 folha (2,01x1,94)m, o restante fixo, 26 módulos, pintura eletrostática cor branca, conforme projeto de detalhamento 256-arq-pe-212-caix-r00</v>
          </cell>
          <cell r="E408" t="str">
            <v>MAT.</v>
          </cell>
          <cell r="F408" t="str">
            <v>un</v>
          </cell>
          <cell r="G408">
            <v>1</v>
          </cell>
          <cell r="H408">
            <v>19779.97</v>
          </cell>
          <cell r="I408">
            <v>19779.97</v>
          </cell>
        </row>
        <row r="409">
          <cell r="C409" t="str">
            <v>15.01.01.38</v>
          </cell>
          <cell r="D409" t="str">
            <v>PA-13 - 4,4 x 2,8 m - porta de alumínio, de correr, 2 folha (1,30x2,80)m, o restante fixo, pintura eletrostática cor branca, vidro liso incolor, conforme projeto de detalhamento 256-arq-pe-213-caix-r00</v>
          </cell>
          <cell r="E409" t="str">
            <v xml:space="preserve">SER.CG </v>
          </cell>
          <cell r="F409" t="str">
            <v xml:space="preserve">un </v>
          </cell>
          <cell r="G409">
            <v>2</v>
          </cell>
          <cell r="H409">
            <v>2672.73</v>
          </cell>
          <cell r="I409">
            <v>5345.46</v>
          </cell>
        </row>
        <row r="410">
          <cell r="C410" t="str">
            <v>99.2436</v>
          </cell>
          <cell r="D410" t="str">
            <v>4,4 x 2,8 m - porta de alumínio, de correr, 2 folha (1,30x2,80)m, o restante fixo, pintura eletrostática cor branca, vidro liso incolor, conforme projeto de detalhamento 256-arq-pe-213-caix-r00</v>
          </cell>
          <cell r="E410" t="str">
            <v>MAT.</v>
          </cell>
          <cell r="F410" t="str">
            <v>un</v>
          </cell>
          <cell r="G410">
            <v>1</v>
          </cell>
          <cell r="H410">
            <v>2672.73</v>
          </cell>
          <cell r="I410">
            <v>2672.73</v>
          </cell>
        </row>
        <row r="411">
          <cell r="C411" t="str">
            <v>15.01.01.39</v>
          </cell>
          <cell r="D411" t="str">
            <v>PA-14 - 0,79 x 1,1 m - porta de alumínio de veneziana com ventilação, de abrir, 1 folha, pintura eletrostática cor branca, conforme projeto de detalhamento 256-arq-pe-214-caix-r00</v>
          </cell>
          <cell r="E411" t="str">
            <v xml:space="preserve">SER.CG </v>
          </cell>
          <cell r="F411" t="str">
            <v xml:space="preserve">un </v>
          </cell>
          <cell r="G411">
            <v>1</v>
          </cell>
          <cell r="H411">
            <v>475.46</v>
          </cell>
          <cell r="I411">
            <v>475.46</v>
          </cell>
        </row>
        <row r="412">
          <cell r="C412" t="str">
            <v>99.2437</v>
          </cell>
          <cell r="D412" t="str">
            <v>0,79 x 1,1 m - porta de alumínio de veneziana com ventilação, de abrir, 1 folha, pintura eletrostática cor branca, conforme projeto de detalhamento 256-arq-pe-214-caix-r00</v>
          </cell>
          <cell r="E412" t="str">
            <v>MAT.</v>
          </cell>
          <cell r="F412" t="str">
            <v>un</v>
          </cell>
          <cell r="G412">
            <v>1</v>
          </cell>
          <cell r="H412">
            <v>475.46</v>
          </cell>
          <cell r="I412">
            <v>475.46</v>
          </cell>
        </row>
        <row r="413">
          <cell r="C413" t="str">
            <v>15.01.01.40</v>
          </cell>
          <cell r="D413" t="str">
            <v>PA-03A - 1,56 x 5,68 m - porta de aluminio 2 folhas , pintura eletrostatica cor branca , vidro liso incolor , conforme o projeto de arq. fl 256-arq-pe-flh 018-17 pav-r00</v>
          </cell>
          <cell r="E413" t="str">
            <v xml:space="preserve">SER.CG </v>
          </cell>
          <cell r="F413" t="str">
            <v xml:space="preserve">un </v>
          </cell>
          <cell r="G413">
            <v>4</v>
          </cell>
          <cell r="H413">
            <v>1955</v>
          </cell>
          <cell r="I413">
            <v>7820</v>
          </cell>
        </row>
        <row r="414">
          <cell r="C414" t="str">
            <v>99.2438</v>
          </cell>
          <cell r="D414" t="str">
            <v>1,56 x 5,68 m - porta de aluminio 2 folhas , pintura eletrostatica cor branca , vidro liso incolor , conforme o projeto de arq. fl 256-arq-pe-flh 018-17 pav-r00</v>
          </cell>
          <cell r="E414" t="str">
            <v>MAT.</v>
          </cell>
          <cell r="F414" t="str">
            <v>un</v>
          </cell>
          <cell r="G414">
            <v>1</v>
          </cell>
          <cell r="H414">
            <v>1955</v>
          </cell>
          <cell r="I414">
            <v>1955</v>
          </cell>
        </row>
        <row r="415">
          <cell r="C415" t="str">
            <v>15.01.01.41</v>
          </cell>
          <cell r="D415" t="str">
            <v>POA-01 - 1,6 x 2 m - portão de aluminio anodizado, de abrir, 2 folhas, conforme o projeto de detalhamento fl. 256-psg-pe-001-terr</v>
          </cell>
          <cell r="E415" t="str">
            <v xml:space="preserve">SER.CG </v>
          </cell>
          <cell r="F415" t="str">
            <v xml:space="preserve">un </v>
          </cell>
          <cell r="G415">
            <v>1</v>
          </cell>
          <cell r="H415">
            <v>1660</v>
          </cell>
          <cell r="I415">
            <v>1660</v>
          </cell>
        </row>
        <row r="416">
          <cell r="C416" t="str">
            <v>99.2439</v>
          </cell>
          <cell r="D416" t="str">
            <v>1,6 x 2 m - portão de aluminio anodizado, de abrir, 2 folhas, conforme o projeto de detalhamento fl. 256-psg-pe-001-terr</v>
          </cell>
          <cell r="E416" t="str">
            <v>MAT.</v>
          </cell>
          <cell r="F416" t="str">
            <v>un</v>
          </cell>
          <cell r="G416">
            <v>1</v>
          </cell>
          <cell r="H416">
            <v>1660</v>
          </cell>
          <cell r="I416">
            <v>1660</v>
          </cell>
        </row>
        <row r="417">
          <cell r="C417" t="str">
            <v>15.01.01.42</v>
          </cell>
          <cell r="D417" t="str">
            <v>CX-ESP - 1,06X1,00 m - Caixilho tipo veneziana para pressurização</v>
          </cell>
          <cell r="E417" t="str">
            <v xml:space="preserve">SER.CG </v>
          </cell>
          <cell r="F417" t="str">
            <v xml:space="preserve">un </v>
          </cell>
          <cell r="G417">
            <v>2</v>
          </cell>
          <cell r="H417">
            <v>480</v>
          </cell>
          <cell r="I417">
            <v>960</v>
          </cell>
        </row>
        <row r="418">
          <cell r="C418" t="str">
            <v>99.2439</v>
          </cell>
          <cell r="D418" t="str">
            <v>CX-ESP - 1,06X1,00 m - Caixilho tipo veneziana para pressurização</v>
          </cell>
          <cell r="E418" t="str">
            <v>MAT.</v>
          </cell>
          <cell r="F418" t="str">
            <v>un</v>
          </cell>
          <cell r="G418">
            <v>1</v>
          </cell>
          <cell r="H418">
            <v>480</v>
          </cell>
          <cell r="I418">
            <v>480</v>
          </cell>
        </row>
        <row r="419">
          <cell r="C419" t="str">
            <v>15.01.01.43</v>
          </cell>
          <cell r="D419" t="str">
            <v>CX-ESP1 -0,45X0,50 m - Caixilho tipo veneziana para pressurização</v>
          </cell>
          <cell r="E419" t="str">
            <v xml:space="preserve">SER.CG </v>
          </cell>
          <cell r="F419" t="str">
            <v xml:space="preserve">un </v>
          </cell>
          <cell r="G419">
            <v>36</v>
          </cell>
          <cell r="H419">
            <v>101</v>
          </cell>
          <cell r="I419">
            <v>3636</v>
          </cell>
        </row>
        <row r="420">
          <cell r="C420" t="str">
            <v>99.2439</v>
          </cell>
          <cell r="D420" t="str">
            <v>CX-ESP - 1,06X1,00 m - Caixilho tipo veneziana para pressurização</v>
          </cell>
          <cell r="E420" t="str">
            <v>MAT.</v>
          </cell>
          <cell r="F420" t="str">
            <v>un</v>
          </cell>
          <cell r="G420">
            <v>1</v>
          </cell>
          <cell r="H420">
            <v>101</v>
          </cell>
          <cell r="I420">
            <v>101</v>
          </cell>
        </row>
        <row r="421">
          <cell r="C421" t="str">
            <v>15.02.02.01</v>
          </cell>
          <cell r="D421" t="str">
            <v>GCA-01 - 5,33 x 1,15 m - guarda-corpo de ferro com pintura esmalte branca.</v>
          </cell>
          <cell r="E421" t="str">
            <v xml:space="preserve">SER.CG </v>
          </cell>
          <cell r="F421" t="str">
            <v xml:space="preserve">un </v>
          </cell>
          <cell r="G421">
            <v>1</v>
          </cell>
          <cell r="H421">
            <v>770</v>
          </cell>
          <cell r="I421">
            <v>770</v>
          </cell>
        </row>
        <row r="422">
          <cell r="C422" t="str">
            <v>99.2441</v>
          </cell>
          <cell r="D422" t="str">
            <v>5,33 x 1,15 m - guarda-corpo de alumínio com pintura eletrostática branca, vidro verde, conforme projeto de detalhamento 256-arq-pe-418-serra-roo</v>
          </cell>
          <cell r="E422" t="str">
            <v>MAT.</v>
          </cell>
          <cell r="F422" t="str">
            <v>un</v>
          </cell>
          <cell r="G422">
            <v>1</v>
          </cell>
          <cell r="H422">
            <v>770</v>
          </cell>
          <cell r="I422">
            <v>770</v>
          </cell>
        </row>
        <row r="423">
          <cell r="C423" t="str">
            <v>15.02.02.02</v>
          </cell>
          <cell r="D423" t="str">
            <v xml:space="preserve">GCA-02 - 5,33 x 1,15 m - guarda-corpo de ferro com pintura esmalte branca. </v>
          </cell>
          <cell r="E423" t="str">
            <v xml:space="preserve">SER.CG </v>
          </cell>
          <cell r="F423" t="str">
            <v xml:space="preserve">un </v>
          </cell>
          <cell r="G423">
            <v>1</v>
          </cell>
          <cell r="H423">
            <v>770</v>
          </cell>
          <cell r="I423">
            <v>770</v>
          </cell>
        </row>
        <row r="424">
          <cell r="C424" t="str">
            <v>99.2442</v>
          </cell>
          <cell r="D424" t="str">
            <v>5,33 x 1,15 m - guarda-corpo de alumínio com pintura eletrostática branca, vidro verde, conforme projeto de detalhamento 256-arq-pe-419-serra-roo</v>
          </cell>
          <cell r="E424" t="str">
            <v>MAT.</v>
          </cell>
          <cell r="F424" t="str">
            <v>un</v>
          </cell>
          <cell r="G424">
            <v>1</v>
          </cell>
          <cell r="H424">
            <v>770</v>
          </cell>
          <cell r="I424">
            <v>770</v>
          </cell>
        </row>
        <row r="425">
          <cell r="C425" t="str">
            <v>15.02.02.03</v>
          </cell>
          <cell r="D425" t="str">
            <v>GCA-03 - 22,32 x 0,92 m - guarda corpo de ferro com pintura esmalte cor branca.</v>
          </cell>
          <cell r="E425" t="str">
            <v xml:space="preserve">SER.CG </v>
          </cell>
          <cell r="F425" t="str">
            <v xml:space="preserve">un </v>
          </cell>
          <cell r="G425">
            <v>1</v>
          </cell>
          <cell r="H425">
            <v>2600</v>
          </cell>
          <cell r="I425">
            <v>2600</v>
          </cell>
        </row>
        <row r="426">
          <cell r="C426" t="str">
            <v>99.2443</v>
          </cell>
          <cell r="D426" t="str">
            <v>22,32 x 0,92 m - guarda corpo de aluminio com pintura eletrostática cor branca, vidro verde, conforme o projeto de detalhamento 256-psg-pe-001-terr</v>
          </cell>
          <cell r="E426" t="str">
            <v>MAT.</v>
          </cell>
          <cell r="F426" t="str">
            <v>un</v>
          </cell>
          <cell r="G426">
            <v>1</v>
          </cell>
          <cell r="H426">
            <v>2600</v>
          </cell>
          <cell r="I426">
            <v>2600</v>
          </cell>
        </row>
        <row r="427">
          <cell r="C427" t="str">
            <v>15.02.02.04</v>
          </cell>
          <cell r="D427" t="str">
            <v>GCA-04 - 10,72 x 0,92 m - guarda corpo de ferro pintura esmalte cor branca.</v>
          </cell>
          <cell r="E427" t="str">
            <v xml:space="preserve">SER.CG </v>
          </cell>
          <cell r="F427" t="str">
            <v xml:space="preserve">un </v>
          </cell>
          <cell r="G427">
            <v>1</v>
          </cell>
          <cell r="H427">
            <v>1250</v>
          </cell>
          <cell r="I427">
            <v>1250</v>
          </cell>
        </row>
        <row r="428">
          <cell r="C428" t="str">
            <v>99.2444</v>
          </cell>
          <cell r="D428" t="str">
            <v>10,72 x 0,92 m - guarda corpo de aluminio pintura eletrostática cor branca, vidro verde, conforme o projeto de detalhamento 256-psg-pe-001-terr</v>
          </cell>
          <cell r="E428" t="str">
            <v>MAT.</v>
          </cell>
          <cell r="F428" t="str">
            <v>m</v>
          </cell>
          <cell r="G428">
            <v>1</v>
          </cell>
          <cell r="H428">
            <v>1250</v>
          </cell>
          <cell r="I428">
            <v>1250</v>
          </cell>
        </row>
        <row r="429">
          <cell r="C429" t="str">
            <v>15.02.02.05</v>
          </cell>
          <cell r="D429" t="str">
            <v>GCA-05 - 8,4 x 0,92 m - guarda corpo de ferro com pintura esmalte cor branca.</v>
          </cell>
          <cell r="E429" t="str">
            <v xml:space="preserve">SER.CG </v>
          </cell>
          <cell r="F429" t="str">
            <v xml:space="preserve">un </v>
          </cell>
          <cell r="G429">
            <v>1</v>
          </cell>
          <cell r="H429">
            <v>970</v>
          </cell>
          <cell r="I429">
            <v>970</v>
          </cell>
        </row>
        <row r="430">
          <cell r="C430" t="str">
            <v>99.2445</v>
          </cell>
          <cell r="D430" t="str">
            <v>8,4 x 0,92 m - guarda corpo de aluminio com pintura eletrostática cor branca, vidro verde, conforme o projeto de detalhamento 256-psg-pe-001-terr</v>
          </cell>
          <cell r="E430" t="str">
            <v>MAT.</v>
          </cell>
          <cell r="F430" t="str">
            <v>un</v>
          </cell>
          <cell r="G430">
            <v>1</v>
          </cell>
          <cell r="H430">
            <v>970</v>
          </cell>
          <cell r="I430">
            <v>970</v>
          </cell>
        </row>
        <row r="431">
          <cell r="C431" t="str">
            <v>15.02.02.06</v>
          </cell>
          <cell r="D431" t="str">
            <v>GCA-06 - 17,19 x 0,92 m - guarda corpo de ferro pintura esmalte cor branca.</v>
          </cell>
          <cell r="E431" t="str">
            <v xml:space="preserve">SER.CG </v>
          </cell>
          <cell r="F431" t="str">
            <v xml:space="preserve">un </v>
          </cell>
          <cell r="G431">
            <v>1</v>
          </cell>
          <cell r="H431">
            <v>1980</v>
          </cell>
          <cell r="I431">
            <v>1980</v>
          </cell>
        </row>
        <row r="432">
          <cell r="C432" t="str">
            <v>99.2446</v>
          </cell>
          <cell r="D432" t="str">
            <v>17,19 x 0,92 m - guarda corpo de aluminio pintura eletrostática cor branca, vidro verde, conforme o projeto de detalhamento 256-psg-pe-001-terr</v>
          </cell>
          <cell r="E432" t="str">
            <v>MAT.</v>
          </cell>
          <cell r="F432" t="str">
            <v>un</v>
          </cell>
          <cell r="G432">
            <v>1</v>
          </cell>
          <cell r="H432">
            <v>1980</v>
          </cell>
          <cell r="I432">
            <v>1980</v>
          </cell>
        </row>
        <row r="433">
          <cell r="C433" t="str">
            <v>15.02.02.07</v>
          </cell>
          <cell r="D433" t="str">
            <v>GCA-07 - 1,26 x 0,92 m - guarda corpo de ferro pintura esmalte cor branca.</v>
          </cell>
          <cell r="E433" t="str">
            <v xml:space="preserve">SER.CG </v>
          </cell>
          <cell r="F433" t="str">
            <v xml:space="preserve">un </v>
          </cell>
          <cell r="G433">
            <v>4</v>
          </cell>
          <cell r="H433">
            <v>150</v>
          </cell>
          <cell r="I433">
            <v>600</v>
          </cell>
        </row>
        <row r="434">
          <cell r="C434" t="str">
            <v>99.2447</v>
          </cell>
          <cell r="D434" t="str">
            <v>1,26 x 0,92 m - guarda corpo de aluminio pintura eletrostática cor branca, vidro verde, conforme o projeto de detalhamento 256-psg-pe-001-terr</v>
          </cell>
          <cell r="E434" t="str">
            <v>MAT.</v>
          </cell>
          <cell r="F434" t="str">
            <v>un</v>
          </cell>
          <cell r="G434">
            <v>1</v>
          </cell>
          <cell r="H434">
            <v>150</v>
          </cell>
          <cell r="I434">
            <v>150</v>
          </cell>
        </row>
        <row r="435">
          <cell r="C435" t="str">
            <v>15.01.02.01</v>
          </cell>
          <cell r="D435" t="str">
            <v>Estrutura metálica auxiliar para caixilho</v>
          </cell>
          <cell r="E435" t="str">
            <v xml:space="preserve">SER.CG </v>
          </cell>
          <cell r="F435" t="str">
            <v>vb</v>
          </cell>
          <cell r="G435">
            <v>1</v>
          </cell>
          <cell r="H435">
            <v>50000</v>
          </cell>
          <cell r="I435">
            <v>50000</v>
          </cell>
        </row>
        <row r="436">
          <cell r="C436" t="str">
            <v>99.2452</v>
          </cell>
          <cell r="D436" t="str">
            <v>Estrutura metálica auxiliar para caixilho</v>
          </cell>
          <cell r="E436" t="str">
            <v>MAT.</v>
          </cell>
          <cell r="F436" t="str">
            <v>vb</v>
          </cell>
          <cell r="G436">
            <v>1</v>
          </cell>
          <cell r="H436">
            <v>50000</v>
          </cell>
          <cell r="I436">
            <v>50000</v>
          </cell>
        </row>
        <row r="437">
          <cell r="C437" t="str">
            <v>15.01.03.01</v>
          </cell>
          <cell r="D437" t="str">
            <v>Automação para portas de entrada da recepção</v>
          </cell>
          <cell r="E437" t="str">
            <v xml:space="preserve">SER.CG </v>
          </cell>
          <cell r="F437" t="str">
            <v xml:space="preserve">un </v>
          </cell>
          <cell r="G437">
            <v>2</v>
          </cell>
          <cell r="H437">
            <v>16000</v>
          </cell>
          <cell r="I437">
            <v>32000</v>
          </cell>
        </row>
        <row r="438">
          <cell r="C438" t="str">
            <v>99.2452</v>
          </cell>
          <cell r="D438" t="str">
            <v>Automação para portas de entrada da recepção</v>
          </cell>
          <cell r="E438" t="str">
            <v>MAT.</v>
          </cell>
          <cell r="F438" t="str">
            <v>un</v>
          </cell>
          <cell r="G438">
            <v>1</v>
          </cell>
          <cell r="H438">
            <v>16000</v>
          </cell>
          <cell r="I438">
            <v>16000</v>
          </cell>
        </row>
        <row r="439">
          <cell r="C439" t="str">
            <v>16.02.01.01</v>
          </cell>
          <cell r="D439" t="str">
            <v>PCF-01 - 0,92 x 2,12 m - porta corta-fogo, de abrir, 1 folha, pintura esmalte sintético cor grafite acetinado, conforme projeto de detalhamento 256-arq-pe-420-serra-roo</v>
          </cell>
          <cell r="E439" t="str">
            <v xml:space="preserve">SER.CG </v>
          </cell>
          <cell r="F439" t="str">
            <v xml:space="preserve">un </v>
          </cell>
          <cell r="G439">
            <v>55</v>
          </cell>
          <cell r="H439">
            <v>345</v>
          </cell>
          <cell r="I439">
            <v>18975</v>
          </cell>
        </row>
        <row r="440">
          <cell r="C440" t="str">
            <v>4574</v>
          </cell>
          <cell r="D440" t="str">
            <v>MDO para Chumbamento dos Batentes</v>
          </cell>
          <cell r="E440" t="str">
            <v>M.O.</v>
          </cell>
          <cell r="F440" t="str">
            <v>un</v>
          </cell>
          <cell r="G440">
            <v>1</v>
          </cell>
          <cell r="H440">
            <v>60</v>
          </cell>
          <cell r="I440">
            <v>60</v>
          </cell>
        </row>
        <row r="441">
          <cell r="C441" t="str">
            <v>813</v>
          </cell>
          <cell r="D441" t="str">
            <v>Porta corta fogo P-90 0,90x2,10m</v>
          </cell>
          <cell r="E441" t="str">
            <v>MAT.</v>
          </cell>
          <cell r="F441" t="str">
            <v>un</v>
          </cell>
          <cell r="G441">
            <v>1</v>
          </cell>
          <cell r="H441">
            <v>285</v>
          </cell>
          <cell r="I441">
            <v>285</v>
          </cell>
        </row>
        <row r="442">
          <cell r="C442" t="str">
            <v>16.02.01.02</v>
          </cell>
          <cell r="D442" t="str">
            <v>Chumbamento de batente da porta corta fogo</v>
          </cell>
          <cell r="E442" t="str">
            <v xml:space="preserve">SER.CG </v>
          </cell>
          <cell r="F442" t="str">
            <v xml:space="preserve">un </v>
          </cell>
          <cell r="G442">
            <v>55</v>
          </cell>
          <cell r="H442">
            <v>44.72</v>
          </cell>
          <cell r="I442">
            <v>2459.6</v>
          </cell>
        </row>
        <row r="443">
          <cell r="C443" t="str">
            <v>4267</v>
          </cell>
          <cell r="D443" t="str">
            <v>Argamassa ensacada múltiplo uso (saco 40 kg)</v>
          </cell>
          <cell r="E443" t="str">
            <v>MAT.</v>
          </cell>
          <cell r="F443" t="str">
            <v>sc</v>
          </cell>
          <cell r="G443">
            <v>0.8</v>
          </cell>
          <cell r="H443">
            <v>5.9</v>
          </cell>
          <cell r="I443">
            <v>4.72</v>
          </cell>
        </row>
        <row r="444">
          <cell r="C444" t="str">
            <v>5426</v>
          </cell>
          <cell r="D444" t="str">
            <v>MDO para chumbamento de Batentes</v>
          </cell>
          <cell r="E444" t="str">
            <v>EMPRE</v>
          </cell>
          <cell r="F444" t="str">
            <v>um</v>
          </cell>
          <cell r="G444">
            <v>1</v>
          </cell>
          <cell r="H444">
            <v>40</v>
          </cell>
          <cell r="I444">
            <v>40</v>
          </cell>
        </row>
        <row r="445">
          <cell r="C445" t="str">
            <v>16.03.01.01</v>
          </cell>
          <cell r="D445" t="str">
            <v>Corrimão de ferro fixado em parede</v>
          </cell>
          <cell r="E445" t="str">
            <v xml:space="preserve">SER.CG </v>
          </cell>
          <cell r="F445" t="str">
            <v xml:space="preserve">m </v>
          </cell>
          <cell r="G445">
            <v>760</v>
          </cell>
          <cell r="H445">
            <v>32.5</v>
          </cell>
          <cell r="I445">
            <v>24700</v>
          </cell>
        </row>
        <row r="446">
          <cell r="C446" t="str">
            <v>293</v>
          </cell>
          <cell r="D446" t="str">
            <v>Corrimão de ferro Ø 1 1/2" fixado em parede</v>
          </cell>
          <cell r="E446" t="str">
            <v>EMPRE</v>
          </cell>
          <cell r="F446" t="str">
            <v>m</v>
          </cell>
          <cell r="G446">
            <v>1</v>
          </cell>
          <cell r="H446">
            <v>32.5</v>
          </cell>
          <cell r="I446">
            <v>32.5</v>
          </cell>
        </row>
        <row r="447">
          <cell r="C447" t="str">
            <v>16.03.02.01</v>
          </cell>
          <cell r="D447" t="str">
            <v>GCF-01 - 9,82 x 1,15 m - guarda-corpo de ferro, pintura esmalte sintético acetinado cor branca, conforme projeto de detalhamento 256-arq-pe-404-serra-roo</v>
          </cell>
          <cell r="E447" t="str">
            <v xml:space="preserve">SER.CG </v>
          </cell>
          <cell r="F447" t="str">
            <v xml:space="preserve">un </v>
          </cell>
          <cell r="G447">
            <v>4</v>
          </cell>
          <cell r="H447">
            <v>1380</v>
          </cell>
          <cell r="I447">
            <v>5520</v>
          </cell>
        </row>
        <row r="448">
          <cell r="C448" t="str">
            <v>99.2453</v>
          </cell>
          <cell r="D448" t="str">
            <v>9,82 x 1,15 m - guarda-corpo de ferro, pintura esmalte sintético acetinado cor branca, conforme projeto de detalhamento 256-arq-pe-404-serra-roo</v>
          </cell>
          <cell r="E448" t="str">
            <v>EMPRE</v>
          </cell>
          <cell r="F448" t="str">
            <v>un</v>
          </cell>
          <cell r="G448">
            <v>1</v>
          </cell>
          <cell r="H448">
            <v>1380</v>
          </cell>
          <cell r="I448">
            <v>1380</v>
          </cell>
        </row>
        <row r="449">
          <cell r="C449" t="str">
            <v>16.03.02.02</v>
          </cell>
          <cell r="D449" t="str">
            <v>GCF-02 - 5,48 x 1,15 m - guarda-corpo de ferro, pintura esmalte sintético acetinado cor branca, conforme projeto de detalhamento 256-arq-pe-405-serra-roo</v>
          </cell>
          <cell r="E449" t="str">
            <v xml:space="preserve">SER.CG </v>
          </cell>
          <cell r="F449" t="str">
            <v xml:space="preserve">un </v>
          </cell>
          <cell r="G449">
            <v>52</v>
          </cell>
          <cell r="H449">
            <v>760</v>
          </cell>
          <cell r="I449">
            <v>39520</v>
          </cell>
        </row>
        <row r="450">
          <cell r="C450" t="str">
            <v>99.2454</v>
          </cell>
          <cell r="D450" t="str">
            <v>5,48 x 1,15 m - guarda-corpo de ferro, pintura esmalte sintético acetinado cor branca, conforme projeto de detalhamento 256-arq-pe-405-serra-roo</v>
          </cell>
          <cell r="E450" t="str">
            <v>EMPRE</v>
          </cell>
          <cell r="F450" t="str">
            <v>un</v>
          </cell>
          <cell r="G450">
            <v>1</v>
          </cell>
          <cell r="H450">
            <v>760</v>
          </cell>
          <cell r="I450">
            <v>760</v>
          </cell>
        </row>
        <row r="451">
          <cell r="C451" t="str">
            <v>16.03.02.03</v>
          </cell>
          <cell r="D451" t="str">
            <v>GCF-03 - 10,31 x 1,15 m - guarda-corpo de ferro, pintura esmalte sintético acetinado cor branca, conforme projeto de detalhamento 256-arq-pe-406-serra-roo</v>
          </cell>
          <cell r="E451" t="str">
            <v xml:space="preserve">SER.CG </v>
          </cell>
          <cell r="F451" t="str">
            <v xml:space="preserve">un </v>
          </cell>
          <cell r="G451">
            <v>16</v>
          </cell>
          <cell r="H451">
            <v>1450</v>
          </cell>
          <cell r="I451">
            <v>23200</v>
          </cell>
        </row>
        <row r="452">
          <cell r="C452" t="str">
            <v>99.2455</v>
          </cell>
          <cell r="D452" t="str">
            <v>10,31 x 1,15 m - guarda-corpo de ferro, pintura esmalte sintético acetinado cor branca, conforme projeto de detalhamento 256-arq-pe-406-serra-roo</v>
          </cell>
          <cell r="E452" t="str">
            <v>EMPRE</v>
          </cell>
          <cell r="F452" t="str">
            <v>un</v>
          </cell>
          <cell r="G452">
            <v>1</v>
          </cell>
          <cell r="H452">
            <v>1450</v>
          </cell>
          <cell r="I452">
            <v>1450</v>
          </cell>
        </row>
        <row r="453">
          <cell r="C453" t="str">
            <v>16.03.02.04</v>
          </cell>
          <cell r="D453" t="str">
            <v>GCF-04 - 4,32 x 1,15 m - guarda-corpo de ferro, pintura esmalte sintético acetinado cor branca, conforme projeto de detalhamento 256-arq-pe-407-serra-roo</v>
          </cell>
          <cell r="E453" t="str">
            <v xml:space="preserve">SER.CG </v>
          </cell>
          <cell r="F453" t="str">
            <v xml:space="preserve">un </v>
          </cell>
          <cell r="G453">
            <v>64</v>
          </cell>
          <cell r="H453">
            <v>600</v>
          </cell>
          <cell r="I453">
            <v>38400</v>
          </cell>
        </row>
        <row r="454">
          <cell r="C454" t="str">
            <v>99.2456</v>
          </cell>
          <cell r="D454" t="str">
            <v>4,32 x 1,15 m - guarda-corpo de ferro, pintura esmalte sintético acetinado cor branca, conforme projeto de detalhamento 256-arq-pe-407-serra-roo</v>
          </cell>
          <cell r="E454" t="str">
            <v>EMPRE</v>
          </cell>
          <cell r="F454" t="str">
            <v>un</v>
          </cell>
          <cell r="G454">
            <v>1</v>
          </cell>
          <cell r="H454">
            <v>600</v>
          </cell>
          <cell r="I454">
            <v>600</v>
          </cell>
        </row>
        <row r="455">
          <cell r="C455" t="str">
            <v>16.03.02.05</v>
          </cell>
          <cell r="D455" t="str">
            <v>GCF-05 - 5,7 x 1,15 m - guarda-corpo de ferro, pintura esmalte sintético acetinado cor branca, conforme projeto de detalhamento 256-arq-pe-408-serra-roo</v>
          </cell>
          <cell r="E455" t="str">
            <v xml:space="preserve">SER.CG </v>
          </cell>
          <cell r="F455" t="str">
            <v xml:space="preserve">un </v>
          </cell>
          <cell r="G455">
            <v>5</v>
          </cell>
          <cell r="H455">
            <v>790</v>
          </cell>
          <cell r="I455">
            <v>3950</v>
          </cell>
        </row>
        <row r="456">
          <cell r="C456" t="str">
            <v>99.2457</v>
          </cell>
          <cell r="D456" t="str">
            <v>5,7 x 1,15 m - guarda-corpo de ferro, pintura esmalte sintético acetinado cor branca, conforme projeto de detalhamento 256-arq-pe-408-serra-roo</v>
          </cell>
          <cell r="E456" t="str">
            <v>EMPRE</v>
          </cell>
          <cell r="F456" t="str">
            <v>un</v>
          </cell>
          <cell r="G456">
            <v>1</v>
          </cell>
          <cell r="H456">
            <v>790</v>
          </cell>
          <cell r="I456">
            <v>790</v>
          </cell>
        </row>
        <row r="457">
          <cell r="C457" t="str">
            <v>16.03.02.06</v>
          </cell>
          <cell r="D457" t="str">
            <v>GCF-06 - 6,13 x 1,15 m - guarda-corpo de ferro, pintura esmalte sintético acetinado cor branca, conforme projeto de detalhamento 256-arq-pe-409-serra-roo</v>
          </cell>
          <cell r="E457" t="str">
            <v xml:space="preserve">SER.CG </v>
          </cell>
          <cell r="F457" t="str">
            <v xml:space="preserve">un </v>
          </cell>
          <cell r="G457">
            <v>4</v>
          </cell>
          <cell r="H457">
            <v>850</v>
          </cell>
          <cell r="I457">
            <v>3400</v>
          </cell>
        </row>
        <row r="458">
          <cell r="C458" t="str">
            <v>99.2458</v>
          </cell>
          <cell r="D458" t="str">
            <v>GCF-06 - 6,13 x 1,15 m - guarda-corpo de ferro, pintura esmalte sintético acetinado cor branca, conforme projeto de detalhamento 256-arq-pe-409-serra-roo</v>
          </cell>
          <cell r="E458" t="str">
            <v>EMPRE</v>
          </cell>
          <cell r="F458" t="str">
            <v>un</v>
          </cell>
          <cell r="G458">
            <v>1</v>
          </cell>
          <cell r="H458">
            <v>850</v>
          </cell>
          <cell r="I458">
            <v>850</v>
          </cell>
        </row>
        <row r="459">
          <cell r="C459" t="str">
            <v>16.03.02.07</v>
          </cell>
          <cell r="D459" t="str">
            <v>GCF-07 - 7,355 x 1,15 m - guarda-corpo de ferro, pintura esmalte sintético acetinado cor branca, conforme projeto de detalhamento 256-arq-pe-410-serra-roo</v>
          </cell>
          <cell r="E459" t="str">
            <v xml:space="preserve">SER.CG </v>
          </cell>
          <cell r="F459" t="str">
            <v xml:space="preserve">un </v>
          </cell>
          <cell r="G459">
            <v>4</v>
          </cell>
          <cell r="H459">
            <v>750</v>
          </cell>
          <cell r="I459">
            <v>3000</v>
          </cell>
        </row>
        <row r="460">
          <cell r="C460" t="str">
            <v>99.2459</v>
          </cell>
          <cell r="D460" t="str">
            <v>7,355 x 1,15 m - guarda-corpo de ferro, pintura esmalte sintético acetinado cor branca, conforme projeto de detalhamento 256-arq-pe-410-serra-roo</v>
          </cell>
          <cell r="E460" t="str">
            <v>EMPRE</v>
          </cell>
          <cell r="F460" t="str">
            <v>un</v>
          </cell>
          <cell r="G460">
            <v>1</v>
          </cell>
          <cell r="H460">
            <v>750</v>
          </cell>
          <cell r="I460">
            <v>750</v>
          </cell>
        </row>
        <row r="461">
          <cell r="C461" t="str">
            <v>16.03.02.08</v>
          </cell>
          <cell r="D461" t="str">
            <v>GCF-08 - 9,03 x 1,15 m - guarda-corpo de ferro, pintura esmalte sintético acetinado cor branca, conforme projeto de detalhamento 256-arq-pe-411-serra-roo</v>
          </cell>
          <cell r="E461" t="str">
            <v xml:space="preserve">SER.CG </v>
          </cell>
          <cell r="F461" t="str">
            <v xml:space="preserve">un </v>
          </cell>
          <cell r="G461">
            <v>2</v>
          </cell>
          <cell r="H461">
            <v>1900</v>
          </cell>
          <cell r="I461">
            <v>3800</v>
          </cell>
        </row>
        <row r="462">
          <cell r="C462" t="str">
            <v>99.2460</v>
          </cell>
          <cell r="D462" t="str">
            <v>9,03 x 1,15 m - guarda-corpo de ferro, pintura esmalte sintético acetinado cor branca, conforme projeto de detalhamento 256-arq-pe-411-serra-roo</v>
          </cell>
          <cell r="E462" t="str">
            <v>EMPRE</v>
          </cell>
          <cell r="F462" t="str">
            <v>un</v>
          </cell>
          <cell r="G462">
            <v>1</v>
          </cell>
          <cell r="H462">
            <v>1900</v>
          </cell>
          <cell r="I462">
            <v>1900</v>
          </cell>
        </row>
        <row r="463">
          <cell r="C463" t="str">
            <v>16.03.02.09</v>
          </cell>
          <cell r="D463" t="str">
            <v>GCF-09 - 4,42 x 1,15 m - guarda-corpo de ferro, pintura esmalte sintético acetinado cor branca, conforme projeto de detalhamento 256-arq-pe-412-serra-roo</v>
          </cell>
          <cell r="E463" t="str">
            <v xml:space="preserve">SER.CG </v>
          </cell>
          <cell r="F463" t="str">
            <v xml:space="preserve">un </v>
          </cell>
          <cell r="G463">
            <v>2</v>
          </cell>
          <cell r="H463">
            <v>670</v>
          </cell>
          <cell r="I463">
            <v>1340</v>
          </cell>
        </row>
        <row r="464">
          <cell r="C464" t="str">
            <v>99.2461</v>
          </cell>
          <cell r="D464" t="str">
            <v>GCF-09 - 4,42 x 1,15 m - guarda-corpo de ferro, pintura esmalte sintético acetinado cor branca, conforme projeto de detalhamento 256-arq-pe-412-serra-roo</v>
          </cell>
          <cell r="E464" t="str">
            <v>EMPRE</v>
          </cell>
          <cell r="F464" t="str">
            <v>un</v>
          </cell>
          <cell r="G464">
            <v>1</v>
          </cell>
          <cell r="H464">
            <v>670</v>
          </cell>
          <cell r="I464">
            <v>670</v>
          </cell>
        </row>
        <row r="465">
          <cell r="C465" t="str">
            <v>16.03.02.10</v>
          </cell>
          <cell r="D465" t="str">
            <v>GCF-10 - 7,56 x 1,15 m - guarda-corpo de ferro, pintura esmalte sintético acetinado cor branca, conforme projeto de detalhamento 256-arq-pe-413-serra-roo</v>
          </cell>
          <cell r="E465" t="str">
            <v xml:space="preserve">SER.CG </v>
          </cell>
          <cell r="F465" t="str">
            <v xml:space="preserve">un </v>
          </cell>
          <cell r="G465">
            <v>2</v>
          </cell>
          <cell r="H465">
            <v>1050</v>
          </cell>
          <cell r="I465">
            <v>2100</v>
          </cell>
        </row>
        <row r="466">
          <cell r="C466" t="str">
            <v>99.2462</v>
          </cell>
          <cell r="D466" t="str">
            <v>7,56 x 1,15 m - guarda-corpo de ferro, pintura esmalte sintético acetinado cor branca, conforme projeto de detalhamento 256-arq-pe-413-serra-roo</v>
          </cell>
          <cell r="E466" t="str">
            <v>EMPRE</v>
          </cell>
          <cell r="F466" t="str">
            <v>un</v>
          </cell>
          <cell r="G466">
            <v>1</v>
          </cell>
          <cell r="H466">
            <v>1050</v>
          </cell>
          <cell r="I466">
            <v>1050</v>
          </cell>
        </row>
        <row r="467">
          <cell r="C467" t="str">
            <v>16.03.02.11</v>
          </cell>
          <cell r="D467" t="str">
            <v>GCF-11 - 5,13 x 1,15 m - guarda-corpo de ferro, pintura esmalte sintético acetinado cor branca, conforme projeto de detalhamento 256-arq-pe-414-serra-roo</v>
          </cell>
          <cell r="E467" t="str">
            <v xml:space="preserve">SER.CG </v>
          </cell>
          <cell r="F467" t="str">
            <v xml:space="preserve">un </v>
          </cell>
          <cell r="G467">
            <v>1</v>
          </cell>
          <cell r="H467">
            <v>700</v>
          </cell>
          <cell r="I467">
            <v>700</v>
          </cell>
        </row>
        <row r="468">
          <cell r="C468" t="str">
            <v>99.2463</v>
          </cell>
          <cell r="D468" t="str">
            <v>5,13 x 1,15 m - guarda-corpo de ferro, pintura esmalte sintético acetinado cor branca, conforme projeto de detalhamento 256-arq-pe-414-serra-roo</v>
          </cell>
          <cell r="E468" t="str">
            <v>EMPRE</v>
          </cell>
          <cell r="F468" t="str">
            <v>un</v>
          </cell>
          <cell r="G468">
            <v>1</v>
          </cell>
          <cell r="H468">
            <v>700</v>
          </cell>
          <cell r="I468">
            <v>700</v>
          </cell>
        </row>
        <row r="469">
          <cell r="C469" t="str">
            <v>16.03.02.12</v>
          </cell>
          <cell r="D469" t="str">
            <v>GCF-11A - 5,33 x 1,15 m - guarda-corpo de ferro, pintura esmalte sintético acetinado cor branca, conforme projeto de detalhamento 256-arq-pe-415-serra-roo</v>
          </cell>
          <cell r="E469" t="str">
            <v xml:space="preserve">SER.CG </v>
          </cell>
          <cell r="F469" t="str">
            <v xml:space="preserve">un </v>
          </cell>
          <cell r="G469">
            <v>1</v>
          </cell>
          <cell r="H469">
            <v>735</v>
          </cell>
          <cell r="I469">
            <v>735</v>
          </cell>
        </row>
        <row r="470">
          <cell r="C470" t="str">
            <v>99.2464</v>
          </cell>
          <cell r="D470" t="str">
            <v>5,33 x 1,15 m - guarda-corpo de ferro, pintura esmalte sintético acetinado cor branca, conforme projeto de detalhamento 256-arq-pe-415-serra-roo</v>
          </cell>
          <cell r="E470" t="str">
            <v>EMPRE</v>
          </cell>
          <cell r="F470" t="str">
            <v>un</v>
          </cell>
          <cell r="G470">
            <v>1</v>
          </cell>
          <cell r="H470">
            <v>735</v>
          </cell>
          <cell r="I470">
            <v>735</v>
          </cell>
        </row>
        <row r="471">
          <cell r="C471" t="str">
            <v>16.03.02.13</v>
          </cell>
          <cell r="D471" t="str">
            <v>GCF-12 - 4,84 x 1,15 m - guarda-corpo de ferro, pintura esmalte sintético acetinado cor branca, conforme projeto de detalhamento 256-arq-pe-416-serra-roo</v>
          </cell>
          <cell r="E471" t="str">
            <v xml:space="preserve">SER.CG </v>
          </cell>
          <cell r="F471" t="str">
            <v xml:space="preserve">un </v>
          </cell>
          <cell r="G471">
            <v>1</v>
          </cell>
          <cell r="H471">
            <v>670</v>
          </cell>
          <cell r="I471">
            <v>670</v>
          </cell>
        </row>
        <row r="472">
          <cell r="C472" t="str">
            <v>99.2465</v>
          </cell>
          <cell r="D472" t="str">
            <v>4,84 x 1,15 m - guarda-corpo de ferro, pintura esmalte sintético acetinado cor branca, conforme projeto de detalhamento 256-arq-pe-416-serra-roo</v>
          </cell>
          <cell r="E472" t="str">
            <v>EMPRE</v>
          </cell>
          <cell r="F472" t="str">
            <v>un</v>
          </cell>
          <cell r="G472">
            <v>1</v>
          </cell>
          <cell r="H472">
            <v>670</v>
          </cell>
          <cell r="I472">
            <v>670</v>
          </cell>
        </row>
        <row r="473">
          <cell r="C473" t="str">
            <v>16.03.02.14</v>
          </cell>
          <cell r="D473" t="str">
            <v>GCF-13 - 1,39 x 1,15 m - guarda-corpo de ferro, pintura esmalte sintético acetinado cor branca, conforme projeto de detalhamento 256-arq-pe-417-serra-roo</v>
          </cell>
          <cell r="E473" t="str">
            <v xml:space="preserve">SER.CG </v>
          </cell>
          <cell r="F473" t="str">
            <v xml:space="preserve">un </v>
          </cell>
          <cell r="G473">
            <v>1</v>
          </cell>
          <cell r="H473">
            <v>200</v>
          </cell>
          <cell r="I473">
            <v>200</v>
          </cell>
        </row>
        <row r="474">
          <cell r="C474" t="str">
            <v>99.2466</v>
          </cell>
          <cell r="D474" t="str">
            <v>1,39 x 1,15 m - guarda-corpo de ferro, pintura esmalte sintético acetinado cor branca, conforme projeto de detalhamento 256-arq-pe-417-serra-roo</v>
          </cell>
          <cell r="E474" t="str">
            <v>EMPRE</v>
          </cell>
          <cell r="F474" t="str">
            <v>un</v>
          </cell>
          <cell r="G474">
            <v>1</v>
          </cell>
          <cell r="H474">
            <v>200</v>
          </cell>
          <cell r="I474">
            <v>200</v>
          </cell>
        </row>
        <row r="475">
          <cell r="C475" t="str">
            <v>16.03.03.01</v>
          </cell>
          <cell r="D475" t="str">
            <v>PF-01 - 0,92 x 2,1 m - porta de ferro, de abrir, 1 folha, pintura esmalte sintético cor grafite acetinado, conforme projeto de detalhamento 256-arq-pe-421-serra-roo</v>
          </cell>
          <cell r="E475" t="str">
            <v xml:space="preserve">SER.CG </v>
          </cell>
          <cell r="F475" t="str">
            <v xml:space="preserve">un </v>
          </cell>
          <cell r="G475">
            <v>1</v>
          </cell>
          <cell r="H475">
            <v>580</v>
          </cell>
          <cell r="I475">
            <v>580</v>
          </cell>
        </row>
        <row r="476">
          <cell r="C476" t="str">
            <v>99.2467</v>
          </cell>
          <cell r="D476" t="str">
            <v>0,92 x 2,1 m - porta de ferro, de abrir, 1 folha, pintura esmalte sintético cor grafite acetinado, conforme projeto de detalhamento 256-arq-pe-421-serra-roo</v>
          </cell>
          <cell r="E476" t="str">
            <v>MAT.</v>
          </cell>
          <cell r="F476" t="str">
            <v>un</v>
          </cell>
          <cell r="G476">
            <v>1</v>
          </cell>
          <cell r="H476">
            <v>580</v>
          </cell>
          <cell r="I476">
            <v>580</v>
          </cell>
        </row>
        <row r="477">
          <cell r="C477" t="str">
            <v>16.03.03.02</v>
          </cell>
          <cell r="D477" t="str">
            <v>GRA-01 - 6,99 x 2,9 m - gradil de ferro c/ pintura esmalte simtetico acetinado cor branca, conforme o projeto de detalhamento fl 256-psg-pe-001-terr</v>
          </cell>
          <cell r="E477" t="str">
            <v xml:space="preserve">SER.CG </v>
          </cell>
          <cell r="F477" t="str">
            <v xml:space="preserve">un </v>
          </cell>
          <cell r="G477">
            <v>4</v>
          </cell>
          <cell r="H477">
            <v>7095</v>
          </cell>
          <cell r="I477">
            <v>28380</v>
          </cell>
        </row>
        <row r="478">
          <cell r="C478" t="str">
            <v>99.2468</v>
          </cell>
          <cell r="D478" t="str">
            <v>6,99 x 2,9 m - gradil de ferro - c/ pintura esmalte simtetico acetinado cor branca , conforme o projeto de detalhamento fl 256-psg-pe-001-terr</v>
          </cell>
          <cell r="E478" t="str">
            <v>MAT.</v>
          </cell>
          <cell r="F478" t="str">
            <v>un</v>
          </cell>
          <cell r="G478">
            <v>1</v>
          </cell>
          <cell r="H478">
            <v>7095</v>
          </cell>
          <cell r="I478">
            <v>7095</v>
          </cell>
        </row>
        <row r="479">
          <cell r="C479" t="str">
            <v>16.03.03.03</v>
          </cell>
          <cell r="D479" t="str">
            <v>Gradil externo - alt. 1,20 m - rampas e escadas</v>
          </cell>
          <cell r="E479" t="str">
            <v xml:space="preserve">SER.CG </v>
          </cell>
          <cell r="F479" t="str">
            <v xml:space="preserve">m </v>
          </cell>
          <cell r="G479">
            <v>45</v>
          </cell>
          <cell r="H479">
            <v>225</v>
          </cell>
          <cell r="I479">
            <v>10125</v>
          </cell>
        </row>
        <row r="480">
          <cell r="C480" t="str">
            <v>99.2469</v>
          </cell>
          <cell r="D480" t="str">
            <v>Gradil externo - alt. 1,20 m - rampas e escadas</v>
          </cell>
          <cell r="E480" t="str">
            <v>EMPRE</v>
          </cell>
          <cell r="F480" t="str">
            <v>m</v>
          </cell>
          <cell r="G480">
            <v>1</v>
          </cell>
          <cell r="H480">
            <v>225</v>
          </cell>
          <cell r="I480">
            <v>225</v>
          </cell>
        </row>
        <row r="481">
          <cell r="C481" t="str">
            <v>16.03.03.04</v>
          </cell>
          <cell r="D481" t="str">
            <v>POF-02 - 5,5 x 3,77 m - portão de ferro de enrolar c/ acionamento automático</v>
          </cell>
          <cell r="E481" t="str">
            <v xml:space="preserve">SER.CG </v>
          </cell>
          <cell r="F481" t="str">
            <v xml:space="preserve">un </v>
          </cell>
          <cell r="G481">
            <v>1</v>
          </cell>
          <cell r="H481">
            <v>7500</v>
          </cell>
          <cell r="I481">
            <v>7500</v>
          </cell>
        </row>
        <row r="482">
          <cell r="C482" t="str">
            <v>99.2440</v>
          </cell>
          <cell r="D482" t="str">
            <v>POF-02 - 5,5 x 3,77 m - portão de ferro de enrolar c/ acionamento automático</v>
          </cell>
          <cell r="E482" t="str">
            <v>MAT.</v>
          </cell>
          <cell r="F482" t="str">
            <v>un</v>
          </cell>
          <cell r="G482">
            <v>1</v>
          </cell>
          <cell r="H482">
            <v>7500</v>
          </cell>
          <cell r="I482">
            <v>7500</v>
          </cell>
        </row>
        <row r="483">
          <cell r="C483" t="str">
            <v>16.03.03.05</v>
          </cell>
          <cell r="D483" t="str">
            <v>Chumbamento de esquadrias de ferro</v>
          </cell>
          <cell r="E483" t="str">
            <v xml:space="preserve">SER.CG </v>
          </cell>
          <cell r="F483" t="str">
            <v>m2</v>
          </cell>
          <cell r="G483">
            <v>158</v>
          </cell>
          <cell r="H483">
            <v>19</v>
          </cell>
          <cell r="I483">
            <v>3002</v>
          </cell>
        </row>
        <row r="484">
          <cell r="C484" t="str">
            <v>99.2440</v>
          </cell>
          <cell r="D484" t="str">
            <v>Chumbamento de esquadrias de ferro</v>
          </cell>
          <cell r="E484" t="str">
            <v>MAT.</v>
          </cell>
          <cell r="F484" t="str">
            <v>m2</v>
          </cell>
          <cell r="G484">
            <v>1</v>
          </cell>
          <cell r="H484">
            <v>19</v>
          </cell>
          <cell r="I484">
            <v>19</v>
          </cell>
        </row>
        <row r="485">
          <cell r="C485" t="str">
            <v>16.03.04.01</v>
          </cell>
          <cell r="D485" t="str">
            <v>AF-01 - 1 x 0,6 m - alçapão de ferro, pintura esmalte sintético cor grafite acetinado, conforme projeto de detalhamento 256-arq-pe-422-serra-roo</v>
          </cell>
          <cell r="E485" t="str">
            <v xml:space="preserve">SER.CG </v>
          </cell>
          <cell r="F485" t="str">
            <v xml:space="preserve">un </v>
          </cell>
          <cell r="G485">
            <v>2</v>
          </cell>
          <cell r="H485">
            <v>260</v>
          </cell>
          <cell r="I485">
            <v>520</v>
          </cell>
        </row>
        <row r="486">
          <cell r="C486" t="str">
            <v>99.2470</v>
          </cell>
          <cell r="D486" t="str">
            <v>1 x 0,6 m - alçapão de ferro, pintura esmalte sintético cor grafite acetinado, conforme projeto de detalhamento 256-arq-pe-422-serra-roo</v>
          </cell>
          <cell r="E486" t="str">
            <v>MAT.</v>
          </cell>
          <cell r="F486" t="str">
            <v>un</v>
          </cell>
          <cell r="G486">
            <v>1</v>
          </cell>
          <cell r="H486">
            <v>260</v>
          </cell>
          <cell r="I486">
            <v>260</v>
          </cell>
        </row>
        <row r="487">
          <cell r="C487" t="str">
            <v>16.03.04.02</v>
          </cell>
          <cell r="D487" t="str">
            <v>AF-02 - 2 x 1,3 m - alçapão de ferro, pintura esmalte sintético cor grafite acetinado, conforme projeto de detalhamento 256-arq-pe-423-serra-roo</v>
          </cell>
          <cell r="E487" t="str">
            <v xml:space="preserve">SER.CG </v>
          </cell>
          <cell r="F487" t="str">
            <v xml:space="preserve">un </v>
          </cell>
          <cell r="G487">
            <v>1</v>
          </cell>
          <cell r="H487">
            <v>850</v>
          </cell>
          <cell r="I487">
            <v>850</v>
          </cell>
        </row>
        <row r="488">
          <cell r="C488" t="str">
            <v>99.2471</v>
          </cell>
          <cell r="D488" t="str">
            <v>2 x 1,3 m - alçapão de ferro, pintura esmalte sintético cor grafite acetinado, conforme projeto de detalhamento 256-arq-pe-423-serra-roo</v>
          </cell>
          <cell r="E488" t="str">
            <v>MAT.</v>
          </cell>
          <cell r="F488" t="str">
            <v>un</v>
          </cell>
          <cell r="G488">
            <v>1</v>
          </cell>
          <cell r="H488">
            <v>850</v>
          </cell>
          <cell r="I488">
            <v>850</v>
          </cell>
        </row>
        <row r="489">
          <cell r="C489" t="str">
            <v>16.03.05.01</v>
          </cell>
          <cell r="D489" t="str">
            <v>EF-02 - 3,6 x 1 m - escada marinheiro de ferro com guarda-corpo, pintura esmalte sintético cor grafite acetinado, conforme projeto de detalhamento fl. 256-arq-pe-424-serra-r00</v>
          </cell>
          <cell r="E489" t="str">
            <v xml:space="preserve">SER.CG </v>
          </cell>
          <cell r="F489" t="str">
            <v xml:space="preserve">un </v>
          </cell>
          <cell r="G489">
            <v>1</v>
          </cell>
          <cell r="H489">
            <v>1050</v>
          </cell>
          <cell r="I489">
            <v>1050</v>
          </cell>
        </row>
        <row r="490">
          <cell r="C490" t="str">
            <v>99.2472</v>
          </cell>
          <cell r="D490" t="str">
            <v>3,6 x 1 m - escada marinheiro de ferro com guarda-corpo, pintura esmalte sintético cor grafite acetinado, conforme projeto de detalhamento fl. 256-arq-pe-424-serra-r00</v>
          </cell>
          <cell r="E490" t="str">
            <v>EMPRE</v>
          </cell>
          <cell r="F490" t="str">
            <v>un</v>
          </cell>
          <cell r="G490">
            <v>1</v>
          </cell>
          <cell r="H490">
            <v>1050</v>
          </cell>
          <cell r="I490">
            <v>1050</v>
          </cell>
        </row>
        <row r="491">
          <cell r="C491" t="str">
            <v>16.03.06.01</v>
          </cell>
          <cell r="D491" t="str">
            <v>Grelha para canaleta l=0,30m</v>
          </cell>
          <cell r="E491" t="str">
            <v xml:space="preserve">SER.CG </v>
          </cell>
          <cell r="F491" t="str">
            <v xml:space="preserve">m </v>
          </cell>
          <cell r="G491">
            <v>10</v>
          </cell>
          <cell r="H491">
            <v>140</v>
          </cell>
          <cell r="I491">
            <v>1400</v>
          </cell>
        </row>
        <row r="492">
          <cell r="C492" t="str">
            <v>99.1351</v>
          </cell>
          <cell r="D492" t="str">
            <v>Grelha para ventilação l=0,30m</v>
          </cell>
          <cell r="E492" t="str">
            <v>EMPRE</v>
          </cell>
          <cell r="F492" t="str">
            <v>m</v>
          </cell>
          <cell r="G492">
            <v>1</v>
          </cell>
          <cell r="H492">
            <v>140</v>
          </cell>
          <cell r="I492">
            <v>140</v>
          </cell>
        </row>
        <row r="493">
          <cell r="C493" t="str">
            <v>16.03.06.04</v>
          </cell>
          <cell r="D493" t="str">
            <v>GRE-01 - 3 x 1,4 m - grelha de ferro</v>
          </cell>
          <cell r="E493" t="str">
            <v xml:space="preserve">SER.CG </v>
          </cell>
          <cell r="F493" t="str">
            <v xml:space="preserve">un </v>
          </cell>
          <cell r="G493">
            <v>2</v>
          </cell>
          <cell r="H493">
            <v>1470</v>
          </cell>
          <cell r="I493">
            <v>2940</v>
          </cell>
        </row>
        <row r="494">
          <cell r="C494" t="str">
            <v>99.2344</v>
          </cell>
          <cell r="D494" t="str">
            <v>Grelha metálica para ventilação l=0,50m</v>
          </cell>
          <cell r="E494" t="str">
            <v>EMPRE</v>
          </cell>
          <cell r="F494" t="str">
            <v>m</v>
          </cell>
          <cell r="G494">
            <v>1</v>
          </cell>
          <cell r="H494">
            <v>1470</v>
          </cell>
          <cell r="I494">
            <v>1470</v>
          </cell>
        </row>
        <row r="495">
          <cell r="C495" t="str">
            <v>16.03.06.05</v>
          </cell>
          <cell r="D495" t="str">
            <v>Grelha para ventilação permanente larg. 60 cm</v>
          </cell>
          <cell r="E495" t="str">
            <v xml:space="preserve">SER.CG </v>
          </cell>
          <cell r="F495" t="str">
            <v xml:space="preserve">m </v>
          </cell>
          <cell r="G495">
            <v>132</v>
          </cell>
          <cell r="H495">
            <v>265</v>
          </cell>
          <cell r="I495">
            <v>34980</v>
          </cell>
        </row>
        <row r="496">
          <cell r="C496" t="str">
            <v>99.2344</v>
          </cell>
          <cell r="D496" t="str">
            <v>Grelha metálica para ventilação l=0,50m</v>
          </cell>
          <cell r="E496" t="str">
            <v>EMPRE</v>
          </cell>
          <cell r="F496" t="str">
            <v>m</v>
          </cell>
          <cell r="G496">
            <v>1</v>
          </cell>
          <cell r="H496">
            <v>265</v>
          </cell>
          <cell r="I496">
            <v>265</v>
          </cell>
        </row>
        <row r="497">
          <cell r="C497" t="str">
            <v>16.03.06.06</v>
          </cell>
          <cell r="D497" t="str">
            <v>Grelha para ventilação permanente larg. 80 cm</v>
          </cell>
          <cell r="E497" t="str">
            <v xml:space="preserve">SER.CG </v>
          </cell>
          <cell r="F497" t="str">
            <v xml:space="preserve">m </v>
          </cell>
          <cell r="G497">
            <v>30</v>
          </cell>
          <cell r="H497">
            <v>280</v>
          </cell>
          <cell r="I497">
            <v>8400</v>
          </cell>
        </row>
        <row r="498">
          <cell r="C498" t="str">
            <v>99.2344</v>
          </cell>
          <cell r="D498" t="str">
            <v>Grelha metálica para ventilação l=0,50m</v>
          </cell>
          <cell r="E498" t="str">
            <v>EMPRE</v>
          </cell>
          <cell r="F498" t="str">
            <v>m</v>
          </cell>
          <cell r="G498">
            <v>1</v>
          </cell>
          <cell r="H498">
            <v>280</v>
          </cell>
          <cell r="I498">
            <v>280</v>
          </cell>
        </row>
        <row r="499">
          <cell r="C499" t="str">
            <v>16.03.06.07</v>
          </cell>
          <cell r="D499" t="str">
            <v>Chumbamento de grelha metálicas</v>
          </cell>
          <cell r="E499" t="str">
            <v xml:space="preserve">SER.CG </v>
          </cell>
          <cell r="F499" t="str">
            <v>m2</v>
          </cell>
          <cell r="G499">
            <v>115</v>
          </cell>
          <cell r="H499">
            <v>23.5</v>
          </cell>
          <cell r="I499">
            <v>2702.5</v>
          </cell>
        </row>
        <row r="500">
          <cell r="C500" t="str">
            <v>99.2344</v>
          </cell>
          <cell r="D500" t="str">
            <v>Chumbamento de grelha metálicas</v>
          </cell>
          <cell r="E500" t="str">
            <v>EMPRE</v>
          </cell>
          <cell r="F500" t="str">
            <v>m2</v>
          </cell>
          <cell r="G500">
            <v>1</v>
          </cell>
          <cell r="H500">
            <v>23.5</v>
          </cell>
          <cell r="I500">
            <v>23.5</v>
          </cell>
        </row>
        <row r="501">
          <cell r="C501" t="str">
            <v>16.03.07.02</v>
          </cell>
          <cell r="D501" t="str">
            <v>CP-01 - 1,41 x 1,95 m - chapa perfurada permetal, pintura eletrostática cor branca, conforme projeto detalhamento 256-arq-pe-401-serra-roo</v>
          </cell>
          <cell r="E501" t="str">
            <v xml:space="preserve">SER.CG </v>
          </cell>
          <cell r="F501" t="str">
            <v xml:space="preserve">un </v>
          </cell>
          <cell r="G501">
            <v>236</v>
          </cell>
          <cell r="H501">
            <v>595</v>
          </cell>
          <cell r="I501">
            <v>140420</v>
          </cell>
        </row>
        <row r="502">
          <cell r="C502" t="str">
            <v>99.2560</v>
          </cell>
          <cell r="D502" t="str">
            <v>1,41 x 1,95 m - chapa perfurada permetal, pintura eletrostática cor branca, conforme projeto detalhamento 256-arq-pe-401-serra-roo</v>
          </cell>
          <cell r="E502" t="str">
            <v>EMPRE</v>
          </cell>
          <cell r="F502" t="str">
            <v>un</v>
          </cell>
          <cell r="G502">
            <v>1</v>
          </cell>
          <cell r="H502">
            <v>595</v>
          </cell>
          <cell r="I502">
            <v>595</v>
          </cell>
        </row>
        <row r="503">
          <cell r="C503" t="str">
            <v>16.03.07.03</v>
          </cell>
          <cell r="D503" t="str">
            <v>CP-02 - 0,47 x 2,35 m - chapa perfurada permetal, pintura eletrostática cor branca, conforme projeto detalhamento 256-arq-pe-402-serra-roo</v>
          </cell>
          <cell r="E503" t="str">
            <v xml:space="preserve">SER.CG </v>
          </cell>
          <cell r="F503" t="str">
            <v xml:space="preserve">un </v>
          </cell>
          <cell r="G503">
            <v>260</v>
          </cell>
          <cell r="H503">
            <v>245</v>
          </cell>
          <cell r="I503">
            <v>63700</v>
          </cell>
        </row>
        <row r="504">
          <cell r="C504" t="str">
            <v>99.2561</v>
          </cell>
          <cell r="D504" t="str">
            <v>0,47 x 2,35 m - chapa perfurada permetal, pintura eletrostática cor branca, conforme projeto detalhamento 256-arq-pe-402-serra-roo</v>
          </cell>
          <cell r="E504" t="str">
            <v>EMPRE</v>
          </cell>
          <cell r="F504" t="str">
            <v>un</v>
          </cell>
          <cell r="G504">
            <v>1</v>
          </cell>
          <cell r="H504">
            <v>245</v>
          </cell>
          <cell r="I504">
            <v>245</v>
          </cell>
        </row>
        <row r="505">
          <cell r="C505" t="str">
            <v>16.03.07.04</v>
          </cell>
          <cell r="D505" t="str">
            <v>CP-03 - 1,265 x 1,95 m - chapa perfurada permetal, pintura eletrostática cor branca, conforme projeto detalhamento 256-arq-pe-403-serra-roo</v>
          </cell>
          <cell r="E505" t="str">
            <v xml:space="preserve">SER.CG </v>
          </cell>
          <cell r="F505" t="str">
            <v xml:space="preserve">un </v>
          </cell>
          <cell r="G505">
            <v>28</v>
          </cell>
          <cell r="H505">
            <v>535</v>
          </cell>
          <cell r="I505">
            <v>14980</v>
          </cell>
        </row>
        <row r="506">
          <cell r="C506" t="str">
            <v>99.2562</v>
          </cell>
          <cell r="D506" t="str">
            <v>1,265 x 1,95 m - chapa perfurada permetal, pintura eletrostática cor branca, conforme projeto detalhamento 256-arq-pe-403-serra-roo</v>
          </cell>
          <cell r="E506" t="str">
            <v>EMPRE</v>
          </cell>
          <cell r="F506" t="str">
            <v>un</v>
          </cell>
          <cell r="G506">
            <v>1</v>
          </cell>
          <cell r="H506">
            <v>535</v>
          </cell>
          <cell r="I506">
            <v>535</v>
          </cell>
        </row>
        <row r="507">
          <cell r="C507" t="str">
            <v>16.03.09.01</v>
          </cell>
          <cell r="D507" t="str">
            <v>Escada metálica do 17º pavimento.</v>
          </cell>
          <cell r="E507" t="str">
            <v xml:space="preserve">SER.CG </v>
          </cell>
          <cell r="F507" t="str">
            <v xml:space="preserve">un </v>
          </cell>
          <cell r="G507">
            <v>2</v>
          </cell>
          <cell r="H507">
            <v>6500</v>
          </cell>
          <cell r="I507">
            <v>13000</v>
          </cell>
        </row>
        <row r="508">
          <cell r="C508" t="str">
            <v>99.2562</v>
          </cell>
          <cell r="D508" t="str">
            <v>Escada metálica do 17º pavimento.</v>
          </cell>
          <cell r="E508" t="str">
            <v>EMPRE</v>
          </cell>
          <cell r="F508" t="str">
            <v>un</v>
          </cell>
          <cell r="G508">
            <v>1</v>
          </cell>
          <cell r="H508">
            <v>6500</v>
          </cell>
          <cell r="I508">
            <v>6500</v>
          </cell>
        </row>
        <row r="509">
          <cell r="C509" t="str">
            <v>17.01.01.01</v>
          </cell>
          <cell r="D509" t="str">
            <v>PM-01 - 0,8 x 2,1 m - porta de madeira, de abrir, uma folha com pintura cor branca, conforme projeto de detalhamento fl. 256-arq-pe-301-made-r00</v>
          </cell>
          <cell r="E509" t="str">
            <v xml:space="preserve">SER.CG </v>
          </cell>
          <cell r="F509" t="str">
            <v xml:space="preserve">un </v>
          </cell>
          <cell r="G509">
            <v>358</v>
          </cell>
          <cell r="H509">
            <v>293.41999999999996</v>
          </cell>
          <cell r="I509">
            <v>105044.36</v>
          </cell>
        </row>
        <row r="510">
          <cell r="C510" t="str">
            <v>1627</v>
          </cell>
          <cell r="D510" t="str">
            <v>Dobradiça 3"x2 ½", mod. CR 1500</v>
          </cell>
          <cell r="E510" t="str">
            <v>MAT.</v>
          </cell>
          <cell r="F510" t="str">
            <v>un</v>
          </cell>
          <cell r="G510">
            <v>3</v>
          </cell>
          <cell r="H510">
            <v>2.63</v>
          </cell>
          <cell r="I510">
            <v>7.89</v>
          </cell>
        </row>
        <row r="511">
          <cell r="C511" t="str">
            <v>2487</v>
          </cell>
          <cell r="D511" t="str">
            <v>Porta de madeira kit pronto 80x210cm</v>
          </cell>
          <cell r="E511" t="str">
            <v>MAT.</v>
          </cell>
          <cell r="F511" t="str">
            <v>un</v>
          </cell>
          <cell r="G511">
            <v>1</v>
          </cell>
          <cell r="H511">
            <v>212.06</v>
          </cell>
          <cell r="I511">
            <v>212.06</v>
          </cell>
        </row>
        <row r="512">
          <cell r="C512" t="str">
            <v>2488</v>
          </cell>
          <cell r="D512" t="str">
            <v>MDO para instalação porta pronta de madeira</v>
          </cell>
          <cell r="E512" t="str">
            <v>M.O.</v>
          </cell>
          <cell r="F512" t="str">
            <v>un</v>
          </cell>
          <cell r="G512">
            <v>1</v>
          </cell>
          <cell r="H512">
            <v>32</v>
          </cell>
          <cell r="I512">
            <v>32</v>
          </cell>
        </row>
        <row r="513">
          <cell r="C513" t="str">
            <v>3248</v>
          </cell>
          <cell r="D513" t="str">
            <v>Fechadura externa, mod. CR-236EXT. ST2 55mm da La Fonte®</v>
          </cell>
          <cell r="E513" t="str">
            <v>MAT.</v>
          </cell>
          <cell r="F513" t="str">
            <v>un</v>
          </cell>
          <cell r="G513">
            <v>1</v>
          </cell>
          <cell r="H513">
            <v>41.47</v>
          </cell>
          <cell r="I513">
            <v>41.47</v>
          </cell>
        </row>
        <row r="514">
          <cell r="C514" t="str">
            <v>17.01.01.02</v>
          </cell>
          <cell r="D514" t="str">
            <v>PM-02 - 0,7 x 2,1 m - porta de madeira, de abrir, uma folha com pintura cor branca, conforme projeto de detalhamento fl. 256-arq-pe-302-made-r00</v>
          </cell>
          <cell r="E514" t="str">
            <v xml:space="preserve">SER.CG </v>
          </cell>
          <cell r="F514" t="str">
            <v xml:space="preserve">un </v>
          </cell>
          <cell r="G514">
            <v>1</v>
          </cell>
          <cell r="H514">
            <v>293.41999999999996</v>
          </cell>
          <cell r="I514">
            <v>293.42</v>
          </cell>
        </row>
        <row r="515">
          <cell r="C515" t="str">
            <v>1627</v>
          </cell>
          <cell r="D515" t="str">
            <v>Dobradiça 3"x2 ½", mod. CR 1500</v>
          </cell>
          <cell r="E515" t="str">
            <v>MAT.</v>
          </cell>
          <cell r="F515" t="str">
            <v>un</v>
          </cell>
          <cell r="G515">
            <v>3</v>
          </cell>
          <cell r="H515">
            <v>2.63</v>
          </cell>
          <cell r="I515">
            <v>7.89</v>
          </cell>
        </row>
        <row r="516">
          <cell r="C516" t="str">
            <v>2488</v>
          </cell>
          <cell r="D516" t="str">
            <v>MDO para instalação porta pronta de madeira</v>
          </cell>
          <cell r="E516" t="str">
            <v>M.O.</v>
          </cell>
          <cell r="F516" t="str">
            <v>un</v>
          </cell>
          <cell r="G516">
            <v>1</v>
          </cell>
          <cell r="H516">
            <v>32</v>
          </cell>
          <cell r="I516">
            <v>32</v>
          </cell>
        </row>
        <row r="517">
          <cell r="C517" t="str">
            <v>3246</v>
          </cell>
          <cell r="D517" t="str">
            <v>Porta de madeira kit pronto 70x210cm</v>
          </cell>
          <cell r="E517" t="str">
            <v>MAT.</v>
          </cell>
          <cell r="F517" t="str">
            <v>un</v>
          </cell>
          <cell r="G517">
            <v>1</v>
          </cell>
          <cell r="H517">
            <v>212.06</v>
          </cell>
          <cell r="I517">
            <v>212.06</v>
          </cell>
        </row>
        <row r="518">
          <cell r="C518" t="str">
            <v>3248</v>
          </cell>
          <cell r="D518" t="str">
            <v>Fechadura externa, mod. CR-236EXT. ST2 55mm da La Fonte®</v>
          </cell>
          <cell r="E518" t="str">
            <v>MAT.</v>
          </cell>
          <cell r="F518" t="str">
            <v>un</v>
          </cell>
          <cell r="G518">
            <v>1</v>
          </cell>
          <cell r="H518">
            <v>41.47</v>
          </cell>
          <cell r="I518">
            <v>41.47</v>
          </cell>
        </row>
        <row r="519">
          <cell r="C519" t="str">
            <v>17.01.01.03</v>
          </cell>
          <cell r="D519" t="str">
            <v>PM-02A - 0,7 x 2,1 m - porta de madeira, de abrir, uma folha, com veneziana inferior (0,30x0,40)m, com pintura cor branca, conforme projeto de detalhamento fl. 256-arq-pe-302a-made-r00</v>
          </cell>
          <cell r="E519" t="str">
            <v xml:space="preserve">SER.CG </v>
          </cell>
          <cell r="F519" t="str">
            <v xml:space="preserve">un </v>
          </cell>
          <cell r="G519">
            <v>5</v>
          </cell>
          <cell r="H519">
            <v>341.22</v>
          </cell>
          <cell r="I519">
            <v>1706.1</v>
          </cell>
        </row>
        <row r="520">
          <cell r="C520" t="str">
            <v>1627</v>
          </cell>
          <cell r="D520" t="str">
            <v>Dobradiça 3"x2 ½", mod. CR 1500</v>
          </cell>
          <cell r="E520" t="str">
            <v>MAT.</v>
          </cell>
          <cell r="F520" t="str">
            <v>un</v>
          </cell>
          <cell r="G520">
            <v>3</v>
          </cell>
          <cell r="H520">
            <v>2.63</v>
          </cell>
          <cell r="I520">
            <v>7.89</v>
          </cell>
        </row>
        <row r="521">
          <cell r="C521" t="str">
            <v>2488</v>
          </cell>
          <cell r="D521" t="str">
            <v>MDO para instalação porta pronta de madeira</v>
          </cell>
          <cell r="E521" t="str">
            <v>M.O.</v>
          </cell>
          <cell r="F521" t="str">
            <v>un</v>
          </cell>
          <cell r="G521">
            <v>1</v>
          </cell>
          <cell r="H521">
            <v>32</v>
          </cell>
          <cell r="I521">
            <v>32</v>
          </cell>
        </row>
        <row r="522">
          <cell r="C522" t="str">
            <v>3248</v>
          </cell>
          <cell r="D522" t="str">
            <v>Fechadura externa, mod. CR-236EXT. ST2 55mm da La Fonte®</v>
          </cell>
          <cell r="E522" t="str">
            <v>MAT.</v>
          </cell>
          <cell r="F522" t="str">
            <v>un</v>
          </cell>
          <cell r="G522">
            <v>1</v>
          </cell>
          <cell r="H522">
            <v>41.47</v>
          </cell>
          <cell r="I522">
            <v>41.47</v>
          </cell>
        </row>
        <row r="523">
          <cell r="C523" t="str">
            <v>99.2473</v>
          </cell>
          <cell r="D523" t="str">
            <v>Porta de madeira kit pronto 70x210cm com veneziana inferior</v>
          </cell>
          <cell r="E523" t="str">
            <v>MAT.</v>
          </cell>
          <cell r="F523" t="str">
            <v>un</v>
          </cell>
          <cell r="G523">
            <v>1</v>
          </cell>
          <cell r="H523">
            <v>259.86</v>
          </cell>
          <cell r="I523">
            <v>259.86</v>
          </cell>
        </row>
        <row r="524">
          <cell r="C524" t="str">
            <v>17.01.01.04</v>
          </cell>
          <cell r="D524" t="str">
            <v>PM-03 - 0,7 x 2,1 m - porta de madeira, de abrir, uma folha, com pintura cor branca, conforme projeto de detalhamento fl. 256-arq-pe-303-made-r00</v>
          </cell>
          <cell r="E524" t="str">
            <v xml:space="preserve">SER.CG </v>
          </cell>
          <cell r="F524" t="str">
            <v xml:space="preserve">un </v>
          </cell>
          <cell r="G524">
            <v>148</v>
          </cell>
          <cell r="H524">
            <v>293.41999999999996</v>
          </cell>
          <cell r="I524">
            <v>43426.16</v>
          </cell>
        </row>
        <row r="525">
          <cell r="C525" t="str">
            <v>1627</v>
          </cell>
          <cell r="D525" t="str">
            <v>Dobradiça 3"x2 ½", mod. CR 1500</v>
          </cell>
          <cell r="E525" t="str">
            <v>MAT.</v>
          </cell>
          <cell r="F525" t="str">
            <v>un</v>
          </cell>
          <cell r="G525">
            <v>3</v>
          </cell>
          <cell r="H525">
            <v>2.63</v>
          </cell>
          <cell r="I525">
            <v>7.89</v>
          </cell>
        </row>
        <row r="526">
          <cell r="C526" t="str">
            <v>2488</v>
          </cell>
          <cell r="D526" t="str">
            <v>MDO para instalação porta pronta de madeira</v>
          </cell>
          <cell r="E526" t="str">
            <v>M.O.</v>
          </cell>
          <cell r="F526" t="str">
            <v>un</v>
          </cell>
          <cell r="G526">
            <v>1</v>
          </cell>
          <cell r="H526">
            <v>32</v>
          </cell>
          <cell r="I526">
            <v>32</v>
          </cell>
        </row>
        <row r="527">
          <cell r="C527" t="str">
            <v>3246</v>
          </cell>
          <cell r="D527" t="str">
            <v>Porta de madeira kit pronto 70x210cm</v>
          </cell>
          <cell r="E527" t="str">
            <v>MAT.</v>
          </cell>
          <cell r="F527" t="str">
            <v>un</v>
          </cell>
          <cell r="G527">
            <v>1</v>
          </cell>
          <cell r="H527">
            <v>212.06</v>
          </cell>
          <cell r="I527">
            <v>212.06</v>
          </cell>
        </row>
        <row r="528">
          <cell r="C528" t="str">
            <v>3248</v>
          </cell>
          <cell r="D528" t="str">
            <v>Fechadura externa, mod. CR-236EXT. ST2 55mm da La Fonte®</v>
          </cell>
          <cell r="E528" t="str">
            <v>MAT.</v>
          </cell>
          <cell r="F528" t="str">
            <v>un</v>
          </cell>
          <cell r="G528">
            <v>1</v>
          </cell>
          <cell r="H528">
            <v>41.47</v>
          </cell>
          <cell r="I528">
            <v>41.47</v>
          </cell>
        </row>
        <row r="529">
          <cell r="C529" t="str">
            <v>17.01.01.05</v>
          </cell>
          <cell r="D529" t="str">
            <v>PM-03A - 0,6 x 2,1 m - porta de madeira, de abrir, uma folha, com veneziana inferior (0,30x0,40)m, com pintura cor branca, conforme projeto de detalhamento fl. 256-arq-pe-303a-made-r00</v>
          </cell>
          <cell r="E529" t="str">
            <v xml:space="preserve">SER.CG </v>
          </cell>
          <cell r="F529" t="str">
            <v xml:space="preserve">un </v>
          </cell>
          <cell r="G529">
            <v>4</v>
          </cell>
          <cell r="H529">
            <v>289.75</v>
          </cell>
          <cell r="I529">
            <v>1159</v>
          </cell>
        </row>
        <row r="530">
          <cell r="C530" t="str">
            <v>1627</v>
          </cell>
          <cell r="D530" t="str">
            <v>Dobradiça 3"x2 ½", mod. CR 1500</v>
          </cell>
          <cell r="E530" t="str">
            <v>MAT.</v>
          </cell>
          <cell r="F530" t="str">
            <v>un</v>
          </cell>
          <cell r="G530">
            <v>3</v>
          </cell>
          <cell r="H530">
            <v>2.63</v>
          </cell>
          <cell r="I530">
            <v>7.89</v>
          </cell>
        </row>
        <row r="531">
          <cell r="C531" t="str">
            <v>2488</v>
          </cell>
          <cell r="D531" t="str">
            <v>MDO para instalação porta pronta de madeira</v>
          </cell>
          <cell r="E531" t="str">
            <v>M.O.</v>
          </cell>
          <cell r="F531" t="str">
            <v>un</v>
          </cell>
          <cell r="G531">
            <v>1</v>
          </cell>
          <cell r="H531">
            <v>32</v>
          </cell>
          <cell r="I531">
            <v>32</v>
          </cell>
        </row>
        <row r="532">
          <cell r="C532" t="str">
            <v>99.1006</v>
          </cell>
          <cell r="D532" t="str">
            <v>Porta de madeira kit pronto 60x210cm com veneziana</v>
          </cell>
          <cell r="E532" t="str">
            <v>MAT.</v>
          </cell>
          <cell r="F532" t="str">
            <v>un</v>
          </cell>
          <cell r="G532">
            <v>1</v>
          </cell>
          <cell r="H532">
            <v>212.06</v>
          </cell>
          <cell r="I532">
            <v>212.06</v>
          </cell>
        </row>
        <row r="533">
          <cell r="C533" t="str">
            <v>99.1750</v>
          </cell>
          <cell r="D533" t="str">
            <v>Fechadura La Fonte, linha Arquiteto (cromada) CJ 6236 ou similar (interna)</v>
          </cell>
          <cell r="E533" t="str">
            <v>MAT.</v>
          </cell>
          <cell r="F533" t="str">
            <v>un</v>
          </cell>
          <cell r="G533">
            <v>1</v>
          </cell>
          <cell r="H533">
            <v>37.799999999999997</v>
          </cell>
          <cell r="I533">
            <v>37.799999999999997</v>
          </cell>
        </row>
        <row r="534">
          <cell r="C534" t="str">
            <v>17.01.01.06</v>
          </cell>
          <cell r="D534" t="str">
            <v>PM-04 - 0,17 x 1,8 m - porta de madeira, de abrir,  com pintura esmalte acetinada cor branca, requadro de madeira em toda a voltap/ fixação, conforme projeto de detalhamento fl. 256-arq-pe-304-made-r00</v>
          </cell>
          <cell r="E534" t="str">
            <v xml:space="preserve">SER.CG </v>
          </cell>
          <cell r="F534" t="str">
            <v xml:space="preserve">un </v>
          </cell>
          <cell r="G534">
            <v>18</v>
          </cell>
          <cell r="H534">
            <v>331.96000000000004</v>
          </cell>
          <cell r="I534">
            <v>5975.28</v>
          </cell>
        </row>
        <row r="535">
          <cell r="C535" t="str">
            <v>1627</v>
          </cell>
          <cell r="D535" t="str">
            <v>Dobradiça 3"x2 ½", mod. CR 1500</v>
          </cell>
          <cell r="E535" t="str">
            <v>MAT.</v>
          </cell>
          <cell r="F535" t="str">
            <v>un</v>
          </cell>
          <cell r="G535">
            <v>3</v>
          </cell>
          <cell r="H535">
            <v>2.63</v>
          </cell>
          <cell r="I535">
            <v>7.89</v>
          </cell>
        </row>
        <row r="536">
          <cell r="C536" t="str">
            <v>99.1227</v>
          </cell>
          <cell r="D536" t="str">
            <v>Puxador para shaft</v>
          </cell>
          <cell r="E536" t="str">
            <v>MAT.</v>
          </cell>
          <cell r="F536" t="str">
            <v>un</v>
          </cell>
          <cell r="G536">
            <v>1</v>
          </cell>
          <cell r="H536">
            <v>8</v>
          </cell>
          <cell r="I536">
            <v>8</v>
          </cell>
        </row>
        <row r="537">
          <cell r="C537" t="str">
            <v>99.1332</v>
          </cell>
          <cell r="D537" t="str">
            <v>MDO para instalação porta de shaft</v>
          </cell>
          <cell r="E537" t="str">
            <v>M.O.</v>
          </cell>
          <cell r="F537" t="str">
            <v>cj</v>
          </cell>
          <cell r="G537">
            <v>1</v>
          </cell>
          <cell r="H537">
            <v>40</v>
          </cell>
          <cell r="I537">
            <v>40</v>
          </cell>
        </row>
        <row r="538">
          <cell r="C538" t="str">
            <v>99.1392</v>
          </cell>
          <cell r="D538" t="str">
            <v>Fechadura auxiliar La Fonte cromada 119 ou similar (shaft)</v>
          </cell>
          <cell r="E538" t="str">
            <v>MAT.</v>
          </cell>
          <cell r="F538" t="str">
            <v>un</v>
          </cell>
          <cell r="G538">
            <v>1</v>
          </cell>
          <cell r="H538">
            <v>17.850000000000001</v>
          </cell>
          <cell r="I538">
            <v>17.850000000000001</v>
          </cell>
        </row>
        <row r="539">
          <cell r="C539" t="str">
            <v>99.2474</v>
          </cell>
          <cell r="D539" t="str">
            <v>0,8 x 1,8 m - porta de madeira, de abrir, 3 folhas, uma de 0,17m e duas de 0,31m com pintura esmalte acetinada cor branca, requadro de madeira em toda a voltap/ fixação, conforme projeto de detalhamento fl. 256-arq-pe-304-made-r00</v>
          </cell>
          <cell r="E539" t="str">
            <v>MAT.</v>
          </cell>
          <cell r="F539" t="str">
            <v>un</v>
          </cell>
          <cell r="G539">
            <v>1</v>
          </cell>
          <cell r="H539">
            <v>258.22000000000003</v>
          </cell>
          <cell r="I539">
            <v>258.22000000000003</v>
          </cell>
        </row>
        <row r="540">
          <cell r="C540" t="str">
            <v>17.01.01.07</v>
          </cell>
          <cell r="D540" t="str">
            <v>PM-05 - 1,18 x 1,8 m - porta de madeira, de abrir, 2 folhas, com pintura esmalte acetinada cor branca, requadro de madeira em toda a voltap/ fixação, conforme projeto de detalhamento fl. 256-arq-pe-305-made-r00</v>
          </cell>
          <cell r="E540" t="str">
            <v xml:space="preserve">SER.CG </v>
          </cell>
          <cell r="F540" t="str">
            <v xml:space="preserve">un </v>
          </cell>
          <cell r="G540">
            <v>19</v>
          </cell>
          <cell r="H540">
            <v>483.33</v>
          </cell>
          <cell r="I540">
            <v>9183.27</v>
          </cell>
        </row>
        <row r="541">
          <cell r="C541" t="str">
            <v>1627</v>
          </cell>
          <cell r="D541" t="str">
            <v>Dobradiça 3"x2 ½", mod. CR 1500</v>
          </cell>
          <cell r="E541" t="str">
            <v>MAT.</v>
          </cell>
          <cell r="F541" t="str">
            <v>un</v>
          </cell>
          <cell r="G541">
            <v>6</v>
          </cell>
          <cell r="H541">
            <v>2.63</v>
          </cell>
          <cell r="I541">
            <v>15.78</v>
          </cell>
        </row>
        <row r="542">
          <cell r="C542" t="str">
            <v>2786</v>
          </cell>
          <cell r="D542" t="str">
            <v>Fecho, mod. 400 CRA 20cmx3/4" da La Fonte®</v>
          </cell>
          <cell r="E542" t="str">
            <v>MAT.</v>
          </cell>
          <cell r="F542" t="str">
            <v>un</v>
          </cell>
          <cell r="G542">
            <v>2</v>
          </cell>
          <cell r="H542">
            <v>25</v>
          </cell>
          <cell r="I542">
            <v>50</v>
          </cell>
        </row>
        <row r="543">
          <cell r="C543" t="str">
            <v>99.1227</v>
          </cell>
          <cell r="D543" t="str">
            <v>Puxador para shaft</v>
          </cell>
          <cell r="E543" t="str">
            <v>MAT.</v>
          </cell>
          <cell r="F543" t="str">
            <v>un</v>
          </cell>
          <cell r="G543">
            <v>2</v>
          </cell>
          <cell r="H543">
            <v>8</v>
          </cell>
          <cell r="I543">
            <v>16</v>
          </cell>
        </row>
        <row r="544">
          <cell r="C544" t="str">
            <v>99.1332</v>
          </cell>
          <cell r="D544" t="str">
            <v>MDO para instalação porta de shaft</v>
          </cell>
          <cell r="E544" t="str">
            <v>M.O.</v>
          </cell>
          <cell r="F544" t="str">
            <v>cj</v>
          </cell>
          <cell r="G544">
            <v>1</v>
          </cell>
          <cell r="H544">
            <v>40</v>
          </cell>
          <cell r="I544">
            <v>40</v>
          </cell>
        </row>
        <row r="545">
          <cell r="C545" t="str">
            <v>99.1392</v>
          </cell>
          <cell r="D545" t="str">
            <v>Fechadura auxiliar La Fonte cromada 119 ou similar (shaft)</v>
          </cell>
          <cell r="E545" t="str">
            <v>MAT.</v>
          </cell>
          <cell r="F545" t="str">
            <v>un</v>
          </cell>
          <cell r="G545">
            <v>1</v>
          </cell>
          <cell r="H545">
            <v>17.850000000000001</v>
          </cell>
          <cell r="I545">
            <v>17.850000000000001</v>
          </cell>
        </row>
        <row r="546">
          <cell r="C546" t="str">
            <v>99.2475</v>
          </cell>
          <cell r="D546" t="str">
            <v>1,18 x 1,8 m - porta de madeira, de abrir, 2 folhas, com pintura esmalte acetinada cor branca, requadro de madeira em toda a voltap/ fixação, conforme projeto de detalhamento fl. 256-arq-pe-305-made-r00</v>
          </cell>
          <cell r="E546" t="str">
            <v>MAT.</v>
          </cell>
          <cell r="F546" t="str">
            <v>un</v>
          </cell>
          <cell r="G546">
            <v>1</v>
          </cell>
          <cell r="H546">
            <v>343.7</v>
          </cell>
          <cell r="I546">
            <v>343.7</v>
          </cell>
        </row>
        <row r="547">
          <cell r="C547" t="str">
            <v>17.01.01.08</v>
          </cell>
          <cell r="D547" t="str">
            <v>PM-06 - 1,945 x 1,8 m - porta de madeira, de abrir, 4 folhas, com pintura esmalte acetinada cor branca, requadro de madeira em toda a voltap/ fixação, conforme projeto de detalhamento fl. 256-arq-pe-306-made-r00</v>
          </cell>
          <cell r="E547" t="str">
            <v xml:space="preserve">SER.CG </v>
          </cell>
          <cell r="F547" t="str">
            <v xml:space="preserve">un </v>
          </cell>
          <cell r="G547">
            <v>32</v>
          </cell>
          <cell r="H547">
            <v>859.71</v>
          </cell>
          <cell r="I547">
            <v>27510.720000000001</v>
          </cell>
        </row>
        <row r="548">
          <cell r="C548" t="str">
            <v>1627</v>
          </cell>
          <cell r="D548" t="str">
            <v>Dobradiça 3"x2 ½", mod. CR 1500</v>
          </cell>
          <cell r="E548" t="str">
            <v>MAT.</v>
          </cell>
          <cell r="F548" t="str">
            <v>un</v>
          </cell>
          <cell r="G548">
            <v>12</v>
          </cell>
          <cell r="H548">
            <v>2.63</v>
          </cell>
          <cell r="I548">
            <v>31.56</v>
          </cell>
        </row>
        <row r="549">
          <cell r="C549" t="str">
            <v>2786</v>
          </cell>
          <cell r="D549" t="str">
            <v>Fecho, mod. 400 CRA 20cmx3/4" da La Fonte®</v>
          </cell>
          <cell r="E549" t="str">
            <v>MAT.</v>
          </cell>
          <cell r="F549" t="str">
            <v>un</v>
          </cell>
          <cell r="G549">
            <v>4</v>
          </cell>
          <cell r="H549">
            <v>25</v>
          </cell>
          <cell r="I549">
            <v>100</v>
          </cell>
        </row>
        <row r="550">
          <cell r="C550" t="str">
            <v>99.1227</v>
          </cell>
          <cell r="D550" t="str">
            <v>Puxador para shaft</v>
          </cell>
          <cell r="E550" t="str">
            <v>MAT.</v>
          </cell>
          <cell r="F550" t="str">
            <v>un</v>
          </cell>
          <cell r="G550">
            <v>4</v>
          </cell>
          <cell r="H550">
            <v>8</v>
          </cell>
          <cell r="I550">
            <v>32</v>
          </cell>
        </row>
        <row r="551">
          <cell r="C551" t="str">
            <v>99.1332</v>
          </cell>
          <cell r="D551" t="str">
            <v>MDO para instalação porta de shaft</v>
          </cell>
          <cell r="E551" t="str">
            <v>M.O.</v>
          </cell>
          <cell r="F551" t="str">
            <v>cj</v>
          </cell>
          <cell r="G551">
            <v>1</v>
          </cell>
          <cell r="H551">
            <v>40</v>
          </cell>
          <cell r="I551">
            <v>40</v>
          </cell>
        </row>
        <row r="552">
          <cell r="C552" t="str">
            <v>99.1392</v>
          </cell>
          <cell r="D552" t="str">
            <v>Fechadura auxiliar La Fonte cromada 119 ou similar (shaft)</v>
          </cell>
          <cell r="E552" t="str">
            <v>MAT.</v>
          </cell>
          <cell r="F552" t="str">
            <v>un</v>
          </cell>
          <cell r="G552">
            <v>2</v>
          </cell>
          <cell r="H552">
            <v>17.850000000000001</v>
          </cell>
          <cell r="I552">
            <v>35.700000000000003</v>
          </cell>
        </row>
        <row r="553">
          <cell r="C553" t="str">
            <v>99.2476</v>
          </cell>
          <cell r="D553" t="str">
            <v>1,945 x 1,8 m - porta de madeira, de abrir, 4 folhas, com pintura esmalte acetinada cor branca, requadro de madeira em toda a voltap/ fixação, conforme projeto de detalhamento fl. 256-arq-pe-306-made-r00</v>
          </cell>
          <cell r="E553" t="str">
            <v>MAT.</v>
          </cell>
          <cell r="F553" t="str">
            <v>un</v>
          </cell>
          <cell r="G553">
            <v>1</v>
          </cell>
          <cell r="H553">
            <v>620.45000000000005</v>
          </cell>
          <cell r="I553">
            <v>620.45000000000005</v>
          </cell>
        </row>
        <row r="554">
          <cell r="C554" t="str">
            <v>17.01.01.09</v>
          </cell>
          <cell r="D554" t="str">
            <v>PM-07 - 0,8 x 2,1 m - porta de madeira, de abrir, uma folha com pintura cor branca, conforme projeto de detalhamento fl. 256-arq-pe-307-made-r00</v>
          </cell>
          <cell r="E554" t="str">
            <v xml:space="preserve">SER.CG </v>
          </cell>
          <cell r="F554" t="str">
            <v xml:space="preserve">un </v>
          </cell>
          <cell r="G554">
            <v>1</v>
          </cell>
          <cell r="H554">
            <v>433.41999999999996</v>
          </cell>
          <cell r="I554">
            <v>433.42</v>
          </cell>
        </row>
        <row r="555">
          <cell r="C555" t="str">
            <v>1627</v>
          </cell>
          <cell r="D555" t="str">
            <v>Dobradiça 3"x2 ½", mod. CR 1500</v>
          </cell>
          <cell r="E555" t="str">
            <v>MAT.</v>
          </cell>
          <cell r="F555" t="str">
            <v>un</v>
          </cell>
          <cell r="G555">
            <v>3</v>
          </cell>
          <cell r="H555">
            <v>2.63</v>
          </cell>
          <cell r="I555">
            <v>7.89</v>
          </cell>
        </row>
        <row r="556">
          <cell r="C556" t="str">
            <v>2487</v>
          </cell>
          <cell r="D556" t="str">
            <v>Porta de madeira kit pronto 80x210cm</v>
          </cell>
          <cell r="E556" t="str">
            <v>MAT.</v>
          </cell>
          <cell r="F556" t="str">
            <v>un</v>
          </cell>
          <cell r="G556">
            <v>1</v>
          </cell>
          <cell r="H556">
            <v>212.06</v>
          </cell>
          <cell r="I556">
            <v>212.06</v>
          </cell>
        </row>
        <row r="557">
          <cell r="C557" t="str">
            <v>2488</v>
          </cell>
          <cell r="D557" t="str">
            <v>MDO para instalação porta pronta de madeira</v>
          </cell>
          <cell r="E557" t="str">
            <v>M.O.</v>
          </cell>
          <cell r="F557" t="str">
            <v>un</v>
          </cell>
          <cell r="G557">
            <v>1</v>
          </cell>
          <cell r="H557">
            <v>32</v>
          </cell>
          <cell r="I557">
            <v>32</v>
          </cell>
        </row>
        <row r="558">
          <cell r="C558" t="str">
            <v>3248</v>
          </cell>
          <cell r="D558" t="str">
            <v>Fechadura externa, mod. CR-236EXT. ST2 55mm da La Fonte®</v>
          </cell>
          <cell r="E558" t="str">
            <v>MAT.</v>
          </cell>
          <cell r="F558" t="str">
            <v>un</v>
          </cell>
          <cell r="G558">
            <v>1</v>
          </cell>
          <cell r="H558">
            <v>41.47</v>
          </cell>
          <cell r="I558">
            <v>41.47</v>
          </cell>
        </row>
        <row r="559">
          <cell r="C559">
            <v>1</v>
          </cell>
          <cell r="D559" t="str">
            <v>Puxador para porta</v>
          </cell>
          <cell r="E559" t="str">
            <v>MAT.</v>
          </cell>
          <cell r="F559" t="str">
            <v>un</v>
          </cell>
          <cell r="G559">
            <v>1</v>
          </cell>
          <cell r="H559">
            <v>60</v>
          </cell>
          <cell r="I559">
            <v>60</v>
          </cell>
        </row>
        <row r="560">
          <cell r="C560">
            <v>1</v>
          </cell>
          <cell r="D560" t="str">
            <v>Barra de proteçao em chapa de inox</v>
          </cell>
          <cell r="E560" t="str">
            <v>MAT.</v>
          </cell>
          <cell r="F560" t="str">
            <v>un</v>
          </cell>
          <cell r="G560">
            <v>1</v>
          </cell>
          <cell r="H560">
            <v>80</v>
          </cell>
          <cell r="I560">
            <v>80</v>
          </cell>
        </row>
        <row r="561">
          <cell r="C561" t="str">
            <v>17.01.01.10</v>
          </cell>
          <cell r="D561" t="str">
            <v>PM-08 - 1,1 x 2,1 m - porta de madeira, de abrir, 2 folhas, com 2 visores (0,30x0,60)m, com pintura cor branca, conforme projeto de detalhamento fl. 256-arq-pe-308-made-r00</v>
          </cell>
          <cell r="E561" t="str">
            <v xml:space="preserve">SER.CG </v>
          </cell>
          <cell r="F561" t="str">
            <v xml:space="preserve">un </v>
          </cell>
          <cell r="G561">
            <v>1</v>
          </cell>
          <cell r="H561">
            <v>601</v>
          </cell>
          <cell r="I561">
            <v>601</v>
          </cell>
        </row>
        <row r="562">
          <cell r="C562" t="str">
            <v>1627</v>
          </cell>
          <cell r="D562" t="str">
            <v>Dobradiça 3"x2 ½", mod. CR 1500</v>
          </cell>
          <cell r="E562" t="str">
            <v>MAT.</v>
          </cell>
          <cell r="F562" t="str">
            <v>un</v>
          </cell>
          <cell r="G562">
            <v>6</v>
          </cell>
          <cell r="H562">
            <v>2.63</v>
          </cell>
          <cell r="I562">
            <v>15.78</v>
          </cell>
        </row>
        <row r="563">
          <cell r="C563" t="str">
            <v>2488</v>
          </cell>
          <cell r="D563" t="str">
            <v>MDO para instalação porta pronta de madeira</v>
          </cell>
          <cell r="E563" t="str">
            <v>M.O.</v>
          </cell>
          <cell r="F563" t="str">
            <v>un</v>
          </cell>
          <cell r="G563">
            <v>1</v>
          </cell>
          <cell r="H563">
            <v>32</v>
          </cell>
          <cell r="I563">
            <v>32</v>
          </cell>
        </row>
        <row r="564">
          <cell r="C564" t="str">
            <v>2492</v>
          </cell>
          <cell r="D564" t="str">
            <v>Fechadura interna, mod. CR-6236INT-WC ST2 55mm da La Fonte®</v>
          </cell>
          <cell r="E564" t="str">
            <v>MAT.</v>
          </cell>
          <cell r="F564" t="str">
            <v>un</v>
          </cell>
          <cell r="G564">
            <v>1</v>
          </cell>
          <cell r="H564">
            <v>37.799999999999997</v>
          </cell>
          <cell r="I564">
            <v>37.799999999999997</v>
          </cell>
        </row>
        <row r="565">
          <cell r="C565">
            <v>1</v>
          </cell>
          <cell r="D565" t="str">
            <v>Fecho, mod.400 CRA 20cm</v>
          </cell>
          <cell r="F565" t="str">
            <v>um</v>
          </cell>
          <cell r="G565">
            <v>2</v>
          </cell>
          <cell r="H565">
            <v>25</v>
          </cell>
          <cell r="I565">
            <v>50</v>
          </cell>
        </row>
        <row r="566">
          <cell r="C566" t="str">
            <v>99.2477</v>
          </cell>
          <cell r="D566" t="str">
            <v>1,1 x 2,1 m - porta de madeira, de abrir, 2 folhas, com 2 visores (0,30x0,60)m, com pintura cor branca, conforme projeto de detalhamento fl. 256-arq-pe-308-made-r00</v>
          </cell>
          <cell r="E566" t="str">
            <v>MAT.</v>
          </cell>
          <cell r="F566" t="str">
            <v>un</v>
          </cell>
          <cell r="G566">
            <v>1</v>
          </cell>
          <cell r="H566">
            <v>465.42</v>
          </cell>
          <cell r="I566">
            <v>465.42</v>
          </cell>
        </row>
        <row r="567">
          <cell r="C567" t="str">
            <v>17.01.01.11</v>
          </cell>
          <cell r="D567" t="str">
            <v>PM-09 - 1,26 x 1,8 m - porta de madeira, de abrir, 2 folhas, com pintura esmalte acetinada cor branca, requadro de madeira em toda a voltap/ fixação, conforme projeto de detalhamento fl. 256-arq-pe-309-made-r00</v>
          </cell>
          <cell r="E567" t="str">
            <v xml:space="preserve">SER.CG </v>
          </cell>
          <cell r="F567" t="str">
            <v xml:space="preserve">un </v>
          </cell>
          <cell r="G567">
            <v>1</v>
          </cell>
          <cell r="H567">
            <v>493.54</v>
          </cell>
          <cell r="I567">
            <v>493.54</v>
          </cell>
        </row>
        <row r="568">
          <cell r="C568" t="str">
            <v>1627</v>
          </cell>
          <cell r="D568" t="str">
            <v>Dobradiça 3"x2 ½", mod. CR 1500</v>
          </cell>
          <cell r="E568" t="str">
            <v>MAT.</v>
          </cell>
          <cell r="F568" t="str">
            <v>un</v>
          </cell>
          <cell r="G568">
            <v>6</v>
          </cell>
          <cell r="H568">
            <v>2.63</v>
          </cell>
          <cell r="I568">
            <v>15.78</v>
          </cell>
        </row>
        <row r="569">
          <cell r="C569" t="str">
            <v>2786</v>
          </cell>
          <cell r="D569" t="str">
            <v>Fecho, mod. 400 CRA 20cmx3/4" da La Fonte®</v>
          </cell>
          <cell r="E569" t="str">
            <v>MAT.</v>
          </cell>
          <cell r="F569" t="str">
            <v>un</v>
          </cell>
          <cell r="G569">
            <v>2</v>
          </cell>
          <cell r="H569">
            <v>25</v>
          </cell>
          <cell r="I569">
            <v>50</v>
          </cell>
        </row>
        <row r="570">
          <cell r="C570" t="str">
            <v>99.1227</v>
          </cell>
          <cell r="D570" t="str">
            <v>Puxador para shaft</v>
          </cell>
          <cell r="E570" t="str">
            <v>MAT.</v>
          </cell>
          <cell r="F570" t="str">
            <v>un</v>
          </cell>
          <cell r="G570">
            <v>2</v>
          </cell>
          <cell r="H570">
            <v>8</v>
          </cell>
          <cell r="I570">
            <v>16</v>
          </cell>
        </row>
        <row r="571">
          <cell r="C571" t="str">
            <v>99.1332</v>
          </cell>
          <cell r="D571" t="str">
            <v>MDO para instalação porta de shaft</v>
          </cell>
          <cell r="E571" t="str">
            <v>M.O.</v>
          </cell>
          <cell r="F571" t="str">
            <v>cj</v>
          </cell>
          <cell r="G571">
            <v>1</v>
          </cell>
          <cell r="H571">
            <v>40</v>
          </cell>
          <cell r="I571">
            <v>40</v>
          </cell>
        </row>
        <row r="572">
          <cell r="C572" t="str">
            <v>99.1392</v>
          </cell>
          <cell r="D572" t="str">
            <v>Fechadura auxiliar La Fonte cromada 119 ou similar (shaft)</v>
          </cell>
          <cell r="E572" t="str">
            <v>MAT.</v>
          </cell>
          <cell r="F572" t="str">
            <v>un</v>
          </cell>
          <cell r="G572">
            <v>1</v>
          </cell>
          <cell r="H572">
            <v>17.850000000000001</v>
          </cell>
          <cell r="I572">
            <v>17.850000000000001</v>
          </cell>
        </row>
        <row r="573">
          <cell r="C573" t="str">
            <v>99.2478</v>
          </cell>
          <cell r="D573" t="str">
            <v>1,26 x 1,8 m - porta de madeira, de abrir, 2 folhas, com pintura esmalte acetinada cor branca, requadro de madeira em toda a voltap/ fixação, conforme projeto de detalhamento fl. 256-arq-pe-309-made-r00</v>
          </cell>
          <cell r="E573" t="str">
            <v>MAT.</v>
          </cell>
          <cell r="F573" t="str">
            <v>un</v>
          </cell>
          <cell r="G573">
            <v>1</v>
          </cell>
          <cell r="H573">
            <v>353.91</v>
          </cell>
          <cell r="I573">
            <v>353.91</v>
          </cell>
        </row>
        <row r="574">
          <cell r="C574" t="str">
            <v>17.01.01.12</v>
          </cell>
          <cell r="D574" t="str">
            <v>PM-10 - 0,88 x 1,8 m - porta de madeira, de abrir, 1 folha, com pintura esmalte acetinada cor branca, requadro de madeira em toda a voltap/ fixação, conforme projeto de detalhamento fl. 256-arq-pe-310-made-r00</v>
          </cell>
          <cell r="E574" t="str">
            <v xml:space="preserve">SER.CG </v>
          </cell>
          <cell r="F574" t="str">
            <v xml:space="preserve">un </v>
          </cell>
          <cell r="G574">
            <v>2</v>
          </cell>
          <cell r="H574">
            <v>344.16</v>
          </cell>
          <cell r="I574">
            <v>688.32</v>
          </cell>
        </row>
        <row r="575">
          <cell r="C575" t="str">
            <v>1627</v>
          </cell>
          <cell r="D575" t="str">
            <v>Dobradiça 3"x2 ½", mod. CR 1500</v>
          </cell>
          <cell r="E575" t="str">
            <v>MAT.</v>
          </cell>
          <cell r="F575" t="str">
            <v>un</v>
          </cell>
          <cell r="G575">
            <v>3</v>
          </cell>
          <cell r="H575">
            <v>2.63</v>
          </cell>
          <cell r="I575">
            <v>7.89</v>
          </cell>
        </row>
        <row r="576">
          <cell r="C576" t="str">
            <v>99.1227</v>
          </cell>
          <cell r="D576" t="str">
            <v>Puxador para shaft</v>
          </cell>
          <cell r="E576" t="str">
            <v>MAT.</v>
          </cell>
          <cell r="F576" t="str">
            <v>un</v>
          </cell>
          <cell r="G576">
            <v>1</v>
          </cell>
          <cell r="H576">
            <v>8</v>
          </cell>
          <cell r="I576">
            <v>8</v>
          </cell>
        </row>
        <row r="577">
          <cell r="C577" t="str">
            <v>99.1332</v>
          </cell>
          <cell r="D577" t="str">
            <v>MDO para instalação porta de shaft</v>
          </cell>
          <cell r="E577" t="str">
            <v>M.O.</v>
          </cell>
          <cell r="F577" t="str">
            <v>cj</v>
          </cell>
          <cell r="G577">
            <v>1</v>
          </cell>
          <cell r="H577">
            <v>40</v>
          </cell>
          <cell r="I577">
            <v>40</v>
          </cell>
        </row>
        <row r="578">
          <cell r="C578" t="str">
            <v>99.1392</v>
          </cell>
          <cell r="D578" t="str">
            <v>Fechadura auxiliar La Fonte cromada 119 ou similar (shaft)</v>
          </cell>
          <cell r="E578" t="str">
            <v>MAT.</v>
          </cell>
          <cell r="F578" t="str">
            <v>un</v>
          </cell>
          <cell r="G578">
            <v>1</v>
          </cell>
          <cell r="H578">
            <v>17.850000000000001</v>
          </cell>
          <cell r="I578">
            <v>17.850000000000001</v>
          </cell>
        </row>
        <row r="579">
          <cell r="C579" t="str">
            <v>99.2479</v>
          </cell>
          <cell r="D579" t="str">
            <v>0,88 x 1,8 m - porta de madeira, de abrir, 1 folha, com pintura esmalte acetinada cor branca, requadro de madeira em toda a voltap/ fixação, conforme projeto de detalhamento fl. 256-arq-pe-310-made-r00</v>
          </cell>
          <cell r="E579" t="str">
            <v>MAT.</v>
          </cell>
          <cell r="F579" t="str">
            <v>un</v>
          </cell>
          <cell r="G579">
            <v>1</v>
          </cell>
          <cell r="H579">
            <v>270.42</v>
          </cell>
          <cell r="I579">
            <v>270.42</v>
          </cell>
        </row>
        <row r="580">
          <cell r="C580" t="str">
            <v>17.01.01.13</v>
          </cell>
          <cell r="D580" t="str">
            <v>PM-11 - 0,57 x 1,8 m - porta de madeira, de abrir, 1 folha, com pintura esmalte acetinada cor branca, requadro de madeira em toda a voltap/ fixação, conforme projeto de detalhamento fl. 256-arq-pe-311-made-r00</v>
          </cell>
          <cell r="E580" t="str">
            <v xml:space="preserve">SER.CG </v>
          </cell>
          <cell r="F580" t="str">
            <v xml:space="preserve">un </v>
          </cell>
          <cell r="G580">
            <v>1</v>
          </cell>
          <cell r="H580">
            <v>301.88</v>
          </cell>
          <cell r="I580">
            <v>301.88</v>
          </cell>
        </row>
        <row r="581">
          <cell r="C581" t="str">
            <v>1627</v>
          </cell>
          <cell r="D581" t="str">
            <v>Dobradiça 3"x2 ½", mod. CR 1500</v>
          </cell>
          <cell r="E581" t="str">
            <v>MAT.</v>
          </cell>
          <cell r="F581" t="str">
            <v>un</v>
          </cell>
          <cell r="G581">
            <v>3</v>
          </cell>
          <cell r="H581">
            <v>2.63</v>
          </cell>
          <cell r="I581">
            <v>7.89</v>
          </cell>
        </row>
        <row r="582">
          <cell r="C582" t="str">
            <v>99.1227</v>
          </cell>
          <cell r="D582" t="str">
            <v>Puxador para shaft</v>
          </cell>
          <cell r="E582" t="str">
            <v>MAT.</v>
          </cell>
          <cell r="F582" t="str">
            <v>un</v>
          </cell>
          <cell r="G582">
            <v>1</v>
          </cell>
          <cell r="H582">
            <v>8</v>
          </cell>
          <cell r="I582">
            <v>8</v>
          </cell>
        </row>
        <row r="583">
          <cell r="C583" t="str">
            <v>99.1332</v>
          </cell>
          <cell r="D583" t="str">
            <v>MDO para instalação porta de shaft</v>
          </cell>
          <cell r="E583" t="str">
            <v>M.O.</v>
          </cell>
          <cell r="F583" t="str">
            <v>cj</v>
          </cell>
          <cell r="G583">
            <v>1</v>
          </cell>
          <cell r="H583">
            <v>40</v>
          </cell>
          <cell r="I583">
            <v>40</v>
          </cell>
        </row>
        <row r="584">
          <cell r="C584" t="str">
            <v>99.1392</v>
          </cell>
          <cell r="D584" t="str">
            <v>Fechadura auxiliar La Fonte cromada 119 ou similar (shaft)</v>
          </cell>
          <cell r="E584" t="str">
            <v>MAT.</v>
          </cell>
          <cell r="F584" t="str">
            <v>un</v>
          </cell>
          <cell r="G584">
            <v>1</v>
          </cell>
          <cell r="H584">
            <v>17.850000000000001</v>
          </cell>
          <cell r="I584">
            <v>17.850000000000001</v>
          </cell>
        </row>
        <row r="585">
          <cell r="C585" t="str">
            <v>99.2480</v>
          </cell>
          <cell r="D585" t="str">
            <v>0,57 x 1,8 m - porta de madeira, de abrir, 1 folha, com pintura esmalte acetinada cor branca, requadro de madeira em toda a voltap/ fixação, conforme projeto de detalhamento fl. 256-arq-pe-311-made-r00</v>
          </cell>
          <cell r="E585" t="str">
            <v>MAT.</v>
          </cell>
          <cell r="F585" t="str">
            <v>un</v>
          </cell>
          <cell r="G585">
            <v>1</v>
          </cell>
          <cell r="H585">
            <v>228.14</v>
          </cell>
          <cell r="I585">
            <v>228.14</v>
          </cell>
        </row>
        <row r="586">
          <cell r="C586" t="str">
            <v>17.01.01.14</v>
          </cell>
          <cell r="D586" t="str">
            <v>PM-12 - 0,88 x 1,8 m - porta de madeira, de abrir, 2 folhas, com pintura esmalte acetinada cor branca, requadro de madeira em toda a voltap/ fixação, conforme projeto de detalhamento fl. 256-arq-pe-312-made-r00</v>
          </cell>
          <cell r="E586" t="str">
            <v xml:space="preserve">SER.CG </v>
          </cell>
          <cell r="F586" t="str">
            <v xml:space="preserve">un </v>
          </cell>
          <cell r="G586">
            <v>16</v>
          </cell>
          <cell r="H586">
            <v>442.56</v>
          </cell>
          <cell r="I586">
            <v>7080.96</v>
          </cell>
        </row>
        <row r="587">
          <cell r="C587" t="str">
            <v>1627</v>
          </cell>
          <cell r="D587" t="str">
            <v>Dobradiça 3"x2 ½", mod. CR 1500</v>
          </cell>
          <cell r="E587" t="str">
            <v>MAT.</v>
          </cell>
          <cell r="F587" t="str">
            <v>un</v>
          </cell>
          <cell r="G587">
            <v>6</v>
          </cell>
          <cell r="H587">
            <v>2.63</v>
          </cell>
          <cell r="I587">
            <v>15.78</v>
          </cell>
        </row>
        <row r="588">
          <cell r="C588" t="str">
            <v>2786</v>
          </cell>
          <cell r="D588" t="str">
            <v>Fecho, mod. 400 CRA 20cmx3/4" da La Fonte®</v>
          </cell>
          <cell r="E588" t="str">
            <v>MAT.</v>
          </cell>
          <cell r="F588" t="str">
            <v>un</v>
          </cell>
          <cell r="G588">
            <v>2</v>
          </cell>
          <cell r="H588">
            <v>25</v>
          </cell>
          <cell r="I588">
            <v>50</v>
          </cell>
        </row>
        <row r="589">
          <cell r="C589" t="str">
            <v>99.1227</v>
          </cell>
          <cell r="D589" t="str">
            <v>Puxador para shaft</v>
          </cell>
          <cell r="E589" t="str">
            <v>MAT.</v>
          </cell>
          <cell r="F589" t="str">
            <v>un</v>
          </cell>
          <cell r="G589">
            <v>2</v>
          </cell>
          <cell r="H589">
            <v>8</v>
          </cell>
          <cell r="I589">
            <v>16</v>
          </cell>
        </row>
        <row r="590">
          <cell r="C590" t="str">
            <v>99.1332</v>
          </cell>
          <cell r="D590" t="str">
            <v>MDO para instalação porta de shaft</v>
          </cell>
          <cell r="E590" t="str">
            <v>M.O.</v>
          </cell>
          <cell r="F590" t="str">
            <v>cj</v>
          </cell>
          <cell r="G590">
            <v>1</v>
          </cell>
          <cell r="H590">
            <v>40</v>
          </cell>
          <cell r="I590">
            <v>40</v>
          </cell>
        </row>
        <row r="591">
          <cell r="C591" t="str">
            <v>99.1392</v>
          </cell>
          <cell r="D591" t="str">
            <v>Fechadura auxiliar La Fonte cromada 119 ou similar (shaft)</v>
          </cell>
          <cell r="E591" t="str">
            <v>MAT.</v>
          </cell>
          <cell r="F591" t="str">
            <v>un</v>
          </cell>
          <cell r="G591">
            <v>1</v>
          </cell>
          <cell r="H591">
            <v>17.850000000000001</v>
          </cell>
          <cell r="I591">
            <v>17.850000000000001</v>
          </cell>
        </row>
        <row r="592">
          <cell r="C592" t="str">
            <v>99.2481</v>
          </cell>
          <cell r="D592" t="str">
            <v>0,88 x 1,8 m - porta de madeira, de abrir, 2 folhas, com pintura esmalte acetinada cor branca, requadro de madeira em toda a voltap/ fixação, conforme projeto de detalhamento fl. 256-arq-pe-312-made-r00</v>
          </cell>
          <cell r="E592" t="str">
            <v>MAT.</v>
          </cell>
          <cell r="F592" t="str">
            <v>un</v>
          </cell>
          <cell r="G592">
            <v>1</v>
          </cell>
          <cell r="H592">
            <v>302.93</v>
          </cell>
          <cell r="I592">
            <v>302.93</v>
          </cell>
        </row>
        <row r="593">
          <cell r="C593" t="str">
            <v>17.01.01.15</v>
          </cell>
          <cell r="D593" t="str">
            <v>PM-13 - 0,4 x 1,8 m - porta de madeira, de abrir, 1 folha, com pintura esmalte acetinada cor branca, requadro de madeira em toda a voltap/ fixação, conforme projeto de detalhamento fl. 256-arq-pe-313-made-r00</v>
          </cell>
          <cell r="E593" t="str">
            <v xml:space="preserve">SER.CG </v>
          </cell>
          <cell r="F593" t="str">
            <v xml:space="preserve">un </v>
          </cell>
          <cell r="G593">
            <v>19</v>
          </cell>
          <cell r="H593">
            <v>403.89</v>
          </cell>
          <cell r="I593">
            <v>7673.91</v>
          </cell>
        </row>
        <row r="594">
          <cell r="C594" t="str">
            <v>1627</v>
          </cell>
          <cell r="D594" t="str">
            <v>Dobradiça 3"x2 ½", mod. CR 1500</v>
          </cell>
          <cell r="E594" t="str">
            <v>MAT.</v>
          </cell>
          <cell r="F594" t="str">
            <v>un</v>
          </cell>
          <cell r="G594">
            <v>3</v>
          </cell>
          <cell r="H594">
            <v>2.63</v>
          </cell>
          <cell r="I594">
            <v>7.89</v>
          </cell>
        </row>
        <row r="595">
          <cell r="C595" t="str">
            <v>99.1227</v>
          </cell>
          <cell r="D595" t="str">
            <v>Puxador para shaft</v>
          </cell>
          <cell r="E595" t="str">
            <v>MAT.</v>
          </cell>
          <cell r="F595" t="str">
            <v>un</v>
          </cell>
          <cell r="G595">
            <v>1</v>
          </cell>
          <cell r="H595">
            <v>8</v>
          </cell>
          <cell r="I595">
            <v>8</v>
          </cell>
        </row>
        <row r="596">
          <cell r="C596" t="str">
            <v>99.1332</v>
          </cell>
          <cell r="D596" t="str">
            <v>MDO para instalação porta de shaft</v>
          </cell>
          <cell r="E596" t="str">
            <v>M.O.</v>
          </cell>
          <cell r="F596" t="str">
            <v>cj</v>
          </cell>
          <cell r="G596">
            <v>1</v>
          </cell>
          <cell r="H596">
            <v>40</v>
          </cell>
          <cell r="I596">
            <v>40</v>
          </cell>
        </row>
        <row r="597">
          <cell r="C597" t="str">
            <v>99.1392</v>
          </cell>
          <cell r="D597" t="str">
            <v>Fechadura auxiliar La Fonte cromada 119 ou similar (shaft)</v>
          </cell>
          <cell r="E597" t="str">
            <v>MAT.</v>
          </cell>
          <cell r="F597" t="str">
            <v>un</v>
          </cell>
          <cell r="G597">
            <v>1</v>
          </cell>
          <cell r="H597">
            <v>17.850000000000001</v>
          </cell>
          <cell r="I597">
            <v>17.850000000000001</v>
          </cell>
        </row>
        <row r="598">
          <cell r="C598" t="str">
            <v>99.2482</v>
          </cell>
          <cell r="D598" t="str">
            <v>0,4 x 1,8 m - porta de madeira, de abrir, 1 folha, com pintura esmalte acetinada cor branca, requadro de madeira em toda a voltap/ fixação, conforme projeto de detalhamento fl. 256-arq-pe-313-made-r00</v>
          </cell>
          <cell r="E598" t="str">
            <v>MAT.</v>
          </cell>
          <cell r="F598" t="str">
            <v>un</v>
          </cell>
          <cell r="G598">
            <v>1</v>
          </cell>
          <cell r="H598">
            <v>330.15</v>
          </cell>
          <cell r="I598">
            <v>330.15</v>
          </cell>
        </row>
        <row r="599">
          <cell r="C599" t="str">
            <v>17.01.01.16</v>
          </cell>
          <cell r="D599" t="str">
            <v>PM-14 - 1,28 x 1,8 m - porta de madeira, de abrir, 2 folhas, com pintura esmalte acetinada cor branca, requadro de madeira em toda a voltap/ fixação, conforme projeto de detalhamento fl. 256-arq-pe-314-made-r00</v>
          </cell>
          <cell r="E599" t="str">
            <v xml:space="preserve">SER.CG </v>
          </cell>
          <cell r="F599" t="str">
            <v xml:space="preserve">un </v>
          </cell>
          <cell r="G599">
            <v>2</v>
          </cell>
          <cell r="H599">
            <v>496.24</v>
          </cell>
          <cell r="I599">
            <v>992.48</v>
          </cell>
        </row>
        <row r="600">
          <cell r="C600" t="str">
            <v>1627</v>
          </cell>
          <cell r="D600" t="str">
            <v>Dobradiça 3"x2 ½", mod. CR 1500</v>
          </cell>
          <cell r="E600" t="str">
            <v>MAT.</v>
          </cell>
          <cell r="F600" t="str">
            <v>un</v>
          </cell>
          <cell r="G600">
            <v>6</v>
          </cell>
          <cell r="H600">
            <v>2.63</v>
          </cell>
          <cell r="I600">
            <v>15.78</v>
          </cell>
        </row>
        <row r="601">
          <cell r="C601" t="str">
            <v>2786</v>
          </cell>
          <cell r="D601" t="str">
            <v>Fecho, mod. 400 CRA 20cmx3/4" da La Fonte®</v>
          </cell>
          <cell r="E601" t="str">
            <v>MAT.</v>
          </cell>
          <cell r="F601" t="str">
            <v>un</v>
          </cell>
          <cell r="G601">
            <v>2</v>
          </cell>
          <cell r="H601">
            <v>25</v>
          </cell>
          <cell r="I601">
            <v>50</v>
          </cell>
        </row>
        <row r="602">
          <cell r="C602" t="str">
            <v>99.1227</v>
          </cell>
          <cell r="D602" t="str">
            <v>Puxador para shaft</v>
          </cell>
          <cell r="E602" t="str">
            <v>MAT.</v>
          </cell>
          <cell r="F602" t="str">
            <v>un</v>
          </cell>
          <cell r="G602">
            <v>2</v>
          </cell>
          <cell r="H602">
            <v>8</v>
          </cell>
          <cell r="I602">
            <v>16</v>
          </cell>
        </row>
        <row r="603">
          <cell r="C603" t="str">
            <v>99.1332</v>
          </cell>
          <cell r="D603" t="str">
            <v>MDO para instalação porta de shaft</v>
          </cell>
          <cell r="E603" t="str">
            <v>M.O.</v>
          </cell>
          <cell r="F603" t="str">
            <v>cj</v>
          </cell>
          <cell r="G603">
            <v>1</v>
          </cell>
          <cell r="H603">
            <v>40</v>
          </cell>
          <cell r="I603">
            <v>40</v>
          </cell>
        </row>
        <row r="604">
          <cell r="C604" t="str">
            <v>99.1392</v>
          </cell>
          <cell r="D604" t="str">
            <v>Fechadura auxiliar La Fonte cromada 119 ou similar (shaft)</v>
          </cell>
          <cell r="E604" t="str">
            <v>MAT.</v>
          </cell>
          <cell r="F604" t="str">
            <v>un</v>
          </cell>
          <cell r="G604">
            <v>1</v>
          </cell>
          <cell r="H604">
            <v>17.850000000000001</v>
          </cell>
          <cell r="I604">
            <v>17.850000000000001</v>
          </cell>
        </row>
        <row r="605">
          <cell r="C605" t="str">
            <v>99.2483</v>
          </cell>
          <cell r="D605" t="str">
            <v>1,28 x 1,8 m - porta de madeira, de abrir, 2 folhas, com pintura esmalte acetinada cor branca, requadro de madeira em toda a voltap/ fixação, conforme projeto de detalhamento fl. 256-arq-pe-314-made-r00</v>
          </cell>
          <cell r="E605" t="str">
            <v>MAT.</v>
          </cell>
          <cell r="F605" t="str">
            <v>un</v>
          </cell>
          <cell r="G605">
            <v>1</v>
          </cell>
          <cell r="H605">
            <v>356.61</v>
          </cell>
          <cell r="I605">
            <v>356.61</v>
          </cell>
        </row>
        <row r="606">
          <cell r="C606" t="str">
            <v>17.01.01.17</v>
          </cell>
          <cell r="D606" t="str">
            <v>PM-15 - 0,59 x 1,8 m - porta de madeira, de abrir, 1 folha, com pintura esmalte acetinada cor branca, requadro de madeira em toda a voltap/ fixação, conforme projeto de detalhamento fl. 256-arq-pe-315-made-r00</v>
          </cell>
          <cell r="E606" t="str">
            <v xml:space="preserve">SER.CG </v>
          </cell>
          <cell r="F606" t="str">
            <v xml:space="preserve">un </v>
          </cell>
          <cell r="G606">
            <v>5</v>
          </cell>
          <cell r="H606">
            <v>305.39</v>
          </cell>
          <cell r="I606">
            <v>1526.95</v>
          </cell>
        </row>
        <row r="607">
          <cell r="C607" t="str">
            <v>1627</v>
          </cell>
          <cell r="D607" t="str">
            <v>Dobradiça 3"x2 ½", mod. CR 1500</v>
          </cell>
          <cell r="E607" t="str">
            <v>MAT.</v>
          </cell>
          <cell r="F607" t="str">
            <v>un</v>
          </cell>
          <cell r="G607">
            <v>3</v>
          </cell>
          <cell r="H607">
            <v>2.63</v>
          </cell>
          <cell r="I607">
            <v>7.89</v>
          </cell>
        </row>
        <row r="608">
          <cell r="C608" t="str">
            <v>99.1227</v>
          </cell>
          <cell r="D608" t="str">
            <v>Puxador para shaft</v>
          </cell>
          <cell r="E608" t="str">
            <v>MAT.</v>
          </cell>
          <cell r="F608" t="str">
            <v>un</v>
          </cell>
          <cell r="G608">
            <v>1</v>
          </cell>
          <cell r="H608">
            <v>8</v>
          </cell>
          <cell r="I608">
            <v>8</v>
          </cell>
        </row>
        <row r="609">
          <cell r="C609" t="str">
            <v>99.1332</v>
          </cell>
          <cell r="D609" t="str">
            <v>MDO para instalação porta de shaft</v>
          </cell>
          <cell r="E609" t="str">
            <v>M.O.</v>
          </cell>
          <cell r="F609" t="str">
            <v>cj</v>
          </cell>
          <cell r="G609">
            <v>1</v>
          </cell>
          <cell r="H609">
            <v>40</v>
          </cell>
          <cell r="I609">
            <v>40</v>
          </cell>
        </row>
        <row r="610">
          <cell r="C610" t="str">
            <v>99.1392</v>
          </cell>
          <cell r="D610" t="str">
            <v>Fechadura auxiliar La Fonte cromada 119 ou similar (shaft)</v>
          </cell>
          <cell r="E610" t="str">
            <v>MAT.</v>
          </cell>
          <cell r="F610" t="str">
            <v>un</v>
          </cell>
          <cell r="G610">
            <v>1</v>
          </cell>
          <cell r="H610">
            <v>17.850000000000001</v>
          </cell>
          <cell r="I610">
            <v>17.850000000000001</v>
          </cell>
        </row>
        <row r="611">
          <cell r="C611" t="str">
            <v>99.2484</v>
          </cell>
          <cell r="D611" t="str">
            <v>0,59 x 1,8 m - porta de madeira, de abrir, 1 folha, com pintura esmalte acetinada cor branca, requadro de madeira em toda a voltap/ fixação, conforme projeto de detalhamento fl. 256-arq-pe-315-made-r00</v>
          </cell>
          <cell r="E611" t="str">
            <v>MAT.</v>
          </cell>
          <cell r="F611" t="str">
            <v>un</v>
          </cell>
          <cell r="G611">
            <v>1</v>
          </cell>
          <cell r="H611">
            <v>231.65</v>
          </cell>
          <cell r="I611">
            <v>231.65</v>
          </cell>
        </row>
        <row r="612">
          <cell r="C612" t="str">
            <v>17.01.01.18</v>
          </cell>
          <cell r="D612" t="str">
            <v>PM-16 - 1,58 x 1,8 m - porta de madeira, de abrir, 2 folhas, com pintura esmalte acetinada cor branca, requadro de madeira em toda a voltap/ fixação, conforme projeto de detalhamento fl. 256-arq-pe-316-made-r00</v>
          </cell>
          <cell r="E612" t="str">
            <v xml:space="preserve">SER.CG </v>
          </cell>
          <cell r="F612" t="str">
            <v xml:space="preserve">un </v>
          </cell>
          <cell r="G612">
            <v>2</v>
          </cell>
          <cell r="H612">
            <v>537.17000000000007</v>
          </cell>
          <cell r="I612">
            <v>1074.3399999999999</v>
          </cell>
        </row>
        <row r="613">
          <cell r="C613" t="str">
            <v>2784</v>
          </cell>
          <cell r="D613" t="str">
            <v>Dobradiça 3½"x3", mod. 485 CRA da La Fonte®</v>
          </cell>
          <cell r="E613" t="str">
            <v>MAT.</v>
          </cell>
          <cell r="F613" t="str">
            <v>un</v>
          </cell>
          <cell r="G613">
            <v>6</v>
          </cell>
          <cell r="H613">
            <v>2.63</v>
          </cell>
          <cell r="I613">
            <v>15.78</v>
          </cell>
        </row>
        <row r="614">
          <cell r="C614" t="str">
            <v>99.1227</v>
          </cell>
          <cell r="D614" t="str">
            <v>Puxador para shaft</v>
          </cell>
          <cell r="E614" t="str">
            <v>MAT.</v>
          </cell>
          <cell r="F614" t="str">
            <v>un</v>
          </cell>
          <cell r="G614">
            <v>2</v>
          </cell>
          <cell r="H614">
            <v>8</v>
          </cell>
          <cell r="I614">
            <v>16</v>
          </cell>
        </row>
        <row r="615">
          <cell r="C615" t="str">
            <v>2786</v>
          </cell>
          <cell r="D615" t="str">
            <v>Fecho, mod. 400 CRA 20cmx3/4" da La Fonte®</v>
          </cell>
          <cell r="E615" t="str">
            <v>MAT.</v>
          </cell>
          <cell r="F615" t="str">
            <v>un</v>
          </cell>
          <cell r="G615">
            <v>2</v>
          </cell>
          <cell r="H615">
            <v>25</v>
          </cell>
          <cell r="I615">
            <v>50</v>
          </cell>
        </row>
        <row r="616">
          <cell r="C616" t="str">
            <v>99.1332</v>
          </cell>
          <cell r="D616" t="str">
            <v>MDO para instalação porta de shaft</v>
          </cell>
          <cell r="E616" t="str">
            <v>M.O.</v>
          </cell>
          <cell r="F616" t="str">
            <v>cj</v>
          </cell>
          <cell r="G616">
            <v>1</v>
          </cell>
          <cell r="H616">
            <v>40</v>
          </cell>
          <cell r="I616">
            <v>40</v>
          </cell>
        </row>
        <row r="617">
          <cell r="C617" t="str">
            <v>99.1392</v>
          </cell>
          <cell r="D617" t="str">
            <v>Fechadura auxiliar La Fonte cromada 119 ou similar (shaft)</v>
          </cell>
          <cell r="E617" t="str">
            <v>MAT.</v>
          </cell>
          <cell r="F617" t="str">
            <v>un</v>
          </cell>
          <cell r="G617">
            <v>1</v>
          </cell>
          <cell r="H617">
            <v>17.850000000000001</v>
          </cell>
          <cell r="I617">
            <v>17.850000000000001</v>
          </cell>
        </row>
        <row r="618">
          <cell r="C618" t="str">
            <v>99.2485</v>
          </cell>
          <cell r="D618" t="str">
            <v>1,58 x 1,8 m - porta de madeira, de abrir, 2 folhas, com pintura esmalte acetinada cor branca, requadro de madeira em toda a voltap/ fixação, conforme projeto de detalhamento fl. 256-arq-pe-316-made-r00</v>
          </cell>
          <cell r="E618" t="str">
            <v>MAT.</v>
          </cell>
          <cell r="F618" t="str">
            <v>un</v>
          </cell>
          <cell r="G618">
            <v>1</v>
          </cell>
          <cell r="H618">
            <v>397.54</v>
          </cell>
          <cell r="I618">
            <v>397.54</v>
          </cell>
        </row>
        <row r="619">
          <cell r="C619" t="str">
            <v>17.01.01.19</v>
          </cell>
          <cell r="D619" t="str">
            <v>PM-17 - 0,96 x 1,8 m - porta de madeira, de abrir, 2 folhas, com pintura esmalte acetinada cor branca, requadro de madeira em toda a voltap/ fixação, conforme projeto de detalhamento fl. 256-arq-pe-317-made-r00</v>
          </cell>
          <cell r="E619" t="str">
            <v xml:space="preserve">SER.CG </v>
          </cell>
          <cell r="F619" t="str">
            <v xml:space="preserve">un </v>
          </cell>
          <cell r="G619">
            <v>1</v>
          </cell>
          <cell r="H619">
            <v>453.36</v>
          </cell>
          <cell r="I619">
            <v>453.36</v>
          </cell>
        </row>
        <row r="620">
          <cell r="C620" t="str">
            <v>2784</v>
          </cell>
          <cell r="D620" t="str">
            <v>Dobradiça 3½"x3", mod. 485 CRA da La Fonte®</v>
          </cell>
          <cell r="E620" t="str">
            <v>MAT.</v>
          </cell>
          <cell r="F620" t="str">
            <v>un</v>
          </cell>
          <cell r="G620">
            <v>6</v>
          </cell>
          <cell r="H620">
            <v>2.63</v>
          </cell>
          <cell r="I620">
            <v>15.78</v>
          </cell>
        </row>
        <row r="621">
          <cell r="C621" t="str">
            <v>2786</v>
          </cell>
          <cell r="D621" t="str">
            <v>Fecho, mod. 400 CRA 20cmx3/4" da La Fonte®</v>
          </cell>
          <cell r="E621" t="str">
            <v>MAT.</v>
          </cell>
          <cell r="F621" t="str">
            <v>un</v>
          </cell>
          <cell r="G621">
            <v>2</v>
          </cell>
          <cell r="H621">
            <v>25</v>
          </cell>
          <cell r="I621">
            <v>50</v>
          </cell>
        </row>
        <row r="622">
          <cell r="C622" t="str">
            <v>99.1227</v>
          </cell>
          <cell r="D622" t="str">
            <v>Puxador para shaft</v>
          </cell>
          <cell r="E622" t="str">
            <v>MAT.</v>
          </cell>
          <cell r="F622" t="str">
            <v>un</v>
          </cell>
          <cell r="G622">
            <v>2</v>
          </cell>
          <cell r="H622">
            <v>8</v>
          </cell>
          <cell r="I622">
            <v>16</v>
          </cell>
        </row>
        <row r="623">
          <cell r="C623" t="str">
            <v>99.1332</v>
          </cell>
          <cell r="D623" t="str">
            <v>MDO para instalação porta de shaft</v>
          </cell>
          <cell r="E623" t="str">
            <v>M.O.</v>
          </cell>
          <cell r="F623" t="str">
            <v>cj</v>
          </cell>
          <cell r="G623">
            <v>1</v>
          </cell>
          <cell r="H623">
            <v>40</v>
          </cell>
          <cell r="I623">
            <v>40</v>
          </cell>
        </row>
        <row r="624">
          <cell r="C624" t="str">
            <v>99.1392</v>
          </cell>
          <cell r="D624" t="str">
            <v>Fechadura auxiliar La Fonte cromada 119 ou similar (shaft)</v>
          </cell>
          <cell r="E624" t="str">
            <v>MAT.</v>
          </cell>
          <cell r="F624" t="str">
            <v>un</v>
          </cell>
          <cell r="G624">
            <v>1</v>
          </cell>
          <cell r="H624">
            <v>17.850000000000001</v>
          </cell>
          <cell r="I624">
            <v>17.850000000000001</v>
          </cell>
        </row>
        <row r="625">
          <cell r="C625" t="str">
            <v>99.2486</v>
          </cell>
          <cell r="D625" t="str">
            <v>0,96 x 1,8 m - porta de madeira, de abrir, 2 folhas, com pintura esmalte acetinada cor branca, requadro de madeira em toda a voltap/ fixação, conforme projeto de detalhamento fl. 256-arq-pe-317-made-r00</v>
          </cell>
          <cell r="E625" t="str">
            <v>MAT.</v>
          </cell>
          <cell r="F625" t="str">
            <v>un</v>
          </cell>
          <cell r="G625">
            <v>1</v>
          </cell>
          <cell r="H625">
            <v>313.73</v>
          </cell>
          <cell r="I625">
            <v>313.73</v>
          </cell>
        </row>
        <row r="626">
          <cell r="C626" t="str">
            <v>17.01.01.20</v>
          </cell>
          <cell r="D626" t="str">
            <v>PM-18 - 1,23 x 1,8 m - porta de madeira, de abrir, 2 folhas, com pintura esmalte acetinada cor branca, requadro de madeira em toda a voltap/ fixação, conforme projeto de detalhamento fl. 256-arq-pe-318-made-r00</v>
          </cell>
          <cell r="E626" t="str">
            <v xml:space="preserve">SER.CG </v>
          </cell>
          <cell r="F626" t="str">
            <v xml:space="preserve">un </v>
          </cell>
          <cell r="G626">
            <v>1</v>
          </cell>
          <cell r="H626">
            <v>490.08</v>
          </cell>
          <cell r="I626">
            <v>490.08</v>
          </cell>
        </row>
        <row r="627">
          <cell r="C627" t="str">
            <v>2784</v>
          </cell>
          <cell r="D627" t="str">
            <v>Dobradiça 3½"x3", mod. 485 CRA da La Fonte®</v>
          </cell>
          <cell r="E627" t="str">
            <v>MAT.</v>
          </cell>
          <cell r="F627" t="str">
            <v>un</v>
          </cell>
          <cell r="G627">
            <v>6</v>
          </cell>
          <cell r="H627">
            <v>2.63</v>
          </cell>
          <cell r="I627">
            <v>15.78</v>
          </cell>
        </row>
        <row r="628">
          <cell r="C628" t="str">
            <v>2786</v>
          </cell>
          <cell r="D628" t="str">
            <v>Fecho, mod. 400 CRA 20cmx3/4" da La Fonte®</v>
          </cell>
          <cell r="E628" t="str">
            <v>MAT.</v>
          </cell>
          <cell r="F628" t="str">
            <v>un</v>
          </cell>
          <cell r="G628">
            <v>2</v>
          </cell>
          <cell r="H628">
            <v>25</v>
          </cell>
          <cell r="I628">
            <v>50</v>
          </cell>
        </row>
        <row r="629">
          <cell r="C629" t="str">
            <v>99.1227</v>
          </cell>
          <cell r="D629" t="str">
            <v>Puxador para shaft</v>
          </cell>
          <cell r="E629" t="str">
            <v>MAT.</v>
          </cell>
          <cell r="F629" t="str">
            <v>un</v>
          </cell>
          <cell r="G629">
            <v>2</v>
          </cell>
          <cell r="H629">
            <v>8</v>
          </cell>
          <cell r="I629">
            <v>16</v>
          </cell>
        </row>
        <row r="630">
          <cell r="C630" t="str">
            <v>99.1332</v>
          </cell>
          <cell r="D630" t="str">
            <v>MDO para instalação porta de shaft</v>
          </cell>
          <cell r="E630" t="str">
            <v>M.O.</v>
          </cell>
          <cell r="F630" t="str">
            <v>cj</v>
          </cell>
          <cell r="G630">
            <v>1</v>
          </cell>
          <cell r="H630">
            <v>40</v>
          </cell>
          <cell r="I630">
            <v>40</v>
          </cell>
        </row>
        <row r="631">
          <cell r="C631" t="str">
            <v>99.1392</v>
          </cell>
          <cell r="D631" t="str">
            <v>Fechadura auxiliar La Fonte cromada 119 ou similar (shaft)</v>
          </cell>
          <cell r="E631" t="str">
            <v>MAT.</v>
          </cell>
          <cell r="F631" t="str">
            <v>un</v>
          </cell>
          <cell r="G631">
            <v>1</v>
          </cell>
          <cell r="H631">
            <v>17.850000000000001</v>
          </cell>
          <cell r="I631">
            <v>17.850000000000001</v>
          </cell>
        </row>
        <row r="632">
          <cell r="C632" t="str">
            <v>99.2487</v>
          </cell>
          <cell r="D632" t="str">
            <v>1,23 x 1,8 m - porta de madeira, de abrir, 2 folhas, com pintura esmalte acetinada cor branca, requadro de madeira em toda a voltap/ fixação, conforme projeto de detalhamento fl. 256-arq-pe-318-made-r00</v>
          </cell>
          <cell r="E632" t="str">
            <v>MAT.</v>
          </cell>
          <cell r="F632" t="str">
            <v>un</v>
          </cell>
          <cell r="G632">
            <v>1</v>
          </cell>
          <cell r="H632">
            <v>350.45</v>
          </cell>
          <cell r="I632">
            <v>350.45</v>
          </cell>
        </row>
        <row r="633">
          <cell r="C633" t="str">
            <v>17.01.01.21</v>
          </cell>
          <cell r="D633" t="str">
            <v>PM-19 - 1,88 x 1,8 m - porta de madeira, de abrir, 4 folhas, com pintura esmalte acetinada cor branca, requadro de madeira em toda a voltap/ fixação, conforme projeto de detalhamento fl. 256-arq-pe-319-made-r00</v>
          </cell>
          <cell r="E633" t="str">
            <v xml:space="preserve">SER.CG </v>
          </cell>
          <cell r="F633" t="str">
            <v xml:space="preserve">un </v>
          </cell>
          <cell r="G633">
            <v>1</v>
          </cell>
          <cell r="H633">
            <v>848.8</v>
          </cell>
          <cell r="I633">
            <v>848.8</v>
          </cell>
        </row>
        <row r="634">
          <cell r="C634" t="str">
            <v>1627</v>
          </cell>
          <cell r="D634" t="str">
            <v>Dobradiça 3"x2 ½", mod. CR 1500</v>
          </cell>
          <cell r="E634" t="str">
            <v>MAT.</v>
          </cell>
          <cell r="F634" t="str">
            <v>un</v>
          </cell>
          <cell r="G634">
            <v>12</v>
          </cell>
          <cell r="H634">
            <v>2.63</v>
          </cell>
          <cell r="I634">
            <v>31.56</v>
          </cell>
        </row>
        <row r="635">
          <cell r="C635" t="str">
            <v>99.1227</v>
          </cell>
          <cell r="D635" t="str">
            <v>Puxador para shaft</v>
          </cell>
          <cell r="E635" t="str">
            <v>MAT.</v>
          </cell>
          <cell r="F635" t="str">
            <v>un</v>
          </cell>
          <cell r="G635">
            <v>4</v>
          </cell>
          <cell r="H635">
            <v>8</v>
          </cell>
          <cell r="I635">
            <v>32</v>
          </cell>
        </row>
        <row r="636">
          <cell r="C636">
            <v>1</v>
          </cell>
          <cell r="D636" t="str">
            <v>Fecho, mod. 400 CRA 20cmx3/4" da La Fonte®</v>
          </cell>
          <cell r="G636">
            <v>4</v>
          </cell>
          <cell r="H636">
            <v>25</v>
          </cell>
          <cell r="I636">
            <v>100</v>
          </cell>
        </row>
        <row r="637">
          <cell r="C637" t="str">
            <v>99.1332</v>
          </cell>
          <cell r="D637" t="str">
            <v>MDO para instalação porta de shaft</v>
          </cell>
          <cell r="E637" t="str">
            <v>M.O.</v>
          </cell>
          <cell r="F637" t="str">
            <v>cj</v>
          </cell>
          <cell r="G637">
            <v>1</v>
          </cell>
          <cell r="H637">
            <v>40</v>
          </cell>
          <cell r="I637">
            <v>40</v>
          </cell>
        </row>
        <row r="638">
          <cell r="C638" t="str">
            <v>99.1392</v>
          </cell>
          <cell r="D638" t="str">
            <v>Fechadura auxiliar La Fonte cromada 119 ou similar (shaft)</v>
          </cell>
          <cell r="E638" t="str">
            <v>MAT.</v>
          </cell>
          <cell r="F638" t="str">
            <v>un</v>
          </cell>
          <cell r="G638">
            <v>2</v>
          </cell>
          <cell r="H638">
            <v>17.850000000000001</v>
          </cell>
          <cell r="I638">
            <v>35.700000000000003</v>
          </cell>
        </row>
        <row r="639">
          <cell r="C639" t="str">
            <v>99.2488</v>
          </cell>
          <cell r="D639" t="str">
            <v>1,88 x 1,8 m - porta de madeira, de abrir, 4 folhas, com pintura esmalte acetinada cor branca, requadro de madeira em toda a voltap/ fixação, conforme projeto de detalhamento fl. 256-arq-pe-319-made-r00</v>
          </cell>
          <cell r="E639" t="str">
            <v>MAT.</v>
          </cell>
          <cell r="F639" t="str">
            <v>un</v>
          </cell>
          <cell r="G639">
            <v>1</v>
          </cell>
          <cell r="H639">
            <v>609.54</v>
          </cell>
          <cell r="I639">
            <v>609.54</v>
          </cell>
        </row>
        <row r="640">
          <cell r="C640" t="str">
            <v>17.01.01.22</v>
          </cell>
          <cell r="D640" t="str">
            <v>PM-20 - 3,23 x 1,8 m - porta de madeira, de abrir, 4 folhas, com pintura esmalte acetinada cor branca, requadro de madeira em toda a voltap/ fixação, conforme projeto de detalhamento fl. 256-arq-pe-319-made-r01</v>
          </cell>
          <cell r="E640" t="str">
            <v xml:space="preserve">SER.CG </v>
          </cell>
          <cell r="F640" t="str">
            <v xml:space="preserve">un </v>
          </cell>
          <cell r="G640">
            <v>1</v>
          </cell>
          <cell r="H640">
            <v>1169.26</v>
          </cell>
          <cell r="I640">
            <v>1169.26</v>
          </cell>
        </row>
        <row r="641">
          <cell r="C641" t="str">
            <v>2784</v>
          </cell>
          <cell r="D641" t="str">
            <v>Dobradiça 3½"x3", mod. 485 CRA da La Fonte®</v>
          </cell>
          <cell r="E641" t="str">
            <v>MAT.</v>
          </cell>
          <cell r="F641" t="str">
            <v>un</v>
          </cell>
          <cell r="G641">
            <v>12</v>
          </cell>
          <cell r="H641">
            <v>2.63</v>
          </cell>
          <cell r="I641">
            <v>31.56</v>
          </cell>
        </row>
        <row r="642">
          <cell r="C642" t="str">
            <v>2786</v>
          </cell>
          <cell r="D642" t="str">
            <v>Fecho, mod. 400 CRA 20cmx3/4" da La Fonte®</v>
          </cell>
          <cell r="E642" t="str">
            <v>MAT.</v>
          </cell>
          <cell r="F642" t="str">
            <v>un</v>
          </cell>
          <cell r="G642">
            <v>4</v>
          </cell>
          <cell r="H642">
            <v>25</v>
          </cell>
          <cell r="I642">
            <v>100</v>
          </cell>
        </row>
        <row r="643">
          <cell r="C643" t="str">
            <v>99.1227</v>
          </cell>
          <cell r="D643" t="str">
            <v>Puxador para shaft</v>
          </cell>
          <cell r="E643" t="str">
            <v>MAT.</v>
          </cell>
          <cell r="F643" t="str">
            <v>un</v>
          </cell>
          <cell r="G643">
            <v>4</v>
          </cell>
          <cell r="H643">
            <v>8</v>
          </cell>
          <cell r="I643">
            <v>32</v>
          </cell>
        </row>
        <row r="644">
          <cell r="C644" t="str">
            <v>99.1332</v>
          </cell>
          <cell r="D644" t="str">
            <v>MDO para instalação porta de shaft</v>
          </cell>
          <cell r="E644" t="str">
            <v>M.O.</v>
          </cell>
          <cell r="F644" t="str">
            <v>cj</v>
          </cell>
          <cell r="G644">
            <v>1</v>
          </cell>
          <cell r="H644">
            <v>40</v>
          </cell>
          <cell r="I644">
            <v>40</v>
          </cell>
        </row>
        <row r="645">
          <cell r="C645" t="str">
            <v>99.1392</v>
          </cell>
          <cell r="D645" t="str">
            <v>Fechadura auxiliar La Fonte cromada 119 ou similar (shaft)</v>
          </cell>
          <cell r="E645" t="str">
            <v>MAT.</v>
          </cell>
          <cell r="F645" t="str">
            <v>un</v>
          </cell>
          <cell r="G645">
            <v>2</v>
          </cell>
          <cell r="H645">
            <v>17.850000000000001</v>
          </cell>
          <cell r="I645">
            <v>35.700000000000003</v>
          </cell>
        </row>
        <row r="646">
          <cell r="C646" t="str">
            <v>99.2489</v>
          </cell>
          <cell r="D646" t="str">
            <v>3,23 x 1,8 m - porta de madeira, de abrir, 4 folhas, com pintura esmalte acetinada cor branca, requadro de madeira em toda a voltap/ fixação, conforme projeto de detalhamento fl. 256-arq-pe-319-made-r01</v>
          </cell>
          <cell r="E646" t="str">
            <v>MAT.</v>
          </cell>
          <cell r="F646" t="str">
            <v>un</v>
          </cell>
          <cell r="G646">
            <v>1</v>
          </cell>
          <cell r="H646">
            <v>930</v>
          </cell>
          <cell r="I646">
            <v>930</v>
          </cell>
        </row>
        <row r="647">
          <cell r="C647" t="str">
            <v>17.01.01.23</v>
          </cell>
          <cell r="D647" t="str">
            <v>PM-21 - 1,58 x 1,8 m - porta de madeira, de abrir, 1 folha, com pintura esmalte acetinada cor branca, requadro de madeira em toda a voltap/ fixação, conforme projeto de detalhamento fl. 256-arq-pe-310-made-r00</v>
          </cell>
          <cell r="E647" t="str">
            <v xml:space="preserve">SER.CG </v>
          </cell>
          <cell r="F647" t="str">
            <v xml:space="preserve">un </v>
          </cell>
          <cell r="G647">
            <v>1</v>
          </cell>
          <cell r="H647">
            <v>762.86</v>
          </cell>
          <cell r="I647">
            <v>762.86</v>
          </cell>
        </row>
        <row r="648">
          <cell r="C648" t="str">
            <v>1627</v>
          </cell>
          <cell r="D648" t="str">
            <v>Dobradiça 3"x2 ½", mod. CR 1500</v>
          </cell>
          <cell r="E648" t="str">
            <v>MAT.</v>
          </cell>
          <cell r="F648" t="str">
            <v>un</v>
          </cell>
          <cell r="G648">
            <v>3</v>
          </cell>
          <cell r="H648">
            <v>2.63</v>
          </cell>
          <cell r="I648">
            <v>7.89</v>
          </cell>
        </row>
        <row r="649">
          <cell r="C649" t="str">
            <v>2786</v>
          </cell>
          <cell r="D649" t="str">
            <v>Fecho, mod. 400 CRA 20cmx3/4" da La Fonte®</v>
          </cell>
          <cell r="E649" t="str">
            <v>MAT.</v>
          </cell>
          <cell r="F649" t="str">
            <v>un</v>
          </cell>
          <cell r="G649">
            <v>4</v>
          </cell>
          <cell r="H649">
            <v>25</v>
          </cell>
          <cell r="I649">
            <v>100</v>
          </cell>
        </row>
        <row r="650">
          <cell r="C650" t="str">
            <v>99.1227</v>
          </cell>
          <cell r="D650" t="str">
            <v>Puxador para shaft</v>
          </cell>
          <cell r="E650" t="str">
            <v>MAT.</v>
          </cell>
          <cell r="F650" t="str">
            <v>un</v>
          </cell>
          <cell r="G650">
            <v>4</v>
          </cell>
          <cell r="H650">
            <v>8</v>
          </cell>
          <cell r="I650">
            <v>32</v>
          </cell>
        </row>
        <row r="651">
          <cell r="C651" t="str">
            <v>99.1332</v>
          </cell>
          <cell r="D651" t="str">
            <v>MDO para instalação porta de shaft</v>
          </cell>
          <cell r="E651" t="str">
            <v>M.O.</v>
          </cell>
          <cell r="F651" t="str">
            <v>cj</v>
          </cell>
          <cell r="G651">
            <v>1</v>
          </cell>
          <cell r="H651">
            <v>40</v>
          </cell>
          <cell r="I651">
            <v>40</v>
          </cell>
        </row>
        <row r="652">
          <cell r="C652" t="str">
            <v>99.1392</v>
          </cell>
          <cell r="D652" t="str">
            <v>Fechadura auxiliar La Fonte cromada 119 ou similar (shaft)</v>
          </cell>
          <cell r="E652" t="str">
            <v>MAT.</v>
          </cell>
          <cell r="F652" t="str">
            <v>un</v>
          </cell>
          <cell r="G652">
            <v>1</v>
          </cell>
          <cell r="H652">
            <v>17.850000000000001</v>
          </cell>
          <cell r="I652">
            <v>17.850000000000001</v>
          </cell>
        </row>
        <row r="653">
          <cell r="C653" t="str">
            <v>99.2490</v>
          </cell>
          <cell r="D653" t="str">
            <v>1,58 x 1,8 m - porta de madeira, de abrir, 1 folha, com pintura esmalte acetinada cor branca, requadro de madeira em toda a voltap/ fixação, conforme projeto de detalhamento fl. 256-arq-pe-310-made-r00</v>
          </cell>
          <cell r="E653" t="str">
            <v>MAT.</v>
          </cell>
          <cell r="F653" t="str">
            <v>un</v>
          </cell>
          <cell r="G653">
            <v>1</v>
          </cell>
          <cell r="H653">
            <v>565.12</v>
          </cell>
          <cell r="I653">
            <v>565.12</v>
          </cell>
        </row>
        <row r="654">
          <cell r="C654" t="str">
            <v>19.01.01.01</v>
          </cell>
          <cell r="D654" t="str">
            <v>Vidro laminado 6mm incolor</v>
          </cell>
          <cell r="E654" t="str">
            <v xml:space="preserve">SER.CG </v>
          </cell>
          <cell r="F654" t="str">
            <v xml:space="preserve">m2 </v>
          </cell>
          <cell r="G654">
            <v>510</v>
          </cell>
          <cell r="H654">
            <v>106.92</v>
          </cell>
          <cell r="I654">
            <v>54529.2</v>
          </cell>
        </row>
        <row r="655">
          <cell r="C655" t="str">
            <v>99.1206</v>
          </cell>
          <cell r="D655" t="str">
            <v>Vidro laminado 6mm incolor</v>
          </cell>
          <cell r="E655" t="str">
            <v>MAT.</v>
          </cell>
          <cell r="F655" t="str">
            <v>m2</v>
          </cell>
          <cell r="G655">
            <v>1.1000000000000001</v>
          </cell>
          <cell r="H655">
            <v>97.2</v>
          </cell>
          <cell r="I655">
            <v>106.92</v>
          </cell>
        </row>
        <row r="656">
          <cell r="C656" t="str">
            <v>19.01.01.02</v>
          </cell>
          <cell r="D656" t="str">
            <v>Vidro laminado verde - guarda-corpo</v>
          </cell>
          <cell r="E656" t="str">
            <v xml:space="preserve">SER.CG </v>
          </cell>
          <cell r="F656" t="str">
            <v xml:space="preserve">m2 </v>
          </cell>
          <cell r="G656">
            <v>71</v>
          </cell>
          <cell r="H656">
            <v>118.8</v>
          </cell>
          <cell r="I656">
            <v>8434.7999999999993</v>
          </cell>
        </row>
        <row r="657">
          <cell r="C657" t="str">
            <v>99.2556</v>
          </cell>
          <cell r="D657" t="str">
            <v>Vidro laminado verde</v>
          </cell>
          <cell r="E657" t="str">
            <v>MAT.</v>
          </cell>
          <cell r="F657" t="str">
            <v>m2</v>
          </cell>
          <cell r="G657">
            <v>1.1000000000000001</v>
          </cell>
          <cell r="H657">
            <v>108</v>
          </cell>
          <cell r="I657">
            <v>118.8</v>
          </cell>
        </row>
        <row r="658">
          <cell r="C658" t="str">
            <v>19.01.04.01</v>
          </cell>
          <cell r="D658" t="str">
            <v>Vidro comum 6mm</v>
          </cell>
          <cell r="E658" t="str">
            <v xml:space="preserve">SER.CG </v>
          </cell>
          <cell r="F658" t="str">
            <v xml:space="preserve">m2 </v>
          </cell>
          <cell r="G658">
            <v>3354</v>
          </cell>
          <cell r="H658">
            <v>35.049999999999997</v>
          </cell>
          <cell r="I658">
            <v>117557.7</v>
          </cell>
        </row>
        <row r="659">
          <cell r="C659" t="str">
            <v>858</v>
          </cell>
          <cell r="D659" t="str">
            <v>Vidro comum 6mm</v>
          </cell>
          <cell r="E659" t="str">
            <v>MAT.</v>
          </cell>
          <cell r="F659" t="str">
            <v>m2</v>
          </cell>
          <cell r="G659">
            <v>1.1000000000000001</v>
          </cell>
          <cell r="H659">
            <v>31.86</v>
          </cell>
          <cell r="I659">
            <v>35.049999999999997</v>
          </cell>
        </row>
        <row r="660">
          <cell r="C660" t="str">
            <v>19.01.04.02</v>
          </cell>
          <cell r="D660" t="str">
            <v>Vidro comum pontilhado 4mm</v>
          </cell>
          <cell r="E660" t="str">
            <v xml:space="preserve">SER.CG </v>
          </cell>
          <cell r="F660" t="str">
            <v xml:space="preserve">m2 </v>
          </cell>
          <cell r="G660">
            <v>45</v>
          </cell>
          <cell r="H660">
            <v>23.14</v>
          </cell>
          <cell r="I660">
            <v>1041.3</v>
          </cell>
        </row>
        <row r="661">
          <cell r="C661" t="str">
            <v>99.1593</v>
          </cell>
          <cell r="D661" t="str">
            <v>Vidro pontilhado 4 mm</v>
          </cell>
          <cell r="E661" t="str">
            <v>MAT.</v>
          </cell>
          <cell r="F661" t="str">
            <v>m2</v>
          </cell>
          <cell r="G661">
            <v>1.1000000000000001</v>
          </cell>
          <cell r="H661">
            <v>21.04</v>
          </cell>
          <cell r="I661">
            <v>23.14</v>
          </cell>
        </row>
        <row r="662">
          <cell r="C662" t="str">
            <v>19.01.05.01</v>
          </cell>
          <cell r="D662" t="str">
            <v>Painel em espelho com bisote - esp.=3,0mm</v>
          </cell>
          <cell r="E662" t="str">
            <v xml:space="preserve">SER.CG </v>
          </cell>
          <cell r="F662" t="str">
            <v xml:space="preserve">m2 </v>
          </cell>
          <cell r="G662">
            <v>11</v>
          </cell>
          <cell r="H662">
            <v>275</v>
          </cell>
          <cell r="I662">
            <v>3025</v>
          </cell>
        </row>
        <row r="663">
          <cell r="C663" t="str">
            <v>99.2557</v>
          </cell>
          <cell r="D663" t="str">
            <v>Painel em espelho com bisote - esp.=3,0mm</v>
          </cell>
          <cell r="E663" t="str">
            <v>MAT.</v>
          </cell>
          <cell r="F663" t="str">
            <v>m2</v>
          </cell>
          <cell r="G663">
            <v>1.1000000000000001</v>
          </cell>
          <cell r="H663">
            <v>250</v>
          </cell>
          <cell r="I663">
            <v>275</v>
          </cell>
        </row>
        <row r="664">
          <cell r="C664" t="str">
            <v>20.01.01.01</v>
          </cell>
          <cell r="D664" t="str">
            <v>Cobertura em telha metálica</v>
          </cell>
          <cell r="E664" t="str">
            <v xml:space="preserve">SER.CG </v>
          </cell>
          <cell r="F664" t="str">
            <v xml:space="preserve">m2 </v>
          </cell>
          <cell r="G664">
            <v>137</v>
          </cell>
          <cell r="H664">
            <v>157.91</v>
          </cell>
          <cell r="I664">
            <v>21633.67</v>
          </cell>
        </row>
        <row r="665">
          <cell r="C665" t="str">
            <v>4882</v>
          </cell>
          <cell r="D665" t="str">
            <v>Cobertura em telha metálica, inclusive estrutura metálica</v>
          </cell>
          <cell r="E665" t="str">
            <v>EMPRE</v>
          </cell>
          <cell r="F665" t="str">
            <v>m2</v>
          </cell>
          <cell r="G665">
            <v>1</v>
          </cell>
          <cell r="H665">
            <v>157.91</v>
          </cell>
          <cell r="I665">
            <v>157.91</v>
          </cell>
        </row>
        <row r="666">
          <cell r="C666" t="str">
            <v>20.03.01.01</v>
          </cell>
          <cell r="D666" t="str">
            <v>Calha em chapa galvanizada</v>
          </cell>
          <cell r="E666" t="str">
            <v xml:space="preserve">SER.CG </v>
          </cell>
          <cell r="F666" t="str">
            <v xml:space="preserve">m </v>
          </cell>
          <cell r="G666">
            <v>20</v>
          </cell>
          <cell r="H666">
            <v>45.16</v>
          </cell>
          <cell r="I666">
            <v>903.2</v>
          </cell>
        </row>
        <row r="667">
          <cell r="C667" t="str">
            <v>4950</v>
          </cell>
          <cell r="D667" t="str">
            <v>Calha em chapa galvanizada com 300mm</v>
          </cell>
          <cell r="E667" t="str">
            <v>EMPRE</v>
          </cell>
          <cell r="F667" t="str">
            <v>m</v>
          </cell>
          <cell r="G667">
            <v>1</v>
          </cell>
          <cell r="H667">
            <v>45.16</v>
          </cell>
          <cell r="I667">
            <v>45.16</v>
          </cell>
        </row>
        <row r="668">
          <cell r="C668" t="str">
            <v>20.03.02.01</v>
          </cell>
          <cell r="D668" t="str">
            <v>Rufo em chapa galvanizada</v>
          </cell>
          <cell r="E668" t="str">
            <v xml:space="preserve">SER.CG </v>
          </cell>
          <cell r="F668" t="str">
            <v xml:space="preserve">m </v>
          </cell>
          <cell r="G668">
            <v>69</v>
          </cell>
          <cell r="H668">
            <v>30</v>
          </cell>
          <cell r="I668">
            <v>2070</v>
          </cell>
        </row>
        <row r="669">
          <cell r="C669" t="str">
            <v>99.1296</v>
          </cell>
          <cell r="D669" t="str">
            <v>Rufo em chapa galvanizada</v>
          </cell>
          <cell r="E669" t="str">
            <v>EMPRE</v>
          </cell>
          <cell r="F669" t="str">
            <v>m</v>
          </cell>
          <cell r="G669">
            <v>1</v>
          </cell>
          <cell r="H669">
            <v>30</v>
          </cell>
          <cell r="I669">
            <v>30</v>
          </cell>
        </row>
        <row r="670">
          <cell r="C670" t="str">
            <v>21.01.01.01</v>
          </cell>
          <cell r="D670" t="str">
            <v>Regularização de superfícies</v>
          </cell>
          <cell r="E670" t="str">
            <v xml:space="preserve">SER.CG </v>
          </cell>
          <cell r="F670" t="str">
            <v xml:space="preserve">m2 </v>
          </cell>
          <cell r="G670">
            <v>8627</v>
          </cell>
          <cell r="H670">
            <v>8.24</v>
          </cell>
          <cell r="I670">
            <v>71086.48</v>
          </cell>
        </row>
        <row r="671">
          <cell r="C671" t="str">
            <v>198</v>
          </cell>
          <cell r="D671" t="str">
            <v>Cimento Portland Composto CPII-E32 (saco 50kg)</v>
          </cell>
          <cell r="E671" t="str">
            <v>MAT.</v>
          </cell>
          <cell r="F671" t="str">
            <v>sc</v>
          </cell>
          <cell r="G671">
            <v>0.58320000000000005</v>
          </cell>
          <cell r="H671">
            <v>6.7</v>
          </cell>
          <cell r="I671">
            <v>3.91</v>
          </cell>
        </row>
        <row r="672">
          <cell r="C672" t="str">
            <v>4580</v>
          </cell>
          <cell r="D672" t="str">
            <v>MDO para regularização de superfícies para receber impermeabilização</v>
          </cell>
          <cell r="E672" t="str">
            <v>M.O.</v>
          </cell>
          <cell r="F672" t="str">
            <v>m2</v>
          </cell>
          <cell r="G672">
            <v>1</v>
          </cell>
          <cell r="H672">
            <v>2.5</v>
          </cell>
          <cell r="I672">
            <v>2.5</v>
          </cell>
        </row>
        <row r="673">
          <cell r="C673" t="str">
            <v>63</v>
          </cell>
          <cell r="D673" t="str">
            <v>Areia</v>
          </cell>
          <cell r="E673" t="str">
            <v>MAT.</v>
          </cell>
          <cell r="F673" t="str">
            <v>m3</v>
          </cell>
          <cell r="G673">
            <v>7.2999999999999995E-2</v>
          </cell>
          <cell r="H673">
            <v>25</v>
          </cell>
          <cell r="I673">
            <v>1.83</v>
          </cell>
        </row>
        <row r="674">
          <cell r="C674" t="str">
            <v>21.01.01.02</v>
          </cell>
          <cell r="D674" t="str">
            <v>Proteção mecânica primária sobre superfícies impermeabilizadas</v>
          </cell>
          <cell r="E674" t="str">
            <v xml:space="preserve">SER.CG </v>
          </cell>
          <cell r="F674" t="str">
            <v xml:space="preserve">m2 </v>
          </cell>
          <cell r="G674">
            <v>8785</v>
          </cell>
          <cell r="H674">
            <v>9.49</v>
          </cell>
          <cell r="I674">
            <v>83369.649999999994</v>
          </cell>
        </row>
        <row r="675">
          <cell r="C675" t="str">
            <v>4267</v>
          </cell>
          <cell r="D675" t="str">
            <v>Argamassa ensacada múltiplo uso (saco 40 kg)</v>
          </cell>
          <cell r="E675" t="str">
            <v>MAT.</v>
          </cell>
          <cell r="F675" t="str">
            <v>sc</v>
          </cell>
          <cell r="G675">
            <v>1</v>
          </cell>
          <cell r="H675">
            <v>3.7465000000000002</v>
          </cell>
          <cell r="I675">
            <v>3.75</v>
          </cell>
        </row>
        <row r="676">
          <cell r="C676" t="str">
            <v>4581</v>
          </cell>
          <cell r="D676" t="str">
            <v>MDO para execução de proteção mecânica sobre superfícies impermeabilizadas</v>
          </cell>
          <cell r="E676" t="str">
            <v>M.O.</v>
          </cell>
          <cell r="F676" t="str">
            <v>m2</v>
          </cell>
          <cell r="G676">
            <v>1</v>
          </cell>
          <cell r="H676">
            <v>4.5846999999999998</v>
          </cell>
          <cell r="I676">
            <v>4.58</v>
          </cell>
        </row>
        <row r="677">
          <cell r="C677" t="str">
            <v>63</v>
          </cell>
          <cell r="D677" t="str">
            <v>Areia</v>
          </cell>
          <cell r="E677" t="str">
            <v>MAT.</v>
          </cell>
          <cell r="F677" t="str">
            <v>m3</v>
          </cell>
          <cell r="G677">
            <v>3.6499999999999998E-2</v>
          </cell>
          <cell r="H677">
            <v>31.75</v>
          </cell>
          <cell r="I677">
            <v>1.1599999999999999</v>
          </cell>
        </row>
        <row r="678">
          <cell r="C678" t="str">
            <v>21.01.01.04</v>
          </cell>
          <cell r="D678" t="str">
            <v>Impermeabilização de áreas frias</v>
          </cell>
          <cell r="E678" t="str">
            <v xml:space="preserve">SER.CG </v>
          </cell>
          <cell r="F678" t="str">
            <v xml:space="preserve">m2 </v>
          </cell>
          <cell r="G678">
            <v>2099</v>
          </cell>
          <cell r="H678">
            <v>21.5</v>
          </cell>
          <cell r="I678">
            <v>45128.5</v>
          </cell>
        </row>
        <row r="679">
          <cell r="C679" t="str">
            <v>99.2563</v>
          </cell>
          <cell r="D679" t="str">
            <v>Manta asfáltica 3mm tipo III PL/EL</v>
          </cell>
          <cell r="E679" t="str">
            <v>EMPRE</v>
          </cell>
          <cell r="F679" t="str">
            <v>m2</v>
          </cell>
          <cell r="G679">
            <v>0.08</v>
          </cell>
          <cell r="H679">
            <v>22</v>
          </cell>
          <cell r="I679">
            <v>1.76</v>
          </cell>
        </row>
        <row r="680">
          <cell r="C680" t="str">
            <v>99.2564</v>
          </cell>
          <cell r="D680" t="str">
            <v>Cimento polimérico estruturado</v>
          </cell>
          <cell r="E680" t="str">
            <v>EMPRE</v>
          </cell>
          <cell r="F680" t="str">
            <v>m2</v>
          </cell>
          <cell r="G680">
            <v>5.7155999999999998E-2</v>
          </cell>
          <cell r="H680">
            <v>21.52</v>
          </cell>
          <cell r="I680">
            <v>1.23</v>
          </cell>
        </row>
        <row r="681">
          <cell r="C681" t="str">
            <v>99.2565</v>
          </cell>
          <cell r="D681" t="str">
            <v>Argamassa elastomérica estruturada</v>
          </cell>
          <cell r="E681" t="str">
            <v>EMPRE</v>
          </cell>
          <cell r="F681" t="str">
            <v>m2</v>
          </cell>
          <cell r="G681">
            <v>0.86</v>
          </cell>
          <cell r="H681">
            <v>21.52</v>
          </cell>
          <cell r="I681">
            <v>18.510000000000002</v>
          </cell>
        </row>
        <row r="682">
          <cell r="C682" t="str">
            <v>21.01.01.05</v>
          </cell>
          <cell r="D682" t="str">
            <v>Impermeabilização de lajes de cobertura</v>
          </cell>
          <cell r="E682" t="str">
            <v xml:space="preserve">SER.CG </v>
          </cell>
          <cell r="F682" t="str">
            <v xml:space="preserve">m2 </v>
          </cell>
          <cell r="G682">
            <v>456.5</v>
          </cell>
          <cell r="H682">
            <v>33.840000000000003</v>
          </cell>
          <cell r="I682">
            <v>15447.96</v>
          </cell>
        </row>
        <row r="683">
          <cell r="C683" t="str">
            <v>99.2569</v>
          </cell>
          <cell r="D683" t="str">
            <v>Manta asfáltica 4mm tipo III PL/EL</v>
          </cell>
          <cell r="E683" t="str">
            <v>EMPRE</v>
          </cell>
          <cell r="F683" t="str">
            <v>m2</v>
          </cell>
          <cell r="G683">
            <v>0.47</v>
          </cell>
          <cell r="H683">
            <v>23.840000000000003</v>
          </cell>
          <cell r="I683">
            <v>11.2</v>
          </cell>
        </row>
        <row r="684">
          <cell r="C684" t="str">
            <v>99.2570</v>
          </cell>
          <cell r="D684" t="str">
            <v>Manta asfáltica 3mm tipo III PL/EL + Manta asfáltica 4mm tipo III PL/EL</v>
          </cell>
          <cell r="E684" t="str">
            <v>EMPRE</v>
          </cell>
          <cell r="F684" t="str">
            <v>m2</v>
          </cell>
          <cell r="G684">
            <v>0.53</v>
          </cell>
          <cell r="H684">
            <v>42.72</v>
          </cell>
          <cell r="I684">
            <v>22.64</v>
          </cell>
        </row>
        <row r="685">
          <cell r="C685" t="str">
            <v>21.01.01.06</v>
          </cell>
          <cell r="D685" t="str">
            <v>Impermeabilização de jardineiras</v>
          </cell>
          <cell r="E685" t="str">
            <v xml:space="preserve">SER.CG </v>
          </cell>
          <cell r="F685" t="str">
            <v xml:space="preserve">m2 </v>
          </cell>
          <cell r="G685">
            <v>1032.5</v>
          </cell>
          <cell r="H685">
            <v>42.72</v>
          </cell>
          <cell r="I685">
            <v>44108.4</v>
          </cell>
        </row>
        <row r="686">
          <cell r="C686" t="str">
            <v>99.2573</v>
          </cell>
          <cell r="D686" t="str">
            <v>Manta asfáltica 3mm tipo III PL/EL + Manta asfáltica antiraiz 4mm tipo III PL/EL</v>
          </cell>
          <cell r="E686" t="str">
            <v>EMPRE</v>
          </cell>
          <cell r="F686" t="str">
            <v>m2</v>
          </cell>
          <cell r="G686">
            <v>1</v>
          </cell>
          <cell r="H686">
            <v>42.72</v>
          </cell>
          <cell r="I686">
            <v>42.72</v>
          </cell>
        </row>
        <row r="687">
          <cell r="C687" t="str">
            <v>21.01.01.07</v>
          </cell>
          <cell r="D687" t="str">
            <v>Impermeabilização de reservatórios inferior</v>
          </cell>
          <cell r="E687" t="str">
            <v xml:space="preserve">SER.CG </v>
          </cell>
          <cell r="F687" t="str">
            <v xml:space="preserve">m2 </v>
          </cell>
          <cell r="G687">
            <v>377</v>
          </cell>
          <cell r="H687">
            <v>19.850000000000001</v>
          </cell>
          <cell r="I687">
            <v>7483.45</v>
          </cell>
        </row>
        <row r="688">
          <cell r="C688" t="str">
            <v>99.2566</v>
          </cell>
          <cell r="D688" t="str">
            <v>Resina termoplástica estruturada</v>
          </cell>
          <cell r="E688" t="str">
            <v>EMPRE</v>
          </cell>
          <cell r="F688" t="str">
            <v>m2</v>
          </cell>
          <cell r="G688">
            <v>0.62729999999999997</v>
          </cell>
          <cell r="H688">
            <v>26.080000000000002</v>
          </cell>
          <cell r="I688">
            <v>16.36</v>
          </cell>
        </row>
        <row r="689">
          <cell r="C689" t="str">
            <v>99.2567</v>
          </cell>
          <cell r="D689" t="str">
            <v>Cimento polimérico 2 demãos</v>
          </cell>
          <cell r="E689" t="str">
            <v>EMPRE</v>
          </cell>
          <cell r="F689" t="str">
            <v>m2</v>
          </cell>
          <cell r="G689">
            <v>0.37267</v>
          </cell>
          <cell r="H689">
            <v>9.36</v>
          </cell>
          <cell r="I689">
            <v>3.49</v>
          </cell>
        </row>
        <row r="690">
          <cell r="C690" t="str">
            <v>21.01.01.08</v>
          </cell>
          <cell r="D690" t="str">
            <v>Impermeabilização de espelho d água</v>
          </cell>
          <cell r="E690" t="str">
            <v xml:space="preserve">SER.CG </v>
          </cell>
          <cell r="F690" t="str">
            <v xml:space="preserve">m2 </v>
          </cell>
          <cell r="G690">
            <v>54</v>
          </cell>
          <cell r="H690">
            <v>42.72</v>
          </cell>
          <cell r="I690">
            <v>2306.88</v>
          </cell>
        </row>
        <row r="691">
          <cell r="C691" t="str">
            <v>99.2570</v>
          </cell>
          <cell r="D691" t="str">
            <v>Manta asfáltica 3mm tipo III PL/EL + Manta asfáltica 4mm tipo III PL/EL</v>
          </cell>
          <cell r="E691" t="str">
            <v>EMPRE</v>
          </cell>
          <cell r="F691" t="str">
            <v>m2</v>
          </cell>
          <cell r="G691">
            <v>1</v>
          </cell>
          <cell r="H691">
            <v>42.72</v>
          </cell>
          <cell r="I691">
            <v>42.72</v>
          </cell>
        </row>
        <row r="692">
          <cell r="C692" t="str">
            <v>21.01.01.09</v>
          </cell>
          <cell r="D692" t="str">
            <v>Impermeabilização de terraços, com argamassa polimérica</v>
          </cell>
          <cell r="E692" t="str">
            <v xml:space="preserve">SER.CG </v>
          </cell>
          <cell r="F692" t="str">
            <v xml:space="preserve">m2 </v>
          </cell>
          <cell r="G692">
            <v>3421</v>
          </cell>
          <cell r="H692">
            <v>26.29</v>
          </cell>
          <cell r="I692">
            <v>89938.09</v>
          </cell>
        </row>
        <row r="693">
          <cell r="C693" t="str">
            <v>99.2565</v>
          </cell>
          <cell r="D693" t="str">
            <v>Argamassa elastomérica estruturada</v>
          </cell>
          <cell r="E693" t="str">
            <v>EMPRE</v>
          </cell>
          <cell r="F693" t="str">
            <v>m2</v>
          </cell>
          <cell r="G693">
            <v>0.49</v>
          </cell>
          <cell r="H693">
            <v>21.52</v>
          </cell>
          <cell r="I693">
            <v>10.54</v>
          </cell>
        </row>
        <row r="694">
          <cell r="C694" t="str">
            <v>99.2569</v>
          </cell>
          <cell r="D694" t="str">
            <v>Manta asfáltica 4mm tipo III PL/EL</v>
          </cell>
          <cell r="E694" t="str">
            <v>EMPRE</v>
          </cell>
          <cell r="F694" t="str">
            <v>m2</v>
          </cell>
          <cell r="G694">
            <v>0.32</v>
          </cell>
          <cell r="H694">
            <v>23.840000000000003</v>
          </cell>
          <cell r="I694">
            <v>7.63</v>
          </cell>
        </row>
        <row r="695">
          <cell r="C695" t="str">
            <v>99.2570</v>
          </cell>
          <cell r="D695" t="str">
            <v>Manta asfáltica 3mm tipo III PL/EL + Manta asfáltica 4mm tipo III PL/EL</v>
          </cell>
          <cell r="E695" t="str">
            <v>EMPRE</v>
          </cell>
          <cell r="F695" t="str">
            <v>m2</v>
          </cell>
          <cell r="G695">
            <v>0.19</v>
          </cell>
          <cell r="H695">
            <v>42.72</v>
          </cell>
          <cell r="I695">
            <v>8.1199999999999992</v>
          </cell>
        </row>
        <row r="696">
          <cell r="C696" t="str">
            <v>21.01.01.10</v>
          </cell>
          <cell r="D696" t="str">
            <v>Impermeabilização de poço de elevador</v>
          </cell>
          <cell r="E696" t="str">
            <v xml:space="preserve">SER.CG </v>
          </cell>
          <cell r="F696" t="str">
            <v xml:space="preserve">m2 </v>
          </cell>
          <cell r="G696">
            <v>189</v>
          </cell>
          <cell r="H696">
            <v>11.6</v>
          </cell>
          <cell r="I696">
            <v>2192.4</v>
          </cell>
        </row>
        <row r="697">
          <cell r="C697" t="str">
            <v>2493</v>
          </cell>
          <cell r="D697" t="str">
            <v>Impermeabilização com cimento polimérico, bi-componente, com consumo 3kg/m²</v>
          </cell>
          <cell r="E697" t="str">
            <v>EMPRE</v>
          </cell>
          <cell r="F697" t="str">
            <v>m2</v>
          </cell>
          <cell r="G697">
            <v>1</v>
          </cell>
          <cell r="H697">
            <v>11.600000000000001</v>
          </cell>
          <cell r="I697">
            <v>11.6</v>
          </cell>
        </row>
        <row r="698">
          <cell r="C698" t="str">
            <v>21.01.01.11</v>
          </cell>
          <cell r="D698" t="str">
            <v>Impermeabilização de lajes piso</v>
          </cell>
          <cell r="E698" t="str">
            <v xml:space="preserve">SER.CG </v>
          </cell>
          <cell r="F698" t="str">
            <v xml:space="preserve">m2 </v>
          </cell>
          <cell r="G698">
            <v>3006.5</v>
          </cell>
          <cell r="H698">
            <v>41.900000000000006</v>
          </cell>
          <cell r="I698">
            <v>125972.35</v>
          </cell>
        </row>
        <row r="699">
          <cell r="C699" t="str">
            <v>99.2569</v>
          </cell>
          <cell r="D699" t="str">
            <v>Manta asfáltica 4mm tipo III PL/EL</v>
          </cell>
          <cell r="E699" t="str">
            <v>EMPRE</v>
          </cell>
          <cell r="F699" t="str">
            <v>m2</v>
          </cell>
          <cell r="G699">
            <v>4.274E-2</v>
          </cell>
          <cell r="H699">
            <v>23.840000000000003</v>
          </cell>
          <cell r="I699">
            <v>1.02</v>
          </cell>
        </row>
        <row r="700">
          <cell r="C700" t="str">
            <v>99.2570</v>
          </cell>
          <cell r="D700" t="str">
            <v>Manta asfáltica 3mm tipo III PL/EL + Manta asfáltica 4mm tipo III PL/EL</v>
          </cell>
          <cell r="E700" t="str">
            <v>EMPRE</v>
          </cell>
          <cell r="F700" t="str">
            <v>m2</v>
          </cell>
          <cell r="G700">
            <v>0.95699999999999996</v>
          </cell>
          <cell r="H700">
            <v>42.72</v>
          </cell>
          <cell r="I700">
            <v>40.880000000000003</v>
          </cell>
        </row>
        <row r="701">
          <cell r="C701" t="str">
            <v>21.01.01.12</v>
          </cell>
          <cell r="D701" t="str">
            <v>Impermeabilização de deck</v>
          </cell>
          <cell r="E701" t="str">
            <v xml:space="preserve">SER.CG </v>
          </cell>
          <cell r="F701" t="str">
            <v xml:space="preserve">m2 </v>
          </cell>
          <cell r="G701">
            <v>35</v>
          </cell>
          <cell r="H701">
            <v>42.72</v>
          </cell>
          <cell r="I701">
            <v>1495.2</v>
          </cell>
        </row>
        <row r="702">
          <cell r="C702" t="str">
            <v>99.2570</v>
          </cell>
          <cell r="D702" t="str">
            <v>Manta asfáltica 3mm tipo III PL/EL + Manta asfáltica 4mm tipo III PL/EL</v>
          </cell>
          <cell r="E702" t="str">
            <v>EMPRE</v>
          </cell>
          <cell r="F702" t="str">
            <v>m2</v>
          </cell>
          <cell r="G702">
            <v>1</v>
          </cell>
          <cell r="H702">
            <v>42.72</v>
          </cell>
          <cell r="I702">
            <v>42.72</v>
          </cell>
        </row>
        <row r="703">
          <cell r="C703" t="str">
            <v>21.01.01.13</v>
          </cell>
          <cell r="D703" t="str">
            <v>Impermeabilização de reservatórios de águas pluviais</v>
          </cell>
          <cell r="E703" t="str">
            <v xml:space="preserve">SER.CG </v>
          </cell>
          <cell r="F703" t="str">
            <v xml:space="preserve">m2 </v>
          </cell>
          <cell r="G703">
            <v>101</v>
          </cell>
          <cell r="H703">
            <v>19.39</v>
          </cell>
          <cell r="I703">
            <v>1958.39</v>
          </cell>
        </row>
        <row r="704">
          <cell r="C704" t="str">
            <v>99.2566</v>
          </cell>
          <cell r="D704" t="str">
            <v>Resina termoplástica estruturada</v>
          </cell>
          <cell r="E704" t="str">
            <v>EMPRE</v>
          </cell>
          <cell r="F704" t="str">
            <v>m2</v>
          </cell>
          <cell r="G704">
            <v>0.6</v>
          </cell>
          <cell r="H704">
            <v>26.080000000000002</v>
          </cell>
          <cell r="I704">
            <v>15.65</v>
          </cell>
        </row>
        <row r="705">
          <cell r="C705" t="str">
            <v>99.2567</v>
          </cell>
          <cell r="D705" t="str">
            <v>Cimento polimérico 2 demãos</v>
          </cell>
          <cell r="E705" t="str">
            <v>EMPRE</v>
          </cell>
          <cell r="F705" t="str">
            <v>m2</v>
          </cell>
          <cell r="G705">
            <v>0.4</v>
          </cell>
          <cell r="H705">
            <v>9.36</v>
          </cell>
          <cell r="I705">
            <v>3.74</v>
          </cell>
        </row>
        <row r="706">
          <cell r="C706" t="str">
            <v>21.01.01.14</v>
          </cell>
          <cell r="D706" t="str">
            <v>Impermeabiização de canaletas em parede diafragma</v>
          </cell>
          <cell r="E706" t="str">
            <v xml:space="preserve">SER.CG </v>
          </cell>
          <cell r="F706" t="str">
            <v xml:space="preserve">m2 </v>
          </cell>
          <cell r="G706">
            <v>1308</v>
          </cell>
          <cell r="H706">
            <v>21.52</v>
          </cell>
          <cell r="I706">
            <v>28148.16</v>
          </cell>
        </row>
        <row r="707">
          <cell r="C707" t="str">
            <v>99.2564</v>
          </cell>
          <cell r="D707" t="str">
            <v>Cimento polimérico estruturado</v>
          </cell>
          <cell r="E707" t="str">
            <v>EMPRE</v>
          </cell>
          <cell r="F707" t="str">
            <v>m2</v>
          </cell>
          <cell r="G707">
            <v>1</v>
          </cell>
          <cell r="H707">
            <v>21.52</v>
          </cell>
          <cell r="I707">
            <v>21.52</v>
          </cell>
        </row>
        <row r="708">
          <cell r="C708" t="str">
            <v>21.01.01.15</v>
          </cell>
          <cell r="D708" t="str">
            <v>Tratamento de junta de dilatação</v>
          </cell>
          <cell r="E708" t="str">
            <v xml:space="preserve">SER.CG </v>
          </cell>
          <cell r="F708" t="str">
            <v xml:space="preserve">m </v>
          </cell>
          <cell r="G708">
            <v>999</v>
          </cell>
          <cell r="H708">
            <v>23.6</v>
          </cell>
          <cell r="I708">
            <v>23576.400000000001</v>
          </cell>
        </row>
        <row r="709">
          <cell r="C709" t="str">
            <v>99.2574</v>
          </cell>
          <cell r="D709" t="str">
            <v>Tratamento de junta de dilatação com 2 faixas de manta asf. 4mm P-P</v>
          </cell>
          <cell r="E709" t="str">
            <v>EMPRE</v>
          </cell>
          <cell r="F709" t="str">
            <v>m</v>
          </cell>
          <cell r="G709">
            <v>1</v>
          </cell>
          <cell r="H709">
            <v>23.6</v>
          </cell>
          <cell r="I709">
            <v>23.6</v>
          </cell>
        </row>
        <row r="710">
          <cell r="C710" t="str">
            <v>21.01.01.16</v>
          </cell>
          <cell r="D710" t="str">
            <v>Impermeabilização de respaldo de fundaçao</v>
          </cell>
          <cell r="E710" t="str">
            <v xml:space="preserve">SER.CG </v>
          </cell>
          <cell r="F710" t="str">
            <v>m2</v>
          </cell>
          <cell r="G710">
            <v>122</v>
          </cell>
          <cell r="H710">
            <v>11.2</v>
          </cell>
          <cell r="I710">
            <v>1366.4</v>
          </cell>
        </row>
        <row r="711">
          <cell r="C711" t="str">
            <v>99.2574</v>
          </cell>
          <cell r="D711" t="str">
            <v>Tinta Asfáltica Neutrol</v>
          </cell>
          <cell r="E711" t="str">
            <v>EMPRE</v>
          </cell>
          <cell r="F711" t="str">
            <v>un</v>
          </cell>
          <cell r="G711">
            <v>2.1738999999999999E-3</v>
          </cell>
          <cell r="H711">
            <v>736</v>
          </cell>
          <cell r="I711">
            <v>1.6</v>
          </cell>
        </row>
        <row r="712">
          <cell r="C712">
            <v>1</v>
          </cell>
          <cell r="D712" t="str">
            <v>MDO para impermeabilização</v>
          </cell>
          <cell r="F712" t="str">
            <v>m2</v>
          </cell>
          <cell r="G712">
            <v>1</v>
          </cell>
          <cell r="H712">
            <v>9.6000000000000014</v>
          </cell>
          <cell r="I712">
            <v>9.6</v>
          </cell>
        </row>
        <row r="713">
          <cell r="C713" t="str">
            <v>22.01.01.01</v>
          </cell>
          <cell r="D713" t="str">
            <v>Chapisco convencional com argamassa de cimento e areia 1:3 em paredes internas</v>
          </cell>
          <cell r="E713" t="str">
            <v xml:space="preserve">SER.CG </v>
          </cell>
          <cell r="F713" t="str">
            <v xml:space="preserve">m2 </v>
          </cell>
          <cell r="G713">
            <v>6262</v>
          </cell>
          <cell r="H713">
            <v>3.9400000000000004</v>
          </cell>
          <cell r="I713">
            <v>24672.28</v>
          </cell>
        </row>
        <row r="714">
          <cell r="C714" t="str">
            <v>198</v>
          </cell>
          <cell r="D714" t="str">
            <v>Cimento Portland Composto CPII-E32 (saco 50kg)</v>
          </cell>
          <cell r="E714" t="str">
            <v>MAT.</v>
          </cell>
          <cell r="F714" t="str">
            <v>sc</v>
          </cell>
          <cell r="G714">
            <v>5.8400000000000001E-2</v>
          </cell>
          <cell r="H714">
            <v>13.4</v>
          </cell>
          <cell r="I714">
            <v>0.78</v>
          </cell>
        </row>
        <row r="715">
          <cell r="C715" t="str">
            <v>4695</v>
          </cell>
          <cell r="D715" t="str">
            <v>MDO para chapisco convencional em paredes internas</v>
          </cell>
          <cell r="E715" t="str">
            <v>M.O.</v>
          </cell>
          <cell r="F715" t="str">
            <v>m2</v>
          </cell>
          <cell r="G715">
            <v>1</v>
          </cell>
          <cell r="H715">
            <v>2.2000000000000002</v>
          </cell>
          <cell r="I715">
            <v>2.2000000000000002</v>
          </cell>
        </row>
        <row r="716">
          <cell r="C716" t="str">
            <v>48</v>
          </cell>
          <cell r="D716" t="str">
            <v>Aditivo de alto desempenho para massa Bianco da Otto Baumgart® (tambor 200 litros)</v>
          </cell>
          <cell r="E716" t="str">
            <v>MAT.</v>
          </cell>
          <cell r="F716" t="str">
            <v>un</v>
          </cell>
          <cell r="G716">
            <v>9.8999999999999999E-4</v>
          </cell>
          <cell r="H716">
            <v>599</v>
          </cell>
          <cell r="I716">
            <v>0.59</v>
          </cell>
        </row>
        <row r="717">
          <cell r="C717" t="str">
            <v>63</v>
          </cell>
          <cell r="D717" t="str">
            <v>Areia</v>
          </cell>
          <cell r="E717" t="str">
            <v>MAT.</v>
          </cell>
          <cell r="F717" t="str">
            <v>m3</v>
          </cell>
          <cell r="G717">
            <v>7.3000000000000001E-3</v>
          </cell>
          <cell r="H717">
            <v>50</v>
          </cell>
          <cell r="I717">
            <v>0.37</v>
          </cell>
        </row>
        <row r="718">
          <cell r="C718" t="str">
            <v>22.01.01.02</v>
          </cell>
          <cell r="D718" t="str">
            <v>Chapisco com argamassa tipo xapiscofix® em paredes internas</v>
          </cell>
          <cell r="E718" t="str">
            <v xml:space="preserve">SER.CG </v>
          </cell>
          <cell r="F718" t="str">
            <v xml:space="preserve">m2 </v>
          </cell>
          <cell r="G718">
            <v>1566</v>
          </cell>
          <cell r="H718">
            <v>3.28</v>
          </cell>
          <cell r="I718">
            <v>5136.4799999999996</v>
          </cell>
        </row>
        <row r="719">
          <cell r="C719" t="str">
            <v>518</v>
          </cell>
          <cell r="D719" t="str">
            <v>MDO para chapisco com argamassa tipo xapiscofix® em paredes internas</v>
          </cell>
          <cell r="E719" t="str">
            <v>M.O.</v>
          </cell>
          <cell r="F719" t="str">
            <v>m2</v>
          </cell>
          <cell r="G719">
            <v>1</v>
          </cell>
          <cell r="H719">
            <v>2.2999999999999998</v>
          </cell>
          <cell r="I719">
            <v>2.2999999999999998</v>
          </cell>
        </row>
        <row r="720">
          <cell r="C720" t="str">
            <v>921</v>
          </cell>
          <cell r="D720" t="str">
            <v>Argamassa adesiva para chapisco Xapiscofix da Quatzolit® (saco 20kg)</v>
          </cell>
          <cell r="E720" t="str">
            <v>MAT.</v>
          </cell>
          <cell r="F720" t="str">
            <v>sc</v>
          </cell>
          <cell r="G720">
            <v>0.2</v>
          </cell>
          <cell r="H720">
            <v>4.9000000000000004</v>
          </cell>
          <cell r="I720">
            <v>0.98</v>
          </cell>
        </row>
        <row r="721">
          <cell r="C721" t="str">
            <v>22.01.02.01</v>
          </cell>
          <cell r="D721" t="str">
            <v>Massa única com argamass pré fabricada em paredes internas e=2,0 cm</v>
          </cell>
          <cell r="E721" t="str">
            <v xml:space="preserve">SER.CG </v>
          </cell>
          <cell r="F721" t="str">
            <v xml:space="preserve">m2 </v>
          </cell>
          <cell r="G721">
            <v>6035</v>
          </cell>
          <cell r="H721">
            <v>20.399999999999999</v>
          </cell>
          <cell r="I721">
            <v>123114</v>
          </cell>
        </row>
        <row r="722">
          <cell r="C722" t="str">
            <v>4267</v>
          </cell>
          <cell r="D722" t="str">
            <v>Argamassa ensacada múltiplo uso (saco 40 kg)</v>
          </cell>
          <cell r="E722" t="str">
            <v>MAT.</v>
          </cell>
          <cell r="F722" t="str">
            <v>sc</v>
          </cell>
          <cell r="G722">
            <v>1</v>
          </cell>
          <cell r="H722">
            <v>5.9</v>
          </cell>
          <cell r="I722">
            <v>5.9</v>
          </cell>
        </row>
        <row r="723">
          <cell r="C723" t="str">
            <v>495</v>
          </cell>
          <cell r="D723" t="str">
            <v>MDO para massa única interna</v>
          </cell>
          <cell r="E723" t="str">
            <v>M.O.</v>
          </cell>
          <cell r="F723" t="str">
            <v>m2</v>
          </cell>
          <cell r="G723">
            <v>1</v>
          </cell>
          <cell r="H723">
            <v>14.5</v>
          </cell>
          <cell r="I723">
            <v>14.5</v>
          </cell>
        </row>
        <row r="724">
          <cell r="C724" t="str">
            <v>22.01.03.01</v>
          </cell>
          <cell r="D724" t="str">
            <v>Emboço com argamassa pré fabricadas em paredes internas e=2,0 cm</v>
          </cell>
          <cell r="E724" t="str">
            <v xml:space="preserve">SER.CG </v>
          </cell>
          <cell r="F724" t="str">
            <v xml:space="preserve">m2 </v>
          </cell>
          <cell r="G724">
            <v>1569</v>
          </cell>
          <cell r="H724">
            <v>20.399999999999999</v>
          </cell>
          <cell r="I724">
            <v>32007.599999999999</v>
          </cell>
        </row>
        <row r="725">
          <cell r="C725" t="str">
            <v>4267</v>
          </cell>
          <cell r="D725" t="str">
            <v>Argamassa ensacada múltiplo uso (saco 40 kg)</v>
          </cell>
          <cell r="E725" t="str">
            <v>MAT.</v>
          </cell>
          <cell r="F725" t="str">
            <v>sc</v>
          </cell>
          <cell r="G725">
            <v>1</v>
          </cell>
          <cell r="H725">
            <v>5.9</v>
          </cell>
          <cell r="I725">
            <v>5.9</v>
          </cell>
        </row>
        <row r="726">
          <cell r="C726" t="str">
            <v>503</v>
          </cell>
          <cell r="D726" t="str">
            <v>MDO para emboço interno - panos</v>
          </cell>
          <cell r="E726" t="str">
            <v>M.O.</v>
          </cell>
          <cell r="F726" t="str">
            <v>m2</v>
          </cell>
          <cell r="G726">
            <v>1</v>
          </cell>
          <cell r="H726">
            <v>14.5</v>
          </cell>
          <cell r="I726">
            <v>14.5</v>
          </cell>
        </row>
        <row r="727">
          <cell r="C727" t="str">
            <v>22.01.03.02</v>
          </cell>
          <cell r="D727" t="str">
            <v>Emboço em poço de elevador</v>
          </cell>
          <cell r="E727" t="str">
            <v xml:space="preserve">SER.CG </v>
          </cell>
          <cell r="F727" t="str">
            <v xml:space="preserve">m2 </v>
          </cell>
          <cell r="G727">
            <v>224</v>
          </cell>
          <cell r="H727">
            <v>21.58</v>
          </cell>
          <cell r="I727">
            <v>4833.92</v>
          </cell>
        </row>
        <row r="728">
          <cell r="C728" t="str">
            <v>4267</v>
          </cell>
          <cell r="D728" t="str">
            <v>Argamassa ensacada múltiplo uso (saco 40 kg)</v>
          </cell>
          <cell r="E728" t="str">
            <v>MAT.</v>
          </cell>
          <cell r="F728" t="str">
            <v>sc</v>
          </cell>
          <cell r="G728">
            <v>1.2</v>
          </cell>
          <cell r="H728">
            <v>5.9</v>
          </cell>
          <cell r="I728">
            <v>7.08</v>
          </cell>
        </row>
        <row r="729">
          <cell r="C729" t="str">
            <v>503</v>
          </cell>
          <cell r="D729" t="str">
            <v>MDO para emboço interno - panos</v>
          </cell>
          <cell r="E729" t="str">
            <v>M.O.</v>
          </cell>
          <cell r="F729" t="str">
            <v>m2</v>
          </cell>
          <cell r="G729">
            <v>1</v>
          </cell>
          <cell r="H729">
            <v>14.5</v>
          </cell>
          <cell r="I729">
            <v>14.5</v>
          </cell>
        </row>
        <row r="730">
          <cell r="C730" t="str">
            <v>22.02.01.01</v>
          </cell>
          <cell r="D730" t="str">
            <v>Cerâmica Cecrisa White Basic Matte 30x30 cm ou similar das marcas Eliane, Gyotoku e Portobello</v>
          </cell>
          <cell r="E730" t="str">
            <v xml:space="preserve">SER.CG </v>
          </cell>
          <cell r="F730" t="str">
            <v xml:space="preserve">m2 </v>
          </cell>
          <cell r="G730">
            <v>1804</v>
          </cell>
          <cell r="H730">
            <v>36.519999999999996</v>
          </cell>
          <cell r="I730">
            <v>65882.080000000002</v>
          </cell>
        </row>
        <row r="731">
          <cell r="C731" t="str">
            <v>1750</v>
          </cell>
          <cell r="D731" t="str">
            <v>Rejunte Juntaplus larga da Eliane® (Saco 5 kg)</v>
          </cell>
          <cell r="E731" t="str">
            <v>MAT.</v>
          </cell>
          <cell r="F731" t="str">
            <v>sc</v>
          </cell>
          <cell r="G731">
            <v>0.152</v>
          </cell>
          <cell r="H731">
            <v>11.39</v>
          </cell>
          <cell r="I731">
            <v>1.73</v>
          </cell>
        </row>
        <row r="732">
          <cell r="C732" t="str">
            <v>4572</v>
          </cell>
          <cell r="D732" t="str">
            <v>MDO para assentamento de azulejo cerâmico</v>
          </cell>
          <cell r="E732" t="str">
            <v>M.O.</v>
          </cell>
          <cell r="F732" t="str">
            <v>m2</v>
          </cell>
          <cell r="G732">
            <v>1</v>
          </cell>
          <cell r="H732">
            <v>18.5</v>
          </cell>
          <cell r="I732">
            <v>18.5</v>
          </cell>
        </row>
        <row r="733">
          <cell r="C733" t="str">
            <v>4584</v>
          </cell>
          <cell r="D733" t="str">
            <v>Argamassa colante uso interno, ref. ACI da Quartzolit (saco 20kg)</v>
          </cell>
          <cell r="E733" t="str">
            <v>MAT.</v>
          </cell>
          <cell r="F733" t="str">
            <v>sc</v>
          </cell>
          <cell r="G733">
            <v>0.25</v>
          </cell>
          <cell r="H733">
            <v>4.5</v>
          </cell>
          <cell r="I733">
            <v>1.1299999999999999</v>
          </cell>
        </row>
        <row r="734">
          <cell r="C734" t="str">
            <v>99.2491</v>
          </cell>
          <cell r="D734" t="str">
            <v>Cerâmica Cecrisa White Basic Matte 30x30 cm ou similar das marcas Eliane, Gyotoku e Portobello</v>
          </cell>
          <cell r="E734" t="str">
            <v>MAT.</v>
          </cell>
          <cell r="F734" t="str">
            <v>m2</v>
          </cell>
          <cell r="G734">
            <v>1.1000000000000001</v>
          </cell>
          <cell r="H734">
            <v>13.78</v>
          </cell>
          <cell r="I734">
            <v>15.16</v>
          </cell>
        </row>
        <row r="735">
          <cell r="C735" t="str">
            <v>22.02.01.02</v>
          </cell>
          <cell r="D735" t="str">
            <v>Duramax WH 45 x 45cm Portinari</v>
          </cell>
          <cell r="E735" t="str">
            <v xml:space="preserve">SER.CG </v>
          </cell>
          <cell r="F735" t="str">
            <v xml:space="preserve">m2 </v>
          </cell>
          <cell r="G735">
            <v>204</v>
          </cell>
          <cell r="H735">
            <v>53.73</v>
          </cell>
          <cell r="I735">
            <v>10960.92</v>
          </cell>
        </row>
        <row r="736">
          <cell r="C736" t="str">
            <v>1750</v>
          </cell>
          <cell r="D736" t="str">
            <v>Rejunte Juntaplus larga da Eliane® (Saco 5 kg)</v>
          </cell>
          <cell r="E736" t="str">
            <v>MAT.</v>
          </cell>
          <cell r="F736" t="str">
            <v>sc</v>
          </cell>
          <cell r="G736">
            <v>0.152</v>
          </cell>
          <cell r="H736">
            <v>11.39</v>
          </cell>
          <cell r="I736">
            <v>1.73</v>
          </cell>
        </row>
        <row r="737">
          <cell r="C737" t="str">
            <v>4572</v>
          </cell>
          <cell r="D737" t="str">
            <v>MDO para assentamento de azulejo cerâmico</v>
          </cell>
          <cell r="E737" t="str">
            <v>M.O.</v>
          </cell>
          <cell r="F737" t="str">
            <v>m2</v>
          </cell>
          <cell r="G737">
            <v>1</v>
          </cell>
          <cell r="H737">
            <v>18.5</v>
          </cell>
          <cell r="I737">
            <v>18.5</v>
          </cell>
        </row>
        <row r="738">
          <cell r="C738" t="str">
            <v>4584</v>
          </cell>
          <cell r="D738" t="str">
            <v>Argamassa colante uso interno, ref. ACI da Quartzolit (saco 20kg)</v>
          </cell>
          <cell r="E738" t="str">
            <v>MAT.</v>
          </cell>
          <cell r="F738" t="str">
            <v>sc</v>
          </cell>
          <cell r="G738">
            <v>0.25</v>
          </cell>
          <cell r="H738">
            <v>4.5</v>
          </cell>
          <cell r="I738">
            <v>1.1299999999999999</v>
          </cell>
        </row>
        <row r="739">
          <cell r="C739" t="str">
            <v>99.2492</v>
          </cell>
          <cell r="D739" t="str">
            <v>Duramax WH 45 x 45cm Portinari</v>
          </cell>
          <cell r="E739" t="str">
            <v>MAT.</v>
          </cell>
          <cell r="F739" t="str">
            <v>m2</v>
          </cell>
          <cell r="G739">
            <v>1.1000000000000001</v>
          </cell>
          <cell r="H739">
            <v>29.43</v>
          </cell>
          <cell r="I739">
            <v>32.369999999999997</v>
          </cell>
        </row>
        <row r="740">
          <cell r="C740" t="str">
            <v>22.03.01.01</v>
          </cell>
          <cell r="D740" t="str">
            <v>Revestimento em granito Branco Itaúnas</v>
          </cell>
          <cell r="E740" t="str">
            <v xml:space="preserve">SER.CG </v>
          </cell>
          <cell r="F740" t="str">
            <v xml:space="preserve">m2 </v>
          </cell>
          <cell r="G740">
            <v>43</v>
          </cell>
          <cell r="H740">
            <v>341.9</v>
          </cell>
          <cell r="I740">
            <v>14701.7</v>
          </cell>
        </row>
        <row r="741">
          <cell r="C741" t="str">
            <v>2509</v>
          </cell>
          <cell r="D741" t="str">
            <v>MDO para assentamento de granito em paredes</v>
          </cell>
          <cell r="E741" t="str">
            <v>M.O.</v>
          </cell>
          <cell r="F741" t="str">
            <v>m2</v>
          </cell>
          <cell r="G741">
            <v>1</v>
          </cell>
          <cell r="H741">
            <v>33.21</v>
          </cell>
          <cell r="I741">
            <v>33.21</v>
          </cell>
        </row>
        <row r="742">
          <cell r="C742" t="str">
            <v>2965</v>
          </cell>
          <cell r="D742" t="str">
            <v>Revestimento em granito polido Branco Itaúnas</v>
          </cell>
          <cell r="E742" t="str">
            <v>MAT.</v>
          </cell>
          <cell r="F742" t="str">
            <v>m2</v>
          </cell>
          <cell r="G742">
            <v>1.1000000000000001</v>
          </cell>
          <cell r="H742">
            <v>276</v>
          </cell>
          <cell r="I742">
            <v>303.60000000000002</v>
          </cell>
        </row>
        <row r="743">
          <cell r="C743" t="str">
            <v>4313</v>
          </cell>
          <cell r="D743" t="str">
            <v>Argamassa colante ferma marmore granito interna da Quartzolit® (sc 20Kg)</v>
          </cell>
          <cell r="E743" t="str">
            <v>MAT.</v>
          </cell>
          <cell r="F743" t="str">
            <v>sc</v>
          </cell>
          <cell r="G743">
            <v>0.25</v>
          </cell>
          <cell r="H743">
            <v>17</v>
          </cell>
          <cell r="I743">
            <v>4.25</v>
          </cell>
        </row>
        <row r="744">
          <cell r="C744" t="str">
            <v>4352</v>
          </cell>
          <cell r="D744" t="str">
            <v>Rejunte SH porcelanato da Quartzolit® (caixa 5kg)</v>
          </cell>
          <cell r="E744" t="str">
            <v>MAT.</v>
          </cell>
          <cell r="F744" t="str">
            <v>CX</v>
          </cell>
          <cell r="G744">
            <v>8.4400000000000003E-2</v>
          </cell>
          <cell r="H744">
            <v>10</v>
          </cell>
          <cell r="I744">
            <v>0.84</v>
          </cell>
        </row>
        <row r="745">
          <cell r="C745" t="str">
            <v>22.03.03.01</v>
          </cell>
          <cell r="D745" t="str">
            <v>Batente em granito branco Itaúna</v>
          </cell>
          <cell r="E745" t="str">
            <v xml:space="preserve">SER.CG </v>
          </cell>
          <cell r="F745" t="str">
            <v xml:space="preserve">cj </v>
          </cell>
          <cell r="G745">
            <v>14</v>
          </cell>
          <cell r="H745">
            <v>696.11</v>
          </cell>
          <cell r="I745">
            <v>9745.5400000000009</v>
          </cell>
        </row>
        <row r="746">
          <cell r="C746" t="str">
            <v>4313</v>
          </cell>
          <cell r="D746" t="str">
            <v>Argamassa colante ferma marmore granito interna da Quartzolit® (sc 20Kg)</v>
          </cell>
          <cell r="E746" t="str">
            <v>MAT.</v>
          </cell>
          <cell r="F746" t="str">
            <v>sc</v>
          </cell>
          <cell r="G746">
            <v>0.81</v>
          </cell>
          <cell r="H746">
            <v>17</v>
          </cell>
          <cell r="I746">
            <v>13.77</v>
          </cell>
        </row>
        <row r="747">
          <cell r="C747" t="str">
            <v>4352</v>
          </cell>
          <cell r="D747" t="str">
            <v>Rejunte SH porcelanato da Quartzolit® (caixa 5kg)</v>
          </cell>
          <cell r="E747" t="str">
            <v>MAT.</v>
          </cell>
          <cell r="F747" t="str">
            <v>CX</v>
          </cell>
          <cell r="G747">
            <v>3.4000000000000002E-2</v>
          </cell>
          <cell r="H747">
            <v>10</v>
          </cell>
          <cell r="I747">
            <v>0.34</v>
          </cell>
        </row>
        <row r="748">
          <cell r="C748" t="str">
            <v>99.2493</v>
          </cell>
          <cell r="D748" t="str">
            <v>Batente em granito branco Itaúna</v>
          </cell>
          <cell r="E748" t="str">
            <v>MAT.</v>
          </cell>
          <cell r="F748" t="str">
            <v>cj</v>
          </cell>
          <cell r="G748">
            <v>1.1000000000000001</v>
          </cell>
          <cell r="H748">
            <v>620</v>
          </cell>
          <cell r="I748">
            <v>682</v>
          </cell>
        </row>
        <row r="749">
          <cell r="C749" t="str">
            <v>22.04.01.01</v>
          </cell>
          <cell r="D749" t="str">
            <v>Gesso liso em paredes internas</v>
          </cell>
          <cell r="E749" t="str">
            <v xml:space="preserve">SER.CG </v>
          </cell>
          <cell r="F749" t="str">
            <v xml:space="preserve">m2 </v>
          </cell>
          <cell r="G749">
            <v>10341</v>
          </cell>
          <cell r="H749">
            <v>13</v>
          </cell>
          <cell r="I749">
            <v>134433</v>
          </cell>
        </row>
        <row r="750">
          <cell r="C750" t="str">
            <v>357</v>
          </cell>
          <cell r="D750" t="str">
            <v>Gesso liso em paredes</v>
          </cell>
          <cell r="E750" t="str">
            <v>EMPRE</v>
          </cell>
          <cell r="F750" t="str">
            <v>m2</v>
          </cell>
          <cell r="G750">
            <v>1</v>
          </cell>
          <cell r="H750">
            <v>13</v>
          </cell>
          <cell r="I750">
            <v>13</v>
          </cell>
        </row>
        <row r="751">
          <cell r="C751" t="str">
            <v>22.04.01.02</v>
          </cell>
          <cell r="D751" t="str">
            <v>Gesso liso em paredes internas - Faixas</v>
          </cell>
          <cell r="E751" t="str">
            <v xml:space="preserve">SER.CG </v>
          </cell>
          <cell r="F751" t="str">
            <v xml:space="preserve">m2 </v>
          </cell>
          <cell r="G751">
            <v>3252</v>
          </cell>
          <cell r="H751">
            <v>7</v>
          </cell>
          <cell r="I751">
            <v>22764</v>
          </cell>
        </row>
        <row r="752">
          <cell r="C752" t="str">
            <v>357</v>
          </cell>
          <cell r="D752" t="str">
            <v>Gesso liso em paredes</v>
          </cell>
          <cell r="E752" t="str">
            <v>EMPRE</v>
          </cell>
          <cell r="F752" t="str">
            <v>m2</v>
          </cell>
          <cell r="G752">
            <v>1</v>
          </cell>
          <cell r="H752">
            <v>7</v>
          </cell>
          <cell r="I752">
            <v>7</v>
          </cell>
        </row>
        <row r="753">
          <cell r="C753" t="str">
            <v>22.06.01.01</v>
          </cell>
          <cell r="D753" t="str">
            <v>Tratamento de concreto para poço de elevadores</v>
          </cell>
          <cell r="E753" t="str">
            <v xml:space="preserve">SER.CG </v>
          </cell>
          <cell r="F753" t="str">
            <v xml:space="preserve">m2 </v>
          </cell>
          <cell r="G753">
            <v>1502</v>
          </cell>
          <cell r="H753">
            <v>7.5</v>
          </cell>
          <cell r="I753">
            <v>11265</v>
          </cell>
        </row>
        <row r="754">
          <cell r="C754" t="str">
            <v>2708</v>
          </cell>
          <cell r="D754" t="str">
            <v>MDO para tratamento de concreto em poço de elevador</v>
          </cell>
          <cell r="E754" t="str">
            <v>M.O.</v>
          </cell>
          <cell r="F754" t="str">
            <v>m2</v>
          </cell>
          <cell r="G754">
            <v>1</v>
          </cell>
          <cell r="H754">
            <v>7.5</v>
          </cell>
          <cell r="I754">
            <v>7.5</v>
          </cell>
        </row>
        <row r="755">
          <cell r="C755" t="str">
            <v>22.06.01.02</v>
          </cell>
          <cell r="D755" t="str">
            <v>Tratamento de concreto para parede diafragma</v>
          </cell>
          <cell r="E755" t="str">
            <v xml:space="preserve">SER.CG </v>
          </cell>
          <cell r="F755" t="str">
            <v xml:space="preserve">m2 </v>
          </cell>
          <cell r="G755">
            <v>1421</v>
          </cell>
          <cell r="H755">
            <v>7.5</v>
          </cell>
          <cell r="I755">
            <v>10657.5</v>
          </cell>
        </row>
        <row r="756">
          <cell r="C756" t="str">
            <v>2708</v>
          </cell>
          <cell r="D756" t="str">
            <v>Tratamento de concreto para parede diafragma</v>
          </cell>
          <cell r="E756" t="str">
            <v>M.O.</v>
          </cell>
          <cell r="F756" t="str">
            <v>m2</v>
          </cell>
          <cell r="G756">
            <v>1</v>
          </cell>
          <cell r="H756">
            <v>7.5</v>
          </cell>
          <cell r="I756">
            <v>7.5</v>
          </cell>
        </row>
        <row r="757">
          <cell r="C757" t="str">
            <v>23.01.01.01</v>
          </cell>
          <cell r="D757" t="str">
            <v>Chapisco convencional com argamassa de cimento e areia 1:3 em paredes externas</v>
          </cell>
          <cell r="E757" t="str">
            <v xml:space="preserve">SER.CG </v>
          </cell>
          <cell r="F757" t="str">
            <v xml:space="preserve">m2 </v>
          </cell>
          <cell r="G757">
            <v>11777.3</v>
          </cell>
          <cell r="H757">
            <v>5.4</v>
          </cell>
          <cell r="I757">
            <v>63597.42</v>
          </cell>
        </row>
        <row r="758">
          <cell r="C758" t="str">
            <v>198</v>
          </cell>
          <cell r="D758" t="str">
            <v>Cimento Portland Composto CPII-E32 (saco 50kg)</v>
          </cell>
          <cell r="E758" t="str">
            <v>MAT.</v>
          </cell>
          <cell r="F758" t="str">
            <v>sc</v>
          </cell>
          <cell r="G758">
            <v>5.8400000000000001E-2</v>
          </cell>
          <cell r="H758">
            <v>13.4</v>
          </cell>
          <cell r="I758">
            <v>0.78</v>
          </cell>
        </row>
        <row r="759">
          <cell r="C759" t="str">
            <v>2643</v>
          </cell>
          <cell r="D759" t="str">
            <v>Cola concentrada para argamassa Sikafix da Sika® (balde 18kg)</v>
          </cell>
          <cell r="E759" t="str">
            <v>MAT.</v>
          </cell>
          <cell r="F759" t="str">
            <v>un</v>
          </cell>
          <cell r="G759">
            <v>1.1110999999999999E-2</v>
          </cell>
          <cell r="H759">
            <v>45</v>
          </cell>
          <cell r="I759">
            <v>0.5</v>
          </cell>
        </row>
        <row r="760">
          <cell r="C760" t="str">
            <v>4694</v>
          </cell>
          <cell r="D760" t="str">
            <v>MDO para chapisco convencional em paredes externas</v>
          </cell>
          <cell r="E760" t="str">
            <v>M.O.</v>
          </cell>
          <cell r="F760" t="str">
            <v>m2</v>
          </cell>
          <cell r="G760">
            <v>1</v>
          </cell>
          <cell r="H760">
            <v>3.75</v>
          </cell>
          <cell r="I760">
            <v>3.75</v>
          </cell>
        </row>
        <row r="761">
          <cell r="C761" t="str">
            <v>63</v>
          </cell>
          <cell r="D761" t="str">
            <v>Areia</v>
          </cell>
          <cell r="E761" t="str">
            <v>MAT.</v>
          </cell>
          <cell r="F761" t="str">
            <v>m3</v>
          </cell>
          <cell r="G761">
            <v>7.3000000000000001E-3</v>
          </cell>
          <cell r="H761">
            <v>50</v>
          </cell>
          <cell r="I761">
            <v>0.37</v>
          </cell>
        </row>
        <row r="762">
          <cell r="C762" t="str">
            <v>23.01.01.02</v>
          </cell>
          <cell r="D762" t="str">
            <v>Chapisco com argamassa tipo xapiscofix® em paredes externas</v>
          </cell>
          <cell r="E762" t="str">
            <v xml:space="preserve">SER.CG </v>
          </cell>
          <cell r="F762" t="str">
            <v xml:space="preserve">m2 </v>
          </cell>
          <cell r="G762">
            <v>2911</v>
          </cell>
          <cell r="H762">
            <v>5.48</v>
          </cell>
          <cell r="I762">
            <v>15952.28</v>
          </cell>
        </row>
        <row r="763">
          <cell r="C763" t="str">
            <v>2710</v>
          </cell>
          <cell r="D763" t="str">
            <v>MDO para chapisco com argamassa tipo xapiscofix® em paredes externas</v>
          </cell>
          <cell r="E763" t="str">
            <v>M.O.</v>
          </cell>
          <cell r="F763" t="str">
            <v>m2</v>
          </cell>
          <cell r="G763">
            <v>1</v>
          </cell>
          <cell r="H763">
            <v>4.5</v>
          </cell>
          <cell r="I763">
            <v>4.5</v>
          </cell>
        </row>
        <row r="764">
          <cell r="C764" t="str">
            <v>921</v>
          </cell>
          <cell r="D764" t="str">
            <v>Argamassa adesiva para chapisco Xapiscofix da Quatzolit® (saco 20kg)</v>
          </cell>
          <cell r="E764" t="str">
            <v>MAT.</v>
          </cell>
          <cell r="F764" t="str">
            <v>sc</v>
          </cell>
          <cell r="G764">
            <v>0.2</v>
          </cell>
          <cell r="H764">
            <v>4.9000000000000004</v>
          </cell>
          <cell r="I764">
            <v>0.98</v>
          </cell>
        </row>
        <row r="765">
          <cell r="C765" t="str">
            <v>23.01.02.01</v>
          </cell>
          <cell r="D765" t="str">
            <v>Emboço com argamassa múltiplo uso em paredes externas - panos e=3,0 cm</v>
          </cell>
          <cell r="E765" t="str">
            <v xml:space="preserve">SER.CG </v>
          </cell>
          <cell r="F765" t="str">
            <v xml:space="preserve">m2 </v>
          </cell>
          <cell r="G765">
            <v>13530.3</v>
          </cell>
          <cell r="H765">
            <v>27.85</v>
          </cell>
          <cell r="I765">
            <v>376818.86</v>
          </cell>
        </row>
        <row r="766">
          <cell r="C766" t="str">
            <v>4267</v>
          </cell>
          <cell r="D766" t="str">
            <v>Argamassa ensacada múltiplo uso (saco 40 kg)</v>
          </cell>
          <cell r="E766" t="str">
            <v>MAT.</v>
          </cell>
          <cell r="F766" t="str">
            <v>sc</v>
          </cell>
          <cell r="G766">
            <v>1.5</v>
          </cell>
          <cell r="H766">
            <v>5.9</v>
          </cell>
          <cell r="I766">
            <v>8.85</v>
          </cell>
        </row>
        <row r="767">
          <cell r="C767" t="str">
            <v>502</v>
          </cell>
          <cell r="D767" t="str">
            <v>MDO para emboço externo - panos</v>
          </cell>
          <cell r="E767" t="str">
            <v>M.O.</v>
          </cell>
          <cell r="F767" t="str">
            <v>m2</v>
          </cell>
          <cell r="G767">
            <v>1</v>
          </cell>
          <cell r="H767">
            <v>19</v>
          </cell>
          <cell r="I767">
            <v>19</v>
          </cell>
        </row>
        <row r="768">
          <cell r="C768" t="str">
            <v>23.01.02.02</v>
          </cell>
          <cell r="D768" t="str">
            <v>Emboço com argamassa múltiplo uso em paredes externas - faixas e=3,0 cm</v>
          </cell>
          <cell r="E768" t="str">
            <v xml:space="preserve">SER.CG </v>
          </cell>
          <cell r="F768" t="str">
            <v xml:space="preserve">m </v>
          </cell>
          <cell r="G768">
            <v>7356</v>
          </cell>
          <cell r="H768">
            <v>13.93</v>
          </cell>
          <cell r="I768">
            <v>102469.08</v>
          </cell>
        </row>
        <row r="769">
          <cell r="C769" t="str">
            <v>4267</v>
          </cell>
          <cell r="D769" t="str">
            <v>Argamassa ensacada múltiplo uso (saco 40 kg)</v>
          </cell>
          <cell r="E769" t="str">
            <v>MAT.</v>
          </cell>
          <cell r="F769" t="str">
            <v>sc</v>
          </cell>
          <cell r="G769">
            <v>0.75</v>
          </cell>
          <cell r="H769">
            <v>5.9</v>
          </cell>
          <cell r="I769">
            <v>4.43</v>
          </cell>
        </row>
        <row r="770">
          <cell r="C770" t="str">
            <v>506</v>
          </cell>
          <cell r="D770" t="str">
            <v>MDO para emboço externo - faixas</v>
          </cell>
          <cell r="E770" t="str">
            <v>M.O.</v>
          </cell>
          <cell r="F770" t="str">
            <v>m</v>
          </cell>
          <cell r="G770">
            <v>1</v>
          </cell>
          <cell r="H770">
            <v>9.5</v>
          </cell>
          <cell r="I770">
            <v>9.5</v>
          </cell>
        </row>
        <row r="771">
          <cell r="C771" t="str">
            <v>23.01.02.03</v>
          </cell>
          <cell r="D771" t="str">
            <v>Friso sobre emboço externo</v>
          </cell>
          <cell r="E771" t="str">
            <v xml:space="preserve">SER.CG </v>
          </cell>
          <cell r="F771" t="str">
            <v xml:space="preserve">m </v>
          </cell>
          <cell r="G771">
            <v>5010</v>
          </cell>
          <cell r="H771">
            <v>6</v>
          </cell>
          <cell r="I771">
            <v>30060</v>
          </cell>
        </row>
        <row r="772">
          <cell r="C772" t="str">
            <v>99.1209</v>
          </cell>
          <cell r="D772" t="str">
            <v>MDO para friso sobre emboço externo</v>
          </cell>
          <cell r="E772" t="str">
            <v>M.O.</v>
          </cell>
          <cell r="F772" t="str">
            <v>m</v>
          </cell>
          <cell r="G772">
            <v>1</v>
          </cell>
          <cell r="H772">
            <v>6</v>
          </cell>
          <cell r="I772">
            <v>6</v>
          </cell>
        </row>
        <row r="773">
          <cell r="C773" t="str">
            <v>23.04.02.01</v>
          </cell>
          <cell r="D773" t="str">
            <v>Moldura em EPS para fachada</v>
          </cell>
          <cell r="E773" t="str">
            <v xml:space="preserve">SER.CG </v>
          </cell>
          <cell r="F773" t="str">
            <v xml:space="preserve">m </v>
          </cell>
          <cell r="G773">
            <v>321</v>
          </cell>
          <cell r="H773">
            <v>80</v>
          </cell>
          <cell r="I773">
            <v>25680</v>
          </cell>
        </row>
        <row r="774">
          <cell r="C774" t="str">
            <v>99.1209</v>
          </cell>
          <cell r="D774" t="str">
            <v>Moldura em EPS para fachada</v>
          </cell>
          <cell r="E774" t="str">
            <v>M.O.</v>
          </cell>
          <cell r="F774" t="str">
            <v>m</v>
          </cell>
          <cell r="G774">
            <v>1</v>
          </cell>
          <cell r="H774">
            <v>80</v>
          </cell>
          <cell r="I774">
            <v>80</v>
          </cell>
        </row>
        <row r="775">
          <cell r="C775" t="str">
            <v>23.04.02.02</v>
          </cell>
          <cell r="D775" t="str">
            <v>Moldura em EPS para muro de fechamento</v>
          </cell>
          <cell r="E775" t="str">
            <v xml:space="preserve">SER.CG </v>
          </cell>
          <cell r="F775" t="str">
            <v xml:space="preserve">m </v>
          </cell>
          <cell r="G775">
            <v>256</v>
          </cell>
          <cell r="H775">
            <v>94</v>
          </cell>
          <cell r="I775">
            <v>24064</v>
          </cell>
        </row>
        <row r="776">
          <cell r="C776" t="str">
            <v>99.1209</v>
          </cell>
          <cell r="D776" t="str">
            <v>Moldura em EPS para muro de fechamento</v>
          </cell>
          <cell r="E776" t="str">
            <v>M.O.</v>
          </cell>
          <cell r="F776" t="str">
            <v>m</v>
          </cell>
          <cell r="G776">
            <v>1</v>
          </cell>
          <cell r="H776">
            <v>94</v>
          </cell>
          <cell r="I776">
            <v>94</v>
          </cell>
        </row>
        <row r="777">
          <cell r="C777" t="str">
            <v>24.01.01.01</v>
          </cell>
          <cell r="D777" t="str">
            <v>Chapisco interno com argamassa cimento/areia 1:3</v>
          </cell>
          <cell r="E777" t="str">
            <v xml:space="preserve">SER.CG </v>
          </cell>
          <cell r="F777" t="str">
            <v xml:space="preserve">m2 </v>
          </cell>
          <cell r="G777">
            <v>1530</v>
          </cell>
          <cell r="H777">
            <v>4.04</v>
          </cell>
          <cell r="I777">
            <v>6181.2</v>
          </cell>
        </row>
        <row r="778">
          <cell r="C778" t="str">
            <v>198</v>
          </cell>
          <cell r="D778" t="str">
            <v>Cimento Portland Composto CPII-E32 (saco 50kg)</v>
          </cell>
          <cell r="E778" t="str">
            <v>MAT.</v>
          </cell>
          <cell r="F778" t="str">
            <v>sc</v>
          </cell>
          <cell r="G778">
            <v>5.8400000000000001E-2</v>
          </cell>
          <cell r="H778">
            <v>13.4</v>
          </cell>
          <cell r="I778">
            <v>0.78</v>
          </cell>
        </row>
        <row r="779">
          <cell r="C779" t="str">
            <v>48</v>
          </cell>
          <cell r="D779" t="str">
            <v>Aditivo de alto desempenho para massa Bianco da Otto Baumgart® (tambor 200 litros)</v>
          </cell>
          <cell r="E779" t="str">
            <v>MAT.</v>
          </cell>
          <cell r="F779" t="str">
            <v>un</v>
          </cell>
          <cell r="G779">
            <v>9.8999999999999999E-4</v>
          </cell>
          <cell r="H779">
            <v>599</v>
          </cell>
          <cell r="I779">
            <v>0.59</v>
          </cell>
        </row>
        <row r="780">
          <cell r="C780" t="str">
            <v>489</v>
          </cell>
          <cell r="D780" t="str">
            <v>MDO para chapisco em forro</v>
          </cell>
          <cell r="E780" t="str">
            <v>M.O.</v>
          </cell>
          <cell r="F780" t="str">
            <v>m2</v>
          </cell>
          <cell r="G780">
            <v>1</v>
          </cell>
          <cell r="H780">
            <v>2.2999999999999998</v>
          </cell>
          <cell r="I780">
            <v>2.2999999999999998</v>
          </cell>
        </row>
        <row r="781">
          <cell r="C781" t="str">
            <v>63</v>
          </cell>
          <cell r="D781" t="str">
            <v>Areia</v>
          </cell>
          <cell r="E781" t="str">
            <v>MAT.</v>
          </cell>
          <cell r="F781" t="str">
            <v>m3</v>
          </cell>
          <cell r="G781">
            <v>7.3000000000000001E-3</v>
          </cell>
          <cell r="H781">
            <v>50</v>
          </cell>
          <cell r="I781">
            <v>0.37</v>
          </cell>
        </row>
        <row r="782">
          <cell r="C782" t="str">
            <v>24.01.02.01</v>
          </cell>
          <cell r="D782" t="str">
            <v>Massa única com argamass pré fabricada em tetos e=2,5 cm</v>
          </cell>
          <cell r="E782" t="str">
            <v xml:space="preserve">SER.CG </v>
          </cell>
          <cell r="F782" t="str">
            <v xml:space="preserve">m2 </v>
          </cell>
          <cell r="G782">
            <v>44</v>
          </cell>
          <cell r="H782">
            <v>24.67</v>
          </cell>
          <cell r="I782">
            <v>1085.48</v>
          </cell>
        </row>
        <row r="783">
          <cell r="C783" t="str">
            <v>4267</v>
          </cell>
          <cell r="D783" t="str">
            <v>Argamassa ensacada múltiplo uso (saco 40 kg)</v>
          </cell>
          <cell r="E783" t="str">
            <v>MAT.</v>
          </cell>
          <cell r="F783" t="str">
            <v>sc</v>
          </cell>
          <cell r="G783">
            <v>1.3</v>
          </cell>
          <cell r="H783">
            <v>5.9</v>
          </cell>
          <cell r="I783">
            <v>7.67</v>
          </cell>
        </row>
        <row r="784">
          <cell r="C784" t="str">
            <v>496</v>
          </cell>
          <cell r="D784" t="str">
            <v>MDO para massa única em tetos</v>
          </cell>
          <cell r="E784" t="str">
            <v>EMPRE</v>
          </cell>
          <cell r="F784" t="str">
            <v>m2</v>
          </cell>
          <cell r="G784">
            <v>1</v>
          </cell>
          <cell r="H784">
            <v>17</v>
          </cell>
          <cell r="I784">
            <v>17</v>
          </cell>
        </row>
        <row r="785">
          <cell r="C785" t="str">
            <v>24.02.01.01</v>
          </cell>
          <cell r="D785" t="str">
            <v>Forro de gesso em placas 60x60cm</v>
          </cell>
          <cell r="E785" t="str">
            <v xml:space="preserve">SER.CG </v>
          </cell>
          <cell r="F785" t="str">
            <v xml:space="preserve">m2 </v>
          </cell>
          <cell r="G785">
            <v>932</v>
          </cell>
          <cell r="H785">
            <v>18</v>
          </cell>
          <cell r="I785">
            <v>16776</v>
          </cell>
        </row>
        <row r="786">
          <cell r="C786" t="str">
            <v>367</v>
          </cell>
          <cell r="D786" t="str">
            <v>Forro de gesso em placas de 0,60x0,60m</v>
          </cell>
          <cell r="E786" t="str">
            <v>MAT.</v>
          </cell>
          <cell r="F786" t="str">
            <v>m2</v>
          </cell>
          <cell r="G786">
            <v>1</v>
          </cell>
          <cell r="H786">
            <v>18</v>
          </cell>
          <cell r="I786">
            <v>18</v>
          </cell>
        </row>
        <row r="787">
          <cell r="C787" t="str">
            <v>24.02.01.02</v>
          </cell>
          <cell r="D787" t="str">
            <v>Tabica de gesso</v>
          </cell>
          <cell r="E787" t="str">
            <v xml:space="preserve">SER.CG </v>
          </cell>
          <cell r="F787" t="str">
            <v xml:space="preserve">m </v>
          </cell>
          <cell r="G787">
            <v>4933</v>
          </cell>
          <cell r="H787">
            <v>5</v>
          </cell>
          <cell r="I787">
            <v>24665</v>
          </cell>
        </row>
        <row r="788">
          <cell r="C788" t="str">
            <v>352</v>
          </cell>
          <cell r="D788" t="str">
            <v>Tabica de gesso</v>
          </cell>
          <cell r="E788" t="str">
            <v>EMPRE</v>
          </cell>
          <cell r="F788" t="str">
            <v>m</v>
          </cell>
          <cell r="G788">
            <v>1</v>
          </cell>
          <cell r="H788">
            <v>5</v>
          </cell>
          <cell r="I788">
            <v>5</v>
          </cell>
        </row>
        <row r="789">
          <cell r="C789" t="str">
            <v>24.02.01.05</v>
          </cell>
          <cell r="D789" t="str">
            <v>Fechamento em gesso alt. 25 cm</v>
          </cell>
          <cell r="E789" t="str">
            <v xml:space="preserve">SER.CG </v>
          </cell>
          <cell r="F789" t="str">
            <v xml:space="preserve">m </v>
          </cell>
          <cell r="G789">
            <v>88</v>
          </cell>
          <cell r="H789">
            <v>20</v>
          </cell>
          <cell r="I789">
            <v>1760</v>
          </cell>
        </row>
        <row r="790">
          <cell r="C790" t="str">
            <v>99.1478</v>
          </cell>
          <cell r="D790" t="str">
            <v>Fechamento em gesso alt. 25 cm</v>
          </cell>
          <cell r="E790" t="str">
            <v>EMPRE</v>
          </cell>
          <cell r="F790" t="str">
            <v>m</v>
          </cell>
          <cell r="G790">
            <v>1</v>
          </cell>
          <cell r="H790">
            <v>20</v>
          </cell>
          <cell r="I790">
            <v>20</v>
          </cell>
        </row>
        <row r="791">
          <cell r="C791" t="str">
            <v>24.02.01.06</v>
          </cell>
          <cell r="D791" t="str">
            <v>Sanca de gesso - larg. 20 cm e alt. 20 cm</v>
          </cell>
          <cell r="E791" t="str">
            <v xml:space="preserve">SER.CG </v>
          </cell>
          <cell r="F791" t="str">
            <v xml:space="preserve">m </v>
          </cell>
          <cell r="G791">
            <v>89</v>
          </cell>
          <cell r="H791">
            <v>25</v>
          </cell>
          <cell r="I791">
            <v>2225</v>
          </cell>
        </row>
        <row r="792">
          <cell r="C792" t="str">
            <v>99.2354</v>
          </cell>
          <cell r="D792" t="str">
            <v>Sanca de gesso 20 x 20 cm</v>
          </cell>
          <cell r="E792" t="str">
            <v>EMPRE</v>
          </cell>
          <cell r="F792" t="str">
            <v>m</v>
          </cell>
          <cell r="G792">
            <v>1</v>
          </cell>
          <cell r="H792">
            <v>25</v>
          </cell>
          <cell r="I792">
            <v>25</v>
          </cell>
        </row>
        <row r="793">
          <cell r="C793" t="str">
            <v>24.02.02.03</v>
          </cell>
          <cell r="D793" t="str">
            <v>Forro de gesso acartonado FGE - pano</v>
          </cell>
          <cell r="E793" t="str">
            <v xml:space="preserve">SER.CG </v>
          </cell>
          <cell r="F793" t="str">
            <v xml:space="preserve">m2 </v>
          </cell>
          <cell r="G793">
            <v>3495</v>
          </cell>
          <cell r="H793">
            <v>28</v>
          </cell>
          <cell r="I793">
            <v>97860</v>
          </cell>
        </row>
        <row r="794">
          <cell r="C794" t="str">
            <v>3978</v>
          </cell>
          <cell r="D794" t="str">
            <v>Forro de gesso acartonado FGE</v>
          </cell>
          <cell r="E794" t="str">
            <v>EMPRE</v>
          </cell>
          <cell r="F794" t="str">
            <v>m2</v>
          </cell>
          <cell r="G794">
            <v>1</v>
          </cell>
          <cell r="H794">
            <v>28</v>
          </cell>
          <cell r="I794">
            <v>28</v>
          </cell>
        </row>
        <row r="795">
          <cell r="C795" t="str">
            <v>24.02.03.01</v>
          </cell>
          <cell r="D795" t="str">
            <v>Gesso liso em teto</v>
          </cell>
          <cell r="E795" t="str">
            <v xml:space="preserve">SER.CG </v>
          </cell>
          <cell r="F795" t="str">
            <v xml:space="preserve">m2 </v>
          </cell>
          <cell r="G795">
            <v>1486</v>
          </cell>
          <cell r="H795">
            <v>13</v>
          </cell>
          <cell r="I795">
            <v>19318</v>
          </cell>
        </row>
        <row r="796">
          <cell r="C796" t="str">
            <v>2523</v>
          </cell>
          <cell r="D796" t="str">
            <v>Gesso liso em teto</v>
          </cell>
          <cell r="E796" t="str">
            <v>EMPRE</v>
          </cell>
          <cell r="F796" t="str">
            <v>m2</v>
          </cell>
          <cell r="G796">
            <v>1</v>
          </cell>
          <cell r="H796">
            <v>13</v>
          </cell>
          <cell r="I796">
            <v>13</v>
          </cell>
        </row>
        <row r="797">
          <cell r="C797" t="str">
            <v>24.04.01.01</v>
          </cell>
          <cell r="D797" t="str">
            <v>Tratamento de concreto em lajes, vigas e pilares</v>
          </cell>
          <cell r="E797" t="str">
            <v xml:space="preserve">SER.CG </v>
          </cell>
          <cell r="F797" t="str">
            <v xml:space="preserve">m2 </v>
          </cell>
          <cell r="G797">
            <v>20343</v>
          </cell>
          <cell r="H797">
            <v>4.5</v>
          </cell>
          <cell r="I797">
            <v>91543.5</v>
          </cell>
        </row>
        <row r="798">
          <cell r="C798" t="str">
            <v>2707</v>
          </cell>
          <cell r="D798" t="str">
            <v>MDO para tratamento de lajes, vigas e pilares de concreto</v>
          </cell>
          <cell r="E798" t="str">
            <v>EMPRE</v>
          </cell>
          <cell r="F798" t="str">
            <v>m2</v>
          </cell>
          <cell r="G798">
            <v>1</v>
          </cell>
          <cell r="H798">
            <v>4.5</v>
          </cell>
          <cell r="I798">
            <v>4.5</v>
          </cell>
        </row>
        <row r="799">
          <cell r="C799" t="str">
            <v>25.01.01.01</v>
          </cell>
          <cell r="D799" t="str">
            <v>Regularização de piso para receber carpete</v>
          </cell>
          <cell r="E799" t="str">
            <v xml:space="preserve">SER.CG </v>
          </cell>
          <cell r="F799" t="str">
            <v xml:space="preserve">m2 </v>
          </cell>
          <cell r="G799">
            <v>12118</v>
          </cell>
          <cell r="H799">
            <v>18.63</v>
          </cell>
          <cell r="I799">
            <v>225758.34</v>
          </cell>
        </row>
        <row r="800">
          <cell r="C800" t="str">
            <v>3551</v>
          </cell>
          <cell r="D800" t="str">
            <v>MDO para contra piso espessura de até 5cm</v>
          </cell>
          <cell r="E800" t="str">
            <v>M.O.</v>
          </cell>
          <cell r="F800" t="str">
            <v>m2</v>
          </cell>
          <cell r="G800">
            <v>1</v>
          </cell>
          <cell r="H800">
            <v>11.5</v>
          </cell>
          <cell r="I800">
            <v>11.5</v>
          </cell>
        </row>
        <row r="801">
          <cell r="C801" t="str">
            <v>3775</v>
          </cell>
          <cell r="D801" t="str">
            <v>Argamassa pronta para piso (Saco 50 kg)</v>
          </cell>
          <cell r="E801" t="str">
            <v>MAT.</v>
          </cell>
          <cell r="F801" t="str">
            <v>sc</v>
          </cell>
          <cell r="G801">
            <v>1</v>
          </cell>
          <cell r="H801">
            <v>7.13</v>
          </cell>
          <cell r="I801">
            <v>7.13</v>
          </cell>
        </row>
        <row r="802">
          <cell r="C802" t="str">
            <v>25.01.01.02</v>
          </cell>
          <cell r="D802" t="str">
            <v>Regularização de piso para receber piso cerâmico - vinílico - madeira</v>
          </cell>
          <cell r="E802" t="str">
            <v xml:space="preserve">SER.CG </v>
          </cell>
          <cell r="F802" t="str">
            <v xml:space="preserve">m2 </v>
          </cell>
          <cell r="G802">
            <v>4581</v>
          </cell>
          <cell r="H802">
            <v>17.13</v>
          </cell>
          <cell r="I802">
            <v>78472.53</v>
          </cell>
        </row>
        <row r="803">
          <cell r="C803" t="str">
            <v>3551</v>
          </cell>
          <cell r="D803" t="str">
            <v>MDO para contra piso espessura de até 5cm</v>
          </cell>
          <cell r="E803" t="str">
            <v>M.O.</v>
          </cell>
          <cell r="F803" t="str">
            <v>m2</v>
          </cell>
          <cell r="G803">
            <v>1</v>
          </cell>
          <cell r="H803">
            <v>10</v>
          </cell>
          <cell r="I803">
            <v>10</v>
          </cell>
        </row>
        <row r="804">
          <cell r="C804" t="str">
            <v>3775</v>
          </cell>
          <cell r="D804" t="str">
            <v>Argamassa pronta para piso (Saco 50 kg)</v>
          </cell>
          <cell r="E804" t="str">
            <v>MAT.</v>
          </cell>
          <cell r="F804" t="str">
            <v>sc</v>
          </cell>
          <cell r="G804">
            <v>1</v>
          </cell>
          <cell r="H804">
            <v>7.13</v>
          </cell>
          <cell r="I804">
            <v>7.13</v>
          </cell>
        </row>
        <row r="805">
          <cell r="C805" t="str">
            <v>25.01.01.03</v>
          </cell>
          <cell r="D805" t="str">
            <v>Regularização de piso para receber pedra natural</v>
          </cell>
          <cell r="E805" t="str">
            <v xml:space="preserve">SER.CG </v>
          </cell>
          <cell r="F805" t="str">
            <v xml:space="preserve">m2 </v>
          </cell>
          <cell r="G805">
            <v>778</v>
          </cell>
          <cell r="H805">
            <v>17.13</v>
          </cell>
          <cell r="I805">
            <v>13327.14</v>
          </cell>
        </row>
        <row r="806">
          <cell r="C806" t="str">
            <v>3551</v>
          </cell>
          <cell r="D806" t="str">
            <v>MDO para contra piso espessura de até 5cm</v>
          </cell>
          <cell r="E806" t="str">
            <v>M.O.</v>
          </cell>
          <cell r="F806" t="str">
            <v>m2</v>
          </cell>
          <cell r="G806">
            <v>1</v>
          </cell>
          <cell r="H806">
            <v>10</v>
          </cell>
          <cell r="I806">
            <v>10</v>
          </cell>
        </row>
        <row r="807">
          <cell r="C807" t="str">
            <v>3798</v>
          </cell>
          <cell r="D807" t="str">
            <v>Argamassa pronta para piso (Saco 50 kg)</v>
          </cell>
          <cell r="E807" t="str">
            <v>MAT.</v>
          </cell>
          <cell r="F807" t="str">
            <v>m3</v>
          </cell>
          <cell r="G807">
            <v>1</v>
          </cell>
          <cell r="H807">
            <v>7.13</v>
          </cell>
          <cell r="I807">
            <v>7.13</v>
          </cell>
        </row>
        <row r="808">
          <cell r="C808" t="str">
            <v>25.01.02.01</v>
          </cell>
          <cell r="D808" t="str">
            <v>Contrapiso e=5cm</v>
          </cell>
          <cell r="E808" t="str">
            <v xml:space="preserve">SER.CG </v>
          </cell>
          <cell r="F808" t="str">
            <v xml:space="preserve">m2 </v>
          </cell>
          <cell r="G808">
            <v>263</v>
          </cell>
          <cell r="H808">
            <v>30.46</v>
          </cell>
          <cell r="I808">
            <v>8010.98</v>
          </cell>
        </row>
        <row r="809">
          <cell r="C809" t="str">
            <v>12.01.01.01</v>
          </cell>
          <cell r="D809" t="str">
            <v>Lastro de brita p/ fundações - e=5cm - apilloado</v>
          </cell>
          <cell r="E809" t="str">
            <v>SER.CG</v>
          </cell>
          <cell r="F809" t="str">
            <v>m2</v>
          </cell>
          <cell r="G809">
            <v>0.4</v>
          </cell>
          <cell r="H809">
            <v>22.07</v>
          </cell>
          <cell r="I809">
            <v>8.83</v>
          </cell>
        </row>
        <row r="810">
          <cell r="C810" t="str">
            <v>3337</v>
          </cell>
          <cell r="D810" t="str">
            <v>Concreto fck=15 MPa slump 5±1</v>
          </cell>
          <cell r="E810" t="str">
            <v>MAT.</v>
          </cell>
          <cell r="F810" t="str">
            <v>m3</v>
          </cell>
          <cell r="G810">
            <v>0.06</v>
          </cell>
          <cell r="H810">
            <v>160.5</v>
          </cell>
          <cell r="I810">
            <v>9.6300000000000008</v>
          </cell>
        </row>
        <row r="811">
          <cell r="C811" t="str">
            <v>3551</v>
          </cell>
          <cell r="D811" t="str">
            <v>MDO para contra piso espessura de até 5cm</v>
          </cell>
          <cell r="E811" t="str">
            <v>M.O.</v>
          </cell>
          <cell r="F811" t="str">
            <v>m2</v>
          </cell>
          <cell r="G811">
            <v>1</v>
          </cell>
          <cell r="H811">
            <v>12</v>
          </cell>
          <cell r="I811">
            <v>12</v>
          </cell>
        </row>
        <row r="812">
          <cell r="C812" t="str">
            <v>25.01.02.02</v>
          </cell>
          <cell r="D812" t="str">
            <v>Contrapiso shafts visitáveis</v>
          </cell>
          <cell r="E812" t="str">
            <v xml:space="preserve">SER.CG </v>
          </cell>
          <cell r="F812" t="str">
            <v xml:space="preserve">m2 </v>
          </cell>
          <cell r="G812">
            <v>80</v>
          </cell>
          <cell r="H812">
            <v>26.259999999999998</v>
          </cell>
          <cell r="I812">
            <v>2100.8000000000002</v>
          </cell>
        </row>
        <row r="813">
          <cell r="C813" t="str">
            <v>3551</v>
          </cell>
          <cell r="D813" t="str">
            <v>MDO para contra piso espessura de até 5cm</v>
          </cell>
          <cell r="E813" t="str">
            <v>M.O.</v>
          </cell>
          <cell r="F813" t="str">
            <v>m2</v>
          </cell>
          <cell r="G813">
            <v>1</v>
          </cell>
          <cell r="H813">
            <v>12</v>
          </cell>
          <cell r="I813">
            <v>12</v>
          </cell>
        </row>
        <row r="814">
          <cell r="C814" t="str">
            <v>3775</v>
          </cell>
          <cell r="D814" t="str">
            <v>Argamassa pronta para piso (Saco 50 kg)</v>
          </cell>
          <cell r="E814" t="str">
            <v>MAT.</v>
          </cell>
          <cell r="F814" t="str">
            <v>sc</v>
          </cell>
          <cell r="G814">
            <v>2</v>
          </cell>
          <cell r="H814">
            <v>7.13</v>
          </cell>
          <cell r="I814">
            <v>14.26</v>
          </cell>
        </row>
        <row r="815">
          <cell r="C815" t="str">
            <v>25.01.02.03</v>
          </cell>
          <cell r="D815" t="str">
            <v>Base de concreto para equipamentos e reservatórios alt. 15 cm</v>
          </cell>
          <cell r="E815" t="str">
            <v xml:space="preserve">SER.CG </v>
          </cell>
          <cell r="F815" t="str">
            <v xml:space="preserve">m2 </v>
          </cell>
          <cell r="G815">
            <v>54</v>
          </cell>
          <cell r="H815">
            <v>43.519999999999996</v>
          </cell>
          <cell r="I815">
            <v>2350.08</v>
          </cell>
        </row>
        <row r="816">
          <cell r="C816" t="str">
            <v>3553</v>
          </cell>
          <cell r="D816" t="str">
            <v>MDO para contra piso espessura entre 10 a 15cm</v>
          </cell>
          <cell r="E816" t="str">
            <v>M.O.</v>
          </cell>
          <cell r="F816" t="str">
            <v>m2</v>
          </cell>
          <cell r="G816">
            <v>1</v>
          </cell>
          <cell r="H816">
            <v>9.3000000000000007</v>
          </cell>
          <cell r="I816">
            <v>9.3000000000000007</v>
          </cell>
        </row>
        <row r="817">
          <cell r="C817" t="str">
            <v>3775</v>
          </cell>
          <cell r="D817" t="str">
            <v>Argamassa pronta para piso (Saco 50 kg)</v>
          </cell>
          <cell r="E817" t="str">
            <v>MAT.</v>
          </cell>
          <cell r="F817" t="str">
            <v>sc</v>
          </cell>
          <cell r="G817">
            <v>4.8</v>
          </cell>
          <cell r="H817">
            <v>7.13</v>
          </cell>
          <cell r="I817">
            <v>34.22</v>
          </cell>
        </row>
        <row r="818">
          <cell r="C818" t="str">
            <v>25.01.03.01</v>
          </cell>
          <cell r="D818" t="str">
            <v>Execução de piso frisado para rampas</v>
          </cell>
          <cell r="E818" t="str">
            <v xml:space="preserve">SER.CG </v>
          </cell>
          <cell r="F818" t="str">
            <v xml:space="preserve">m2 </v>
          </cell>
          <cell r="G818">
            <v>702</v>
          </cell>
          <cell r="H818">
            <v>27.740000000000002</v>
          </cell>
          <cell r="I818">
            <v>19473.48</v>
          </cell>
        </row>
        <row r="819">
          <cell r="C819" t="str">
            <v>1537</v>
          </cell>
          <cell r="D819" t="str">
            <v>MDO para piso frisado das rampas</v>
          </cell>
          <cell r="E819" t="str">
            <v>M.O.</v>
          </cell>
          <cell r="F819" t="str">
            <v>m2</v>
          </cell>
          <cell r="G819">
            <v>1</v>
          </cell>
          <cell r="H819">
            <v>16.5</v>
          </cell>
          <cell r="I819">
            <v>16.5</v>
          </cell>
        </row>
        <row r="820">
          <cell r="C820" t="str">
            <v>3337</v>
          </cell>
          <cell r="D820" t="str">
            <v>Concreto fck=15 MPa slump 5±1</v>
          </cell>
          <cell r="E820" t="str">
            <v>MAT.</v>
          </cell>
          <cell r="F820" t="str">
            <v>m3</v>
          </cell>
          <cell r="G820">
            <v>7.0000000000000007E-2</v>
          </cell>
          <cell r="H820">
            <v>160.5</v>
          </cell>
          <cell r="I820">
            <v>11.24</v>
          </cell>
        </row>
        <row r="821">
          <cell r="C821" t="str">
            <v>25.01.04.01</v>
          </cell>
          <cell r="D821" t="str">
            <v>Piso cimentado áreas técnicas</v>
          </cell>
          <cell r="E821" t="str">
            <v xml:space="preserve">SER.CG </v>
          </cell>
          <cell r="F821" t="str">
            <v xml:space="preserve">m2 </v>
          </cell>
          <cell r="G821">
            <v>809</v>
          </cell>
          <cell r="H821">
            <v>17.2</v>
          </cell>
          <cell r="I821">
            <v>13914.8</v>
          </cell>
        </row>
        <row r="822">
          <cell r="C822" t="str">
            <v>2529</v>
          </cell>
          <cell r="D822" t="str">
            <v>MDO para piso cimentado desempenado</v>
          </cell>
          <cell r="E822" t="str">
            <v>M.O.</v>
          </cell>
          <cell r="F822" t="str">
            <v>m2</v>
          </cell>
          <cell r="G822">
            <v>1</v>
          </cell>
          <cell r="H822">
            <v>11.5</v>
          </cell>
          <cell r="I822">
            <v>11.5</v>
          </cell>
        </row>
        <row r="823">
          <cell r="C823" t="str">
            <v>3775</v>
          </cell>
          <cell r="D823" t="str">
            <v>Argamassa pronta para piso (Saco 50 kg)</v>
          </cell>
          <cell r="E823" t="str">
            <v>MAT.</v>
          </cell>
          <cell r="F823" t="str">
            <v>sc</v>
          </cell>
          <cell r="G823">
            <v>0.8</v>
          </cell>
          <cell r="H823">
            <v>7.13</v>
          </cell>
          <cell r="I823">
            <v>5.7</v>
          </cell>
        </row>
        <row r="824">
          <cell r="C824" t="str">
            <v>25.01.04.02</v>
          </cell>
          <cell r="D824" t="str">
            <v>Piso cimentado liso em escadarias</v>
          </cell>
          <cell r="E824" t="str">
            <v xml:space="preserve">SER.CG </v>
          </cell>
          <cell r="F824" t="str">
            <v xml:space="preserve">m2 </v>
          </cell>
          <cell r="G824">
            <v>425</v>
          </cell>
          <cell r="H824">
            <v>16.2</v>
          </cell>
          <cell r="I824">
            <v>6885</v>
          </cell>
        </row>
        <row r="825">
          <cell r="C825" t="str">
            <v>2962</v>
          </cell>
          <cell r="D825" t="str">
            <v>MDO para piso cimentado queimado</v>
          </cell>
          <cell r="E825" t="str">
            <v>M.O.</v>
          </cell>
          <cell r="F825" t="str">
            <v>m2</v>
          </cell>
          <cell r="G825">
            <v>1</v>
          </cell>
          <cell r="H825">
            <v>10.5</v>
          </cell>
          <cell r="I825">
            <v>10.5</v>
          </cell>
        </row>
        <row r="826">
          <cell r="C826" t="str">
            <v>3775</v>
          </cell>
          <cell r="D826" t="str">
            <v>Argamassa pronta para piso (Saco 50 kg)</v>
          </cell>
          <cell r="E826" t="str">
            <v>MAT.</v>
          </cell>
          <cell r="F826" t="str">
            <v>sc</v>
          </cell>
          <cell r="G826">
            <v>0.8</v>
          </cell>
          <cell r="H826">
            <v>7.13</v>
          </cell>
          <cell r="I826">
            <v>5.7</v>
          </cell>
        </row>
        <row r="827">
          <cell r="C827" t="str">
            <v>25.01.04.03</v>
          </cell>
          <cell r="D827" t="str">
            <v>Degrau de escadaria cimentado</v>
          </cell>
          <cell r="E827" t="str">
            <v xml:space="preserve">SER.CG </v>
          </cell>
          <cell r="F827" t="str">
            <v xml:space="preserve">m </v>
          </cell>
          <cell r="G827">
            <v>1141</v>
          </cell>
          <cell r="H827">
            <v>13.21</v>
          </cell>
          <cell r="I827">
            <v>15072.61</v>
          </cell>
        </row>
        <row r="828">
          <cell r="C828" t="str">
            <v>3775</v>
          </cell>
          <cell r="D828" t="str">
            <v>Argamassa pronta para piso (Saco 50 kg)</v>
          </cell>
          <cell r="E828" t="str">
            <v>MAT.</v>
          </cell>
          <cell r="F828" t="str">
            <v>sc</v>
          </cell>
          <cell r="G828">
            <v>0.17</v>
          </cell>
          <cell r="H828">
            <v>7.13</v>
          </cell>
          <cell r="I828">
            <v>1.21</v>
          </cell>
        </row>
        <row r="829">
          <cell r="C829" t="str">
            <v>99.1216</v>
          </cell>
          <cell r="D829" t="str">
            <v>MDO para degrau de cimentado em escadaria</v>
          </cell>
          <cell r="E829" t="str">
            <v>M.O.</v>
          </cell>
          <cell r="F829" t="str">
            <v>m</v>
          </cell>
          <cell r="G829">
            <v>1</v>
          </cell>
          <cell r="H829">
            <v>12</v>
          </cell>
          <cell r="I829">
            <v>12</v>
          </cell>
        </row>
        <row r="830">
          <cell r="C830" t="str">
            <v>25.01.04.04</v>
          </cell>
          <cell r="D830" t="str">
            <v>Rodapé cimentado escadaria</v>
          </cell>
          <cell r="E830" t="str">
            <v xml:space="preserve">SER.CG </v>
          </cell>
          <cell r="F830" t="str">
            <v xml:space="preserve">m </v>
          </cell>
          <cell r="G830">
            <v>1161</v>
          </cell>
          <cell r="H830">
            <v>7.21</v>
          </cell>
          <cell r="I830">
            <v>8370.81</v>
          </cell>
        </row>
        <row r="831">
          <cell r="C831" t="str">
            <v>2842</v>
          </cell>
          <cell r="D831" t="str">
            <v>MDO para rodapé de cimentado em escadaria</v>
          </cell>
          <cell r="E831" t="str">
            <v>M.O.</v>
          </cell>
          <cell r="F831" t="str">
            <v>m</v>
          </cell>
          <cell r="G831">
            <v>1</v>
          </cell>
          <cell r="H831">
            <v>6</v>
          </cell>
          <cell r="I831">
            <v>6</v>
          </cell>
        </row>
        <row r="832">
          <cell r="C832" t="str">
            <v>3775</v>
          </cell>
          <cell r="D832" t="str">
            <v>Argamassa pronta para piso (Saco 50 kg)</v>
          </cell>
          <cell r="E832" t="str">
            <v>MAT.</v>
          </cell>
          <cell r="F832" t="str">
            <v>sc</v>
          </cell>
          <cell r="G832">
            <v>0.17</v>
          </cell>
          <cell r="H832">
            <v>7.13</v>
          </cell>
          <cell r="I832">
            <v>1.21</v>
          </cell>
        </row>
        <row r="833">
          <cell r="C833" t="str">
            <v>25.02.01.01</v>
          </cell>
          <cell r="D833" t="str">
            <v>Piso de concreto armado e=10cm</v>
          </cell>
          <cell r="E833" t="str">
            <v xml:space="preserve">SER.CG </v>
          </cell>
          <cell r="F833" t="str">
            <v xml:space="preserve">m2 </v>
          </cell>
          <cell r="G833">
            <v>3670</v>
          </cell>
          <cell r="H833">
            <v>74.33</v>
          </cell>
          <cell r="I833">
            <v>272791.09999999998</v>
          </cell>
        </row>
        <row r="834">
          <cell r="C834" t="str">
            <v>1693</v>
          </cell>
          <cell r="D834" t="str">
            <v>Concreto fck=30 MPa slump 5±1</v>
          </cell>
          <cell r="E834" t="str">
            <v>MAT.</v>
          </cell>
          <cell r="F834" t="str">
            <v>m3</v>
          </cell>
          <cell r="G834">
            <v>0.15</v>
          </cell>
          <cell r="H834">
            <v>178.5</v>
          </cell>
          <cell r="I834">
            <v>26.78</v>
          </cell>
        </row>
        <row r="835">
          <cell r="C835" t="str">
            <v>1917</v>
          </cell>
          <cell r="D835" t="str">
            <v>Tela soldada Q138 (rolo 2,45x60,0 m)</v>
          </cell>
          <cell r="E835" t="str">
            <v>MAT.</v>
          </cell>
          <cell r="F835" t="str">
            <v>rolo</v>
          </cell>
          <cell r="G835">
            <v>7.4999999999999997E-3</v>
          </cell>
          <cell r="H835">
            <v>1190</v>
          </cell>
          <cell r="I835">
            <v>8.93</v>
          </cell>
        </row>
        <row r="836">
          <cell r="C836" t="str">
            <v>2534</v>
          </cell>
          <cell r="D836" t="str">
            <v>MDO para piso de concreto sobre solo</v>
          </cell>
          <cell r="E836" t="str">
            <v>M.O.</v>
          </cell>
          <cell r="F836" t="str">
            <v>m2</v>
          </cell>
          <cell r="G836">
            <v>1</v>
          </cell>
          <cell r="H836">
            <v>28</v>
          </cell>
          <cell r="I836">
            <v>28</v>
          </cell>
        </row>
        <row r="837">
          <cell r="C837" t="str">
            <v>65</v>
          </cell>
          <cell r="D837" t="str">
            <v>Pedra n.º 1</v>
          </cell>
          <cell r="E837" t="str">
            <v>MAT.</v>
          </cell>
          <cell r="F837" t="str">
            <v>m3</v>
          </cell>
          <cell r="G837">
            <v>0.105</v>
          </cell>
          <cell r="H837">
            <v>42</v>
          </cell>
          <cell r="I837">
            <v>4.41</v>
          </cell>
        </row>
        <row r="838">
          <cell r="C838">
            <v>1</v>
          </cell>
          <cell r="D838" t="str">
            <v>Lona</v>
          </cell>
          <cell r="E838" t="str">
            <v>MAT.</v>
          </cell>
          <cell r="F838" t="str">
            <v>m²</v>
          </cell>
          <cell r="G838">
            <v>1.2</v>
          </cell>
          <cell r="H838">
            <v>0.37</v>
          </cell>
          <cell r="I838">
            <v>0.44</v>
          </cell>
        </row>
        <row r="839">
          <cell r="C839">
            <v>1</v>
          </cell>
          <cell r="D839" t="str">
            <v>Barra de transferência</v>
          </cell>
          <cell r="E839" t="str">
            <v>MAT.</v>
          </cell>
          <cell r="F839" t="str">
            <v>kg</v>
          </cell>
          <cell r="G839">
            <v>0.5</v>
          </cell>
          <cell r="H839">
            <v>3</v>
          </cell>
          <cell r="I839">
            <v>1.5</v>
          </cell>
        </row>
        <row r="840">
          <cell r="C840">
            <v>1</v>
          </cell>
          <cell r="D840" t="str">
            <v>Treliça metálica para espaçador</v>
          </cell>
          <cell r="E840" t="str">
            <v>MAT.</v>
          </cell>
          <cell r="F840" t="str">
            <v>m</v>
          </cell>
          <cell r="G840">
            <v>1.6</v>
          </cell>
          <cell r="H840">
            <v>2.67</v>
          </cell>
          <cell r="I840">
            <v>4.2699999999999996</v>
          </cell>
        </row>
        <row r="841">
          <cell r="C841" t="str">
            <v>25.02.02.01</v>
          </cell>
          <cell r="D841" t="str">
            <v>Enchimento de piso</v>
          </cell>
          <cell r="E841" t="str">
            <v xml:space="preserve">SER.CG </v>
          </cell>
          <cell r="F841" t="str">
            <v xml:space="preserve">m3 </v>
          </cell>
          <cell r="G841">
            <v>75</v>
          </cell>
          <cell r="H841">
            <v>21.630000000000003</v>
          </cell>
          <cell r="I841">
            <v>1622.25</v>
          </cell>
        </row>
        <row r="842">
          <cell r="C842" t="str">
            <v>3337</v>
          </cell>
          <cell r="D842" t="str">
            <v>Concreto fck=15 MPa slump 5±1</v>
          </cell>
          <cell r="E842" t="str">
            <v>MAT.</v>
          </cell>
          <cell r="F842" t="str">
            <v>m3</v>
          </cell>
          <cell r="G842">
            <v>0.06</v>
          </cell>
          <cell r="H842">
            <v>160.5</v>
          </cell>
          <cell r="I842">
            <v>9.6300000000000008</v>
          </cell>
        </row>
        <row r="843">
          <cell r="C843" t="str">
            <v>3551</v>
          </cell>
          <cell r="D843" t="str">
            <v>MDO para contra piso espessura de até 5cm</v>
          </cell>
          <cell r="E843" t="str">
            <v>M.O.</v>
          </cell>
          <cell r="F843" t="str">
            <v>m2</v>
          </cell>
          <cell r="G843">
            <v>1</v>
          </cell>
          <cell r="H843">
            <v>12</v>
          </cell>
          <cell r="I843">
            <v>12</v>
          </cell>
        </row>
        <row r="844">
          <cell r="C844" t="str">
            <v>25.02.06.01</v>
          </cell>
          <cell r="D844" t="str">
            <v>Piso intertravado intercity, linha: lista espessura: 8cm cor: camurça (bege médio) assentamento: junta amarrada</v>
          </cell>
          <cell r="E844" t="str">
            <v xml:space="preserve">SER.CG </v>
          </cell>
          <cell r="F844" t="str">
            <v xml:space="preserve">m2 </v>
          </cell>
          <cell r="G844">
            <v>636</v>
          </cell>
          <cell r="H844">
            <v>50.5</v>
          </cell>
          <cell r="I844">
            <v>32118</v>
          </cell>
        </row>
        <row r="845">
          <cell r="C845" t="str">
            <v>99.1700</v>
          </cell>
          <cell r="D845" t="str">
            <v>Base de bica corrida esp. 5 cm</v>
          </cell>
          <cell r="E845" t="str">
            <v>EMPRE</v>
          </cell>
          <cell r="F845" t="str">
            <v>m2</v>
          </cell>
          <cell r="G845">
            <v>1</v>
          </cell>
          <cell r="H845">
            <v>3.77</v>
          </cell>
          <cell r="I845">
            <v>3.77</v>
          </cell>
        </row>
        <row r="846">
          <cell r="C846" t="str">
            <v>99.1701</v>
          </cell>
          <cell r="D846" t="str">
            <v>Abertura de caixa até 25 cm, com escavação e transporte até 1 km</v>
          </cell>
          <cell r="E846" t="str">
            <v>EMPRE</v>
          </cell>
          <cell r="F846" t="str">
            <v>m2</v>
          </cell>
          <cell r="G846">
            <v>1</v>
          </cell>
          <cell r="H846">
            <v>2.83</v>
          </cell>
          <cell r="I846">
            <v>2.83</v>
          </cell>
        </row>
        <row r="847">
          <cell r="C847" t="str">
            <v>99.1702</v>
          </cell>
          <cell r="D847" t="str">
            <v>Assentamento de piso intertravado colorido - mat + mdo</v>
          </cell>
          <cell r="E847" t="str">
            <v>EMPRE</v>
          </cell>
          <cell r="F847" t="str">
            <v>m2</v>
          </cell>
          <cell r="G847">
            <v>1</v>
          </cell>
          <cell r="H847">
            <v>40.11</v>
          </cell>
          <cell r="I847">
            <v>40.11</v>
          </cell>
        </row>
        <row r="848">
          <cell r="C848" t="str">
            <v>99.1703</v>
          </cell>
          <cell r="D848" t="str">
            <v>Carga e remoção de terra excedente para bota fora</v>
          </cell>
          <cell r="E848" t="str">
            <v>EMPRE</v>
          </cell>
          <cell r="F848" t="str">
            <v>m3</v>
          </cell>
          <cell r="G848">
            <v>0.11</v>
          </cell>
          <cell r="H848">
            <v>34.47</v>
          </cell>
          <cell r="I848">
            <v>3.79</v>
          </cell>
        </row>
        <row r="849">
          <cell r="C849" t="str">
            <v>25.02.06.02</v>
          </cell>
          <cell r="D849" t="str">
            <v>Piso intertravado intercity, linha: lista espessura: 8cm cor: camurça (bege claro) assentamento: junta amarrada</v>
          </cell>
          <cell r="E849" t="str">
            <v xml:space="preserve">SER.CG </v>
          </cell>
          <cell r="F849" t="str">
            <v xml:space="preserve">m2 </v>
          </cell>
          <cell r="G849">
            <v>68</v>
          </cell>
          <cell r="H849">
            <v>50.5</v>
          </cell>
          <cell r="I849">
            <v>3434</v>
          </cell>
        </row>
        <row r="850">
          <cell r="C850" t="str">
            <v>99.1700</v>
          </cell>
          <cell r="D850" t="str">
            <v>Base de bica corrida esp. 5 cm</v>
          </cell>
          <cell r="E850" t="str">
            <v>EMPRE</v>
          </cell>
          <cell r="F850" t="str">
            <v>m2</v>
          </cell>
          <cell r="G850">
            <v>1</v>
          </cell>
          <cell r="H850">
            <v>3.77</v>
          </cell>
          <cell r="I850">
            <v>3.77</v>
          </cell>
        </row>
        <row r="851">
          <cell r="C851" t="str">
            <v>99.1701</v>
          </cell>
          <cell r="D851" t="str">
            <v>Abertura de caixa até 25 cm, com escavação e transporte até 1 km</v>
          </cell>
          <cell r="E851" t="str">
            <v>EMPRE</v>
          </cell>
          <cell r="F851" t="str">
            <v>m2</v>
          </cell>
          <cell r="G851">
            <v>1</v>
          </cell>
          <cell r="H851">
            <v>2.83</v>
          </cell>
          <cell r="I851">
            <v>2.83</v>
          </cell>
        </row>
        <row r="852">
          <cell r="C852" t="str">
            <v>99.1702</v>
          </cell>
          <cell r="D852" t="str">
            <v>Assentamento de piso intertravado colorido - mat + mdo</v>
          </cell>
          <cell r="E852" t="str">
            <v>EMPRE</v>
          </cell>
          <cell r="F852" t="str">
            <v>m2</v>
          </cell>
          <cell r="G852">
            <v>1</v>
          </cell>
          <cell r="H852">
            <v>40.11</v>
          </cell>
          <cell r="I852">
            <v>40.11</v>
          </cell>
        </row>
        <row r="853">
          <cell r="C853" t="str">
            <v>99.1703</v>
          </cell>
          <cell r="D853" t="str">
            <v>Carga e remoção de terra excedente para bota fora</v>
          </cell>
          <cell r="E853" t="str">
            <v>EMPRE</v>
          </cell>
          <cell r="F853" t="str">
            <v>m3</v>
          </cell>
          <cell r="G853">
            <v>0.11</v>
          </cell>
          <cell r="H853">
            <v>34.47</v>
          </cell>
          <cell r="I853">
            <v>3.79</v>
          </cell>
        </row>
        <row r="854">
          <cell r="C854" t="str">
            <v>25.02.06.03</v>
          </cell>
          <cell r="D854" t="str">
            <v>Concregrama braston, linha marroco cor grafite (86x57x8cm)</v>
          </cell>
          <cell r="E854" t="str">
            <v xml:space="preserve">SER.CG </v>
          </cell>
          <cell r="F854" t="str">
            <v xml:space="preserve">m2 </v>
          </cell>
          <cell r="G854">
            <v>73</v>
          </cell>
          <cell r="H854">
            <v>62</v>
          </cell>
          <cell r="I854">
            <v>4526</v>
          </cell>
        </row>
        <row r="855">
          <cell r="C855" t="str">
            <v>99.1251</v>
          </cell>
          <cell r="D855" t="str">
            <v>MDO para assentamento de piso grama</v>
          </cell>
          <cell r="E855" t="str">
            <v>M.O.</v>
          </cell>
          <cell r="F855" t="str">
            <v>m2</v>
          </cell>
          <cell r="G855">
            <v>1</v>
          </cell>
          <cell r="H855">
            <v>31.1</v>
          </cell>
          <cell r="I855">
            <v>31.1</v>
          </cell>
        </row>
        <row r="856">
          <cell r="C856" t="str">
            <v>99.2497</v>
          </cell>
          <cell r="D856" t="str">
            <v>Concregrama braston, linha marroco cor grafite (86x57x8cm)</v>
          </cell>
          <cell r="E856" t="str">
            <v>MAT.</v>
          </cell>
          <cell r="F856" t="str">
            <v>m2</v>
          </cell>
          <cell r="G856">
            <v>1.1000000000000001</v>
          </cell>
          <cell r="H856">
            <v>28.09</v>
          </cell>
          <cell r="I856">
            <v>30.9</v>
          </cell>
        </row>
        <row r="857">
          <cell r="C857" t="str">
            <v>25.03.02.01</v>
          </cell>
          <cell r="D857" t="str">
            <v>Bit em granito branco Itaúnas</v>
          </cell>
          <cell r="E857" t="str">
            <v xml:space="preserve">SER.CG </v>
          </cell>
          <cell r="F857" t="str">
            <v xml:space="preserve">m </v>
          </cell>
          <cell r="G857">
            <v>373</v>
          </cell>
          <cell r="H857">
            <v>38</v>
          </cell>
          <cell r="I857">
            <v>14174</v>
          </cell>
        </row>
        <row r="858">
          <cell r="C858" t="str">
            <v>99.1481</v>
          </cell>
          <cell r="D858" t="str">
            <v>Bit em granito branco Itaúnas</v>
          </cell>
          <cell r="E858" t="str">
            <v>MAT.</v>
          </cell>
          <cell r="F858" t="str">
            <v>m</v>
          </cell>
          <cell r="G858">
            <v>1</v>
          </cell>
          <cell r="H858">
            <v>38</v>
          </cell>
          <cell r="I858">
            <v>38</v>
          </cell>
        </row>
        <row r="859">
          <cell r="C859" t="str">
            <v>25.03.02.03</v>
          </cell>
          <cell r="D859" t="str">
            <v>Soleira em granito polido Branco Itaúnas l=15cm</v>
          </cell>
          <cell r="E859" t="str">
            <v xml:space="preserve">SER.CG </v>
          </cell>
          <cell r="F859" t="str">
            <v xml:space="preserve">m </v>
          </cell>
          <cell r="G859">
            <v>885</v>
          </cell>
          <cell r="H859">
            <v>52.67</v>
          </cell>
          <cell r="I859">
            <v>46612.95</v>
          </cell>
        </row>
        <row r="860">
          <cell r="C860" t="str">
            <v>2963</v>
          </cell>
          <cell r="D860" t="str">
            <v>Soleira em granito polido Branco Itaúnas l=15cm</v>
          </cell>
          <cell r="E860" t="str">
            <v>MAT.</v>
          </cell>
          <cell r="F860" t="str">
            <v>m</v>
          </cell>
          <cell r="G860">
            <v>1.05</v>
          </cell>
          <cell r="H860">
            <v>49</v>
          </cell>
          <cell r="I860">
            <v>51.45</v>
          </cell>
        </row>
        <row r="861">
          <cell r="C861" t="str">
            <v>4313</v>
          </cell>
          <cell r="D861" t="str">
            <v>Argamassa colante ferma marmore granito interna da Quartzolit® (sc 20Kg)</v>
          </cell>
          <cell r="E861" t="str">
            <v>MAT.</v>
          </cell>
          <cell r="F861" t="str">
            <v>sc</v>
          </cell>
          <cell r="G861">
            <v>6.7000000000000004E-2</v>
          </cell>
          <cell r="H861">
            <v>17</v>
          </cell>
          <cell r="I861">
            <v>1.1399999999999999</v>
          </cell>
        </row>
        <row r="862">
          <cell r="C862" t="str">
            <v>4352</v>
          </cell>
          <cell r="D862" t="str">
            <v>Rejunte SH porcelanato da Quartzolit® (caixa 5kg)</v>
          </cell>
          <cell r="E862" t="str">
            <v>MAT.</v>
          </cell>
          <cell r="F862" t="str">
            <v>CX</v>
          </cell>
          <cell r="G862">
            <v>8.4399999999999996E-3</v>
          </cell>
          <cell r="H862">
            <v>10</v>
          </cell>
          <cell r="I862">
            <v>0.08</v>
          </cell>
        </row>
        <row r="863">
          <cell r="C863" t="str">
            <v>25.03.02.05</v>
          </cell>
          <cell r="D863" t="str">
            <v>Piso em granito branco itaúna 60 x 60cm esp.=3cm</v>
          </cell>
          <cell r="E863" t="str">
            <v xml:space="preserve">SER.CG </v>
          </cell>
          <cell r="F863" t="str">
            <v xml:space="preserve">m2 </v>
          </cell>
          <cell r="G863">
            <v>568</v>
          </cell>
          <cell r="H863">
            <v>200.01</v>
          </cell>
          <cell r="I863">
            <v>113605.68</v>
          </cell>
        </row>
        <row r="864">
          <cell r="C864" t="str">
            <v>4313</v>
          </cell>
          <cell r="D864" t="str">
            <v>Argamassa colante ferma marmore granito interna da Quartzolit® (sc 20Kg)</v>
          </cell>
          <cell r="E864" t="str">
            <v>MAT.</v>
          </cell>
          <cell r="F864" t="str">
            <v>sc</v>
          </cell>
          <cell r="G864">
            <v>2.5000000000000001E-2</v>
          </cell>
          <cell r="H864">
            <v>17</v>
          </cell>
          <cell r="I864">
            <v>0.43</v>
          </cell>
        </row>
        <row r="865">
          <cell r="C865" t="str">
            <v>4352</v>
          </cell>
          <cell r="D865" t="str">
            <v>Rejunte SH porcelanato da Quartzolit® (caixa 5kg)</v>
          </cell>
          <cell r="E865" t="str">
            <v>MAT.</v>
          </cell>
          <cell r="F865" t="str">
            <v>CX</v>
          </cell>
          <cell r="G865">
            <v>8.4399999999999996E-3</v>
          </cell>
          <cell r="H865">
            <v>10</v>
          </cell>
          <cell r="I865">
            <v>0.08</v>
          </cell>
        </row>
        <row r="866">
          <cell r="C866" t="str">
            <v>99.2499</v>
          </cell>
          <cell r="D866" t="str">
            <v>Piso em granito polido preto São Gabriel e branco Itaúnas (PAGINADO)</v>
          </cell>
          <cell r="E866" t="str">
            <v>MAT.</v>
          </cell>
          <cell r="F866" t="str">
            <v>m2</v>
          </cell>
          <cell r="G866">
            <v>1.05</v>
          </cell>
          <cell r="H866">
            <v>190</v>
          </cell>
          <cell r="I866">
            <v>199.5</v>
          </cell>
        </row>
        <row r="867">
          <cell r="C867" t="str">
            <v>25.03.02.06</v>
          </cell>
          <cell r="D867" t="str">
            <v>Piso em granito polido Siberian e Branco Itaúnas (PAGINADO)</v>
          </cell>
          <cell r="E867" t="str">
            <v xml:space="preserve">SER.CG </v>
          </cell>
          <cell r="F867" t="str">
            <v xml:space="preserve">m2 </v>
          </cell>
          <cell r="G867">
            <v>209</v>
          </cell>
          <cell r="H867">
            <v>240.51</v>
          </cell>
          <cell r="I867">
            <v>50266.59</v>
          </cell>
        </row>
        <row r="868">
          <cell r="C868" t="str">
            <v>4313</v>
          </cell>
          <cell r="D868" t="str">
            <v>Argamassa colante ferma marmore granito interna da Quartzolit® (sc 20Kg)</v>
          </cell>
          <cell r="E868" t="str">
            <v>MAT.</v>
          </cell>
          <cell r="F868" t="str">
            <v>sc</v>
          </cell>
          <cell r="G868">
            <v>2.5000000000000001E-2</v>
          </cell>
          <cell r="H868">
            <v>17</v>
          </cell>
          <cell r="I868">
            <v>0.43</v>
          </cell>
        </row>
        <row r="869">
          <cell r="C869" t="str">
            <v>4352</v>
          </cell>
          <cell r="D869" t="str">
            <v>Rejunte SH porcelanato da Quartzolit® (caixa 5kg)</v>
          </cell>
          <cell r="E869" t="str">
            <v>MAT.</v>
          </cell>
          <cell r="F869" t="str">
            <v>CX</v>
          </cell>
          <cell r="G869">
            <v>8.4399999999999996E-3</v>
          </cell>
          <cell r="H869">
            <v>10</v>
          </cell>
          <cell r="I869">
            <v>0.08</v>
          </cell>
        </row>
        <row r="870">
          <cell r="C870" t="str">
            <v>99.2499</v>
          </cell>
          <cell r="D870" t="str">
            <v>Piso em granito polido preto São Gabriel e branco Itaúnas (PAGINADO)</v>
          </cell>
          <cell r="E870" t="str">
            <v>MAT.</v>
          </cell>
          <cell r="F870" t="str">
            <v>m2</v>
          </cell>
          <cell r="G870">
            <v>1</v>
          </cell>
          <cell r="H870">
            <v>240</v>
          </cell>
          <cell r="I870">
            <v>240</v>
          </cell>
        </row>
        <row r="871">
          <cell r="C871" t="str">
            <v>25.03.02.07</v>
          </cell>
          <cell r="D871" t="str">
            <v>Rodapé em granito branco Itaúna 7 x 60cm</v>
          </cell>
          <cell r="E871" t="str">
            <v xml:space="preserve">SER.CG </v>
          </cell>
          <cell r="F871" t="str">
            <v xml:space="preserve">m </v>
          </cell>
          <cell r="G871">
            <v>728</v>
          </cell>
          <cell r="H871">
            <v>47.51</v>
          </cell>
          <cell r="I871">
            <v>34587.279999999999</v>
          </cell>
        </row>
        <row r="872">
          <cell r="C872" t="str">
            <v>4313</v>
          </cell>
          <cell r="D872" t="str">
            <v>Argamassa colante ferma marmore granito interna da Quartzolit® (sc 20Kg)</v>
          </cell>
          <cell r="E872" t="str">
            <v>MAT.</v>
          </cell>
          <cell r="F872" t="str">
            <v>sc</v>
          </cell>
          <cell r="G872">
            <v>2.5000000000000001E-2</v>
          </cell>
          <cell r="H872">
            <v>17</v>
          </cell>
          <cell r="I872">
            <v>0.43</v>
          </cell>
        </row>
        <row r="873">
          <cell r="C873" t="str">
            <v>4352</v>
          </cell>
          <cell r="D873" t="str">
            <v>Rejunte SH porcelanato da Quartzolit® (caixa 5kg)</v>
          </cell>
          <cell r="E873" t="str">
            <v>MAT.</v>
          </cell>
          <cell r="F873" t="str">
            <v>CX</v>
          </cell>
          <cell r="G873">
            <v>8.4399999999999996E-3</v>
          </cell>
          <cell r="H873">
            <v>10</v>
          </cell>
          <cell r="I873">
            <v>0.08</v>
          </cell>
        </row>
        <row r="874">
          <cell r="C874" t="str">
            <v>99.2500</v>
          </cell>
          <cell r="D874" t="str">
            <v>Rodapé em granito branco Itaúna 7 x 60cm</v>
          </cell>
          <cell r="E874" t="str">
            <v>MAT.</v>
          </cell>
          <cell r="F874" t="str">
            <v>m</v>
          </cell>
          <cell r="G874">
            <v>1</v>
          </cell>
          <cell r="H874">
            <v>47</v>
          </cell>
          <cell r="I874">
            <v>47</v>
          </cell>
        </row>
        <row r="875">
          <cell r="C875" t="str">
            <v>25.03.02.08</v>
          </cell>
          <cell r="D875" t="str">
            <v>Rodapé em granito branco Itaúna h = 20 cm</v>
          </cell>
          <cell r="E875" t="str">
            <v xml:space="preserve">SER.CG </v>
          </cell>
          <cell r="F875" t="str">
            <v xml:space="preserve">m </v>
          </cell>
          <cell r="G875">
            <v>75</v>
          </cell>
          <cell r="H875">
            <v>64.510000000000005</v>
          </cell>
          <cell r="I875">
            <v>4838.25</v>
          </cell>
        </row>
        <row r="876">
          <cell r="C876" t="str">
            <v>4313</v>
          </cell>
          <cell r="D876" t="str">
            <v>Argamassa colante ferma marmore granito interna da Quartzolit® (sc 20Kg)</v>
          </cell>
          <cell r="E876" t="str">
            <v>MAT.</v>
          </cell>
          <cell r="F876" t="str">
            <v>sc</v>
          </cell>
          <cell r="G876">
            <v>2.5000000000000001E-2</v>
          </cell>
          <cell r="H876">
            <v>17</v>
          </cell>
          <cell r="I876">
            <v>0.43</v>
          </cell>
        </row>
        <row r="877">
          <cell r="C877" t="str">
            <v>4352</v>
          </cell>
          <cell r="D877" t="str">
            <v>Rejunte SH porcelanato da Quartzolit® (caixa 5kg)</v>
          </cell>
          <cell r="E877" t="str">
            <v>MAT.</v>
          </cell>
          <cell r="F877" t="str">
            <v>CX</v>
          </cell>
          <cell r="G877">
            <v>8.4399999999999996E-3</v>
          </cell>
          <cell r="H877">
            <v>10</v>
          </cell>
          <cell r="I877">
            <v>0.08</v>
          </cell>
        </row>
        <row r="878">
          <cell r="C878" t="str">
            <v>99.2501</v>
          </cell>
          <cell r="D878" t="str">
            <v>Rodapé em granito branco Itaúna h = 20 cm</v>
          </cell>
          <cell r="E878" t="str">
            <v>MAT.</v>
          </cell>
          <cell r="F878" t="str">
            <v>m</v>
          </cell>
          <cell r="G878">
            <v>1</v>
          </cell>
          <cell r="H878">
            <v>64</v>
          </cell>
          <cell r="I878">
            <v>64</v>
          </cell>
        </row>
        <row r="879">
          <cell r="C879" t="str">
            <v>25.03.02.09</v>
          </cell>
          <cell r="D879" t="str">
            <v>Piso em granito vermelho Capão Bonito, acabamento flameado esp.=3cm</v>
          </cell>
          <cell r="E879" t="str">
            <v xml:space="preserve">SER.CG </v>
          </cell>
          <cell r="F879" t="str">
            <v xml:space="preserve">m2 </v>
          </cell>
          <cell r="G879">
            <v>34</v>
          </cell>
          <cell r="H879">
            <v>200.01</v>
          </cell>
          <cell r="I879">
            <v>6800.34</v>
          </cell>
        </row>
        <row r="880">
          <cell r="C880" t="str">
            <v>4313</v>
          </cell>
          <cell r="D880" t="str">
            <v>Argamassa colante ferma marmore granito interna da Quartzolit® (sc 20Kg)</v>
          </cell>
          <cell r="E880" t="str">
            <v>MAT.</v>
          </cell>
          <cell r="F880" t="str">
            <v>sc</v>
          </cell>
          <cell r="G880">
            <v>2.5000000000000001E-2</v>
          </cell>
          <cell r="H880">
            <v>17</v>
          </cell>
          <cell r="I880">
            <v>0.43</v>
          </cell>
        </row>
        <row r="881">
          <cell r="C881" t="str">
            <v>4352</v>
          </cell>
          <cell r="D881" t="str">
            <v>Rejunte SH porcelanato da Quartzolit® (caixa 5kg)</v>
          </cell>
          <cell r="E881" t="str">
            <v>MAT.</v>
          </cell>
          <cell r="F881" t="str">
            <v>CX</v>
          </cell>
          <cell r="G881">
            <v>8.4399999999999996E-3</v>
          </cell>
          <cell r="H881">
            <v>10</v>
          </cell>
          <cell r="I881">
            <v>0.08</v>
          </cell>
        </row>
        <row r="882">
          <cell r="C882" t="str">
            <v>99.2502</v>
          </cell>
          <cell r="D882" t="str">
            <v>Piso em granito vermelho Capão Bonito, acabamento flameado</v>
          </cell>
          <cell r="E882" t="str">
            <v>MAT.</v>
          </cell>
          <cell r="F882" t="str">
            <v>m2</v>
          </cell>
          <cell r="G882">
            <v>1.05</v>
          </cell>
          <cell r="H882">
            <v>190</v>
          </cell>
          <cell r="I882">
            <v>199.5</v>
          </cell>
        </row>
        <row r="883">
          <cell r="C883" t="str">
            <v>25.03.02.10</v>
          </cell>
          <cell r="D883" t="str">
            <v>Piso em granito amarelo Santa Cecília, acabamento flameado esp.=3cm</v>
          </cell>
          <cell r="E883" t="str">
            <v xml:space="preserve">SER.CG </v>
          </cell>
          <cell r="F883" t="str">
            <v xml:space="preserve">m2 </v>
          </cell>
          <cell r="G883">
            <v>34</v>
          </cell>
          <cell r="H883">
            <v>189.51</v>
          </cell>
          <cell r="I883">
            <v>6443.34</v>
          </cell>
        </row>
        <row r="884">
          <cell r="C884" t="str">
            <v>4313</v>
          </cell>
          <cell r="D884" t="str">
            <v>Argamassa colante ferma marmore granito interna da Quartzolit® (sc 20Kg)</v>
          </cell>
          <cell r="E884" t="str">
            <v>MAT.</v>
          </cell>
          <cell r="F884" t="str">
            <v>sc</v>
          </cell>
          <cell r="G884">
            <v>2.5000000000000001E-2</v>
          </cell>
          <cell r="H884">
            <v>17</v>
          </cell>
          <cell r="I884">
            <v>0.43</v>
          </cell>
        </row>
        <row r="885">
          <cell r="C885" t="str">
            <v>4352</v>
          </cell>
          <cell r="D885" t="str">
            <v>Rejunte SH porcelanato da Quartzolit® (caixa 5kg)</v>
          </cell>
          <cell r="E885" t="str">
            <v>MAT.</v>
          </cell>
          <cell r="F885" t="str">
            <v>CX</v>
          </cell>
          <cell r="G885">
            <v>8.4399999999999996E-3</v>
          </cell>
          <cell r="H885">
            <v>10</v>
          </cell>
          <cell r="I885">
            <v>0.08</v>
          </cell>
        </row>
        <row r="886">
          <cell r="C886" t="str">
            <v>99.2503</v>
          </cell>
          <cell r="D886" t="str">
            <v>Piso em granito amarelo Santa Cecília, acabamento flameado</v>
          </cell>
          <cell r="E886" t="str">
            <v>MAT.</v>
          </cell>
          <cell r="F886" t="str">
            <v>m2</v>
          </cell>
          <cell r="G886">
            <v>1.05</v>
          </cell>
          <cell r="H886">
            <v>180</v>
          </cell>
          <cell r="I886">
            <v>189</v>
          </cell>
        </row>
        <row r="887">
          <cell r="C887" t="str">
            <v>25.03.02.11</v>
          </cell>
          <cell r="D887" t="str">
            <v>Piso em granito branco polar, acabamento flameado esp.=3cm</v>
          </cell>
          <cell r="E887" t="str">
            <v xml:space="preserve">SER.CG </v>
          </cell>
          <cell r="F887" t="str">
            <v xml:space="preserve">m2 </v>
          </cell>
          <cell r="G887">
            <v>118</v>
          </cell>
          <cell r="H887">
            <v>257.76</v>
          </cell>
          <cell r="I887">
            <v>30415.68</v>
          </cell>
        </row>
        <row r="888">
          <cell r="C888" t="str">
            <v>4313</v>
          </cell>
          <cell r="D888" t="str">
            <v>Argamassa colante ferma marmore granito interna da Quartzolit® (sc 20Kg)</v>
          </cell>
          <cell r="E888" t="str">
            <v>MAT.</v>
          </cell>
          <cell r="F888" t="str">
            <v>sc</v>
          </cell>
          <cell r="G888">
            <v>2.5000000000000001E-2</v>
          </cell>
          <cell r="H888">
            <v>17</v>
          </cell>
          <cell r="I888">
            <v>0.43</v>
          </cell>
        </row>
        <row r="889">
          <cell r="C889" t="str">
            <v>4352</v>
          </cell>
          <cell r="D889" t="str">
            <v>Rejunte SH porcelanato da Quartzolit® (caixa 5kg)</v>
          </cell>
          <cell r="E889" t="str">
            <v>MAT.</v>
          </cell>
          <cell r="F889" t="str">
            <v>CX</v>
          </cell>
          <cell r="G889">
            <v>8.4399999999999996E-3</v>
          </cell>
          <cell r="H889">
            <v>10</v>
          </cell>
          <cell r="I889">
            <v>0.08</v>
          </cell>
        </row>
        <row r="890">
          <cell r="C890" t="str">
            <v>99.2504</v>
          </cell>
          <cell r="D890" t="str">
            <v>Piso em granito branco polar, acabamento flameado</v>
          </cell>
          <cell r="E890" t="str">
            <v>MAT.</v>
          </cell>
          <cell r="F890" t="str">
            <v>m2</v>
          </cell>
          <cell r="G890">
            <v>1.05</v>
          </cell>
          <cell r="H890">
            <v>245</v>
          </cell>
          <cell r="I890">
            <v>257.25</v>
          </cell>
        </row>
        <row r="891">
          <cell r="C891" t="str">
            <v>25.03.02.12</v>
          </cell>
          <cell r="D891" t="str">
            <v>Arremate em granito amarelo Santa Cecilia, acabamento flameado</v>
          </cell>
          <cell r="E891" t="str">
            <v xml:space="preserve">SER.CG </v>
          </cell>
          <cell r="F891" t="str">
            <v xml:space="preserve">m </v>
          </cell>
          <cell r="G891">
            <v>51</v>
          </cell>
          <cell r="H891">
            <v>37.21</v>
          </cell>
          <cell r="I891">
            <v>1897.71</v>
          </cell>
        </row>
        <row r="892">
          <cell r="C892" t="str">
            <v>4313</v>
          </cell>
          <cell r="D892" t="str">
            <v>Argamassa colante ferma marmore granito interna da Quartzolit® (sc 20Kg)</v>
          </cell>
          <cell r="E892" t="str">
            <v>MAT.</v>
          </cell>
          <cell r="F892" t="str">
            <v>sc</v>
          </cell>
          <cell r="G892">
            <v>0.01</v>
          </cell>
          <cell r="H892">
            <v>17</v>
          </cell>
          <cell r="I892">
            <v>0.17</v>
          </cell>
        </row>
        <row r="893">
          <cell r="C893" t="str">
            <v>4352</v>
          </cell>
          <cell r="D893" t="str">
            <v>Rejunte SH porcelanato da Quartzolit® (caixa 5kg)</v>
          </cell>
          <cell r="E893" t="str">
            <v>MAT.</v>
          </cell>
          <cell r="F893" t="str">
            <v>CX</v>
          </cell>
          <cell r="G893">
            <v>4.0000000000000001E-3</v>
          </cell>
          <cell r="H893">
            <v>10</v>
          </cell>
          <cell r="I893">
            <v>0.04</v>
          </cell>
        </row>
        <row r="894">
          <cell r="C894" t="str">
            <v>99.2505</v>
          </cell>
          <cell r="D894" t="str">
            <v>Arremate em granito amarelo Santa Cecilia, acabamento flameado</v>
          </cell>
          <cell r="E894" t="str">
            <v>MAT.</v>
          </cell>
          <cell r="F894" t="str">
            <v>m</v>
          </cell>
          <cell r="G894">
            <v>1</v>
          </cell>
          <cell r="H894">
            <v>37</v>
          </cell>
          <cell r="I894">
            <v>37</v>
          </cell>
        </row>
        <row r="895">
          <cell r="C895" t="str">
            <v>25.03.02.13</v>
          </cell>
          <cell r="D895" t="str">
            <v>Encabeçamento em granito amarelo Santa Cecilia, acabamento flameado</v>
          </cell>
          <cell r="E895" t="str">
            <v xml:space="preserve">SER.CG </v>
          </cell>
          <cell r="F895" t="str">
            <v xml:space="preserve">m </v>
          </cell>
          <cell r="G895">
            <v>101</v>
          </cell>
          <cell r="H895">
            <v>37.21</v>
          </cell>
          <cell r="I895">
            <v>3758.21</v>
          </cell>
        </row>
        <row r="896">
          <cell r="C896" t="str">
            <v>4313</v>
          </cell>
          <cell r="D896" t="str">
            <v>Argamassa colante ferma marmore granito interna da Quartzolit® (sc 20Kg)</v>
          </cell>
          <cell r="E896" t="str">
            <v>MAT.</v>
          </cell>
          <cell r="F896" t="str">
            <v>sc</v>
          </cell>
          <cell r="G896">
            <v>0.01</v>
          </cell>
          <cell r="H896">
            <v>17</v>
          </cell>
          <cell r="I896">
            <v>0.17</v>
          </cell>
        </row>
        <row r="897">
          <cell r="C897" t="str">
            <v>4352</v>
          </cell>
          <cell r="D897" t="str">
            <v>Rejunte SH porcelanato da Quartzolit® (caixa 5kg)</v>
          </cell>
          <cell r="E897" t="str">
            <v>MAT.</v>
          </cell>
          <cell r="F897" t="str">
            <v>CX</v>
          </cell>
          <cell r="G897">
            <v>4.0000000000000001E-3</v>
          </cell>
          <cell r="H897">
            <v>10</v>
          </cell>
          <cell r="I897">
            <v>0.04</v>
          </cell>
        </row>
        <row r="898">
          <cell r="C898" t="str">
            <v>99.2506</v>
          </cell>
          <cell r="D898" t="str">
            <v>Encabeçamento em granito amarelo Santa Cecilia, acabamento flameado</v>
          </cell>
          <cell r="E898" t="str">
            <v>MAT.</v>
          </cell>
          <cell r="F898" t="str">
            <v>m</v>
          </cell>
          <cell r="G898">
            <v>1</v>
          </cell>
          <cell r="H898">
            <v>37</v>
          </cell>
          <cell r="I898">
            <v>37</v>
          </cell>
        </row>
        <row r="899">
          <cell r="C899" t="str">
            <v>25.03.02.14</v>
          </cell>
          <cell r="D899" t="str">
            <v>Rodapé em granito vermelho Capão bonito, acabamento flameado</v>
          </cell>
          <cell r="E899" t="str">
            <v xml:space="preserve">SER.CG </v>
          </cell>
          <cell r="F899" t="str">
            <v xml:space="preserve">m </v>
          </cell>
          <cell r="G899">
            <v>7</v>
          </cell>
          <cell r="H899">
            <v>44.51</v>
          </cell>
          <cell r="I899">
            <v>311.57</v>
          </cell>
        </row>
        <row r="900">
          <cell r="C900" t="str">
            <v>4313</v>
          </cell>
          <cell r="D900" t="str">
            <v>Argamassa colante ferma marmore granito interna da Quartzolit® (sc 20Kg)</v>
          </cell>
          <cell r="E900" t="str">
            <v>MAT.</v>
          </cell>
          <cell r="F900" t="str">
            <v>sc</v>
          </cell>
          <cell r="G900">
            <v>2.5000000000000001E-2</v>
          </cell>
          <cell r="H900">
            <v>17</v>
          </cell>
          <cell r="I900">
            <v>0.43</v>
          </cell>
        </row>
        <row r="901">
          <cell r="C901" t="str">
            <v>4352</v>
          </cell>
          <cell r="D901" t="str">
            <v>Rejunte SH porcelanato da Quartzolit® (caixa 5kg)</v>
          </cell>
          <cell r="E901" t="str">
            <v>MAT.</v>
          </cell>
          <cell r="F901" t="str">
            <v>CX</v>
          </cell>
          <cell r="G901">
            <v>8.4399999999999996E-3</v>
          </cell>
          <cell r="H901">
            <v>10</v>
          </cell>
          <cell r="I901">
            <v>0.08</v>
          </cell>
        </row>
        <row r="902">
          <cell r="C902" t="str">
            <v>99.2507</v>
          </cell>
          <cell r="D902" t="str">
            <v>Rodapé em granito vermelho Capão bonito, acabamento flameado</v>
          </cell>
          <cell r="E902" t="str">
            <v>MAT.</v>
          </cell>
          <cell r="F902" t="str">
            <v>m</v>
          </cell>
          <cell r="G902">
            <v>1</v>
          </cell>
          <cell r="H902">
            <v>44</v>
          </cell>
          <cell r="I902">
            <v>44</v>
          </cell>
        </row>
        <row r="903">
          <cell r="C903" t="str">
            <v>25.03.02.18</v>
          </cell>
          <cell r="D903" t="str">
            <v>Peitoril de granito branco Itaúnas I=15cm</v>
          </cell>
          <cell r="E903" t="str">
            <v xml:space="preserve">SER.CG </v>
          </cell>
          <cell r="F903" t="str">
            <v xml:space="preserve">m </v>
          </cell>
          <cell r="G903">
            <v>1093</v>
          </cell>
          <cell r="H903">
            <v>45.51</v>
          </cell>
          <cell r="I903">
            <v>49742.43</v>
          </cell>
        </row>
        <row r="904">
          <cell r="C904" t="str">
            <v>4313</v>
          </cell>
          <cell r="D904" t="str">
            <v>Argamassa colante ferma marmore granito interna da Quartzolit® (sc 20Kg)</v>
          </cell>
          <cell r="E904" t="str">
            <v>MAT.</v>
          </cell>
          <cell r="F904" t="str">
            <v>sc</v>
          </cell>
          <cell r="G904">
            <v>2.5000000000000001E-2</v>
          </cell>
          <cell r="H904">
            <v>17</v>
          </cell>
          <cell r="I904">
            <v>0.43</v>
          </cell>
        </row>
        <row r="905">
          <cell r="C905" t="str">
            <v>4352</v>
          </cell>
          <cell r="D905" t="str">
            <v>Rejunte SH porcelanato da Quartzolit® (caixa 5kg)</v>
          </cell>
          <cell r="E905" t="str">
            <v>MAT.</v>
          </cell>
          <cell r="F905" t="str">
            <v>CX</v>
          </cell>
          <cell r="G905">
            <v>8.4399999999999996E-3</v>
          </cell>
          <cell r="H905">
            <v>10</v>
          </cell>
          <cell r="I905">
            <v>0.08</v>
          </cell>
        </row>
        <row r="906">
          <cell r="C906" t="str">
            <v>99.2510</v>
          </cell>
          <cell r="D906" t="str">
            <v>Peitoril de granito branco Itaúnas I=15cm</v>
          </cell>
          <cell r="E906" t="str">
            <v>MAT.</v>
          </cell>
          <cell r="F906" t="str">
            <v>m</v>
          </cell>
          <cell r="G906">
            <v>1</v>
          </cell>
          <cell r="H906">
            <v>45</v>
          </cell>
          <cell r="I906">
            <v>45</v>
          </cell>
        </row>
        <row r="907">
          <cell r="C907" t="str">
            <v>25.04.01.01</v>
          </cell>
          <cell r="D907" t="str">
            <v>Piso cerâmico 30x30cm linha Rhodes al da Cecrisa®</v>
          </cell>
          <cell r="E907" t="str">
            <v xml:space="preserve">SER.CG </v>
          </cell>
          <cell r="F907" t="str">
            <v xml:space="preserve">m2 </v>
          </cell>
          <cell r="G907">
            <v>1603</v>
          </cell>
          <cell r="H907">
            <v>37.03</v>
          </cell>
          <cell r="I907">
            <v>59359.09</v>
          </cell>
        </row>
        <row r="908">
          <cell r="C908" t="str">
            <v>1750</v>
          </cell>
          <cell r="D908" t="str">
            <v>Rejunte Juntaplus larga da Eliane® (Saco 5 kg)</v>
          </cell>
          <cell r="E908" t="str">
            <v>MAT.</v>
          </cell>
          <cell r="F908" t="str">
            <v>sc</v>
          </cell>
          <cell r="G908">
            <v>8.4400000000000003E-2</v>
          </cell>
          <cell r="H908">
            <v>11.39</v>
          </cell>
          <cell r="I908">
            <v>0.96</v>
          </cell>
        </row>
        <row r="909">
          <cell r="C909" t="str">
            <v>4584</v>
          </cell>
          <cell r="D909" t="str">
            <v>Argamassa colante uso interno, ref. ACI da Quartzolit (saco 20kg)</v>
          </cell>
          <cell r="E909" t="str">
            <v>MAT.</v>
          </cell>
          <cell r="F909" t="str">
            <v>sc</v>
          </cell>
          <cell r="G909">
            <v>0.25</v>
          </cell>
          <cell r="H909">
            <v>4.5</v>
          </cell>
          <cell r="I909">
            <v>1.1299999999999999</v>
          </cell>
        </row>
        <row r="910">
          <cell r="C910" t="str">
            <v>4717</v>
          </cell>
          <cell r="D910" t="str">
            <v>MDO para assentamento de piso cerâmico</v>
          </cell>
          <cell r="E910" t="str">
            <v>M.O.</v>
          </cell>
          <cell r="F910" t="str">
            <v>m2</v>
          </cell>
          <cell r="G910">
            <v>1</v>
          </cell>
          <cell r="H910">
            <v>18.5</v>
          </cell>
          <cell r="I910">
            <v>18.5</v>
          </cell>
        </row>
        <row r="911">
          <cell r="C911" t="str">
            <v>4959</v>
          </cell>
          <cell r="D911" t="str">
            <v>Piso cerâmico 30x30cm linha Rhodes al da Cecrisa®</v>
          </cell>
          <cell r="E911" t="str">
            <v>MAT.</v>
          </cell>
          <cell r="F911" t="str">
            <v>m2</v>
          </cell>
          <cell r="G911">
            <v>1.05</v>
          </cell>
          <cell r="H911">
            <v>15.66</v>
          </cell>
          <cell r="I911">
            <v>16.440000000000001</v>
          </cell>
        </row>
        <row r="912">
          <cell r="C912" t="str">
            <v>25.04.01.02</v>
          </cell>
          <cell r="D912" t="str">
            <v>Cerâmica Cecrisa White Basic Matte 30x30 cm, ou similar das marcas Eliane, Incepa ou Portobello</v>
          </cell>
          <cell r="E912" t="str">
            <v xml:space="preserve">SER.CG </v>
          </cell>
          <cell r="F912" t="str">
            <v xml:space="preserve">m2 </v>
          </cell>
          <cell r="G912">
            <v>318</v>
          </cell>
          <cell r="H912">
            <v>36.519999999999996</v>
          </cell>
          <cell r="I912">
            <v>11613.36</v>
          </cell>
        </row>
        <row r="913">
          <cell r="C913" t="str">
            <v>1750</v>
          </cell>
          <cell r="D913" t="str">
            <v>Rejunte Juntaplus larga da Eliane® (Saco 5 kg)</v>
          </cell>
          <cell r="E913" t="str">
            <v>MAT.</v>
          </cell>
          <cell r="F913" t="str">
            <v>sc</v>
          </cell>
          <cell r="G913">
            <v>0.152</v>
          </cell>
          <cell r="H913">
            <v>11.39</v>
          </cell>
          <cell r="I913">
            <v>1.73</v>
          </cell>
        </row>
        <row r="914">
          <cell r="C914" t="str">
            <v>4572</v>
          </cell>
          <cell r="D914" t="str">
            <v>MDO para assentamento de azulejo cerâmico</v>
          </cell>
          <cell r="E914" t="str">
            <v>M.O.</v>
          </cell>
          <cell r="F914" t="str">
            <v>m2</v>
          </cell>
          <cell r="G914">
            <v>1</v>
          </cell>
          <cell r="H914">
            <v>18.5</v>
          </cell>
          <cell r="I914">
            <v>18.5</v>
          </cell>
        </row>
        <row r="915">
          <cell r="C915" t="str">
            <v>4584</v>
          </cell>
          <cell r="D915" t="str">
            <v>Argamassa colante uso interno, ref. ACI da Quartzolit (saco 20kg)</v>
          </cell>
          <cell r="E915" t="str">
            <v>MAT.</v>
          </cell>
          <cell r="F915" t="str">
            <v>sc</v>
          </cell>
          <cell r="G915">
            <v>0.25</v>
          </cell>
          <cell r="H915">
            <v>4.5</v>
          </cell>
          <cell r="I915">
            <v>1.1299999999999999</v>
          </cell>
        </row>
        <row r="916">
          <cell r="C916" t="str">
            <v>99.1367</v>
          </cell>
          <cell r="D916" t="str">
            <v>Revestimento cerâmico 30x30cm linha white basic matte da Cecrisa®</v>
          </cell>
          <cell r="E916" t="str">
            <v>MAT.</v>
          </cell>
          <cell r="F916" t="str">
            <v>m2</v>
          </cell>
          <cell r="G916">
            <v>1.1000000000000001</v>
          </cell>
          <cell r="H916">
            <v>13.78</v>
          </cell>
          <cell r="I916">
            <v>15.16</v>
          </cell>
        </row>
        <row r="917">
          <cell r="C917" t="str">
            <v>25.04.01.03</v>
          </cell>
          <cell r="D917" t="str">
            <v>Piso cerâmico Duramax WH 45 x 45cm Portinari</v>
          </cell>
          <cell r="E917" t="str">
            <v xml:space="preserve">SER.CG </v>
          </cell>
          <cell r="F917" t="str">
            <v xml:space="preserve">m2 </v>
          </cell>
          <cell r="G917">
            <v>1998</v>
          </cell>
          <cell r="H917">
            <v>53.73</v>
          </cell>
          <cell r="I917">
            <v>107352.54</v>
          </cell>
        </row>
        <row r="918">
          <cell r="C918" t="str">
            <v>1750</v>
          </cell>
          <cell r="D918" t="str">
            <v>Rejunte Juntaplus larga da Eliane® (Saco 5 kg)</v>
          </cell>
          <cell r="E918" t="str">
            <v>MAT.</v>
          </cell>
          <cell r="F918" t="str">
            <v>sc</v>
          </cell>
          <cell r="G918">
            <v>0.152</v>
          </cell>
          <cell r="H918">
            <v>11.39</v>
          </cell>
          <cell r="I918">
            <v>1.73</v>
          </cell>
        </row>
        <row r="919">
          <cell r="C919" t="str">
            <v>4572</v>
          </cell>
          <cell r="D919" t="str">
            <v>MDO para assentamento de azulejo cerâmico</v>
          </cell>
          <cell r="E919" t="str">
            <v>M.O.</v>
          </cell>
          <cell r="F919" t="str">
            <v>m2</v>
          </cell>
          <cell r="G919">
            <v>1</v>
          </cell>
          <cell r="H919">
            <v>18.5</v>
          </cell>
          <cell r="I919">
            <v>18.5</v>
          </cell>
        </row>
        <row r="920">
          <cell r="C920" t="str">
            <v>4584</v>
          </cell>
          <cell r="D920" t="str">
            <v>Argamassa colante uso interno, ref. ACI da Quartzolit (saco 20kg)</v>
          </cell>
          <cell r="E920" t="str">
            <v>MAT.</v>
          </cell>
          <cell r="F920" t="str">
            <v>sc</v>
          </cell>
          <cell r="G920">
            <v>0.25</v>
          </cell>
          <cell r="H920">
            <v>4.5</v>
          </cell>
          <cell r="I920">
            <v>1.1299999999999999</v>
          </cell>
        </row>
        <row r="921">
          <cell r="C921" t="str">
            <v>99.2513</v>
          </cell>
          <cell r="D921" t="str">
            <v>Piso cerâmico Duramax WH 45 x 45cm Portinari</v>
          </cell>
          <cell r="E921" t="str">
            <v>MAT.</v>
          </cell>
          <cell r="F921" t="str">
            <v>m2</v>
          </cell>
          <cell r="G921">
            <v>1.1000000000000001</v>
          </cell>
          <cell r="H921">
            <v>29.43</v>
          </cell>
          <cell r="I921">
            <v>32.369999999999997</v>
          </cell>
        </row>
        <row r="922">
          <cell r="C922" t="str">
            <v>25.04.01.04</v>
          </cell>
          <cell r="D922" t="str">
            <v>Rodapé cerâmico Duramax WH 45 x 45cm Portinari</v>
          </cell>
          <cell r="E922" t="str">
            <v xml:space="preserve">SER.CG </v>
          </cell>
          <cell r="F922" t="str">
            <v xml:space="preserve">m </v>
          </cell>
          <cell r="G922">
            <v>449</v>
          </cell>
          <cell r="H922">
            <v>16.009999999999998</v>
          </cell>
          <cell r="I922">
            <v>7188.49</v>
          </cell>
        </row>
        <row r="923">
          <cell r="C923" t="str">
            <v>1750</v>
          </cell>
          <cell r="D923" t="str">
            <v>Rejunte Juntaplus larga da Eliane® (Saco 5 kg)</v>
          </cell>
          <cell r="E923" t="str">
            <v>MAT.</v>
          </cell>
          <cell r="F923" t="str">
            <v>sc</v>
          </cell>
          <cell r="G923">
            <v>8.4399999999999996E-3</v>
          </cell>
          <cell r="H923">
            <v>11.39</v>
          </cell>
          <cell r="I923">
            <v>0.1</v>
          </cell>
        </row>
        <row r="924">
          <cell r="C924" t="str">
            <v>2556</v>
          </cell>
          <cell r="D924" t="str">
            <v>MDO para assentamento de rodapé cerâmico</v>
          </cell>
          <cell r="E924" t="str">
            <v>EMPRE</v>
          </cell>
          <cell r="F924" t="str">
            <v>m</v>
          </cell>
          <cell r="G924">
            <v>1</v>
          </cell>
          <cell r="H924">
            <v>9.25</v>
          </cell>
          <cell r="I924">
            <v>9.25</v>
          </cell>
        </row>
        <row r="925">
          <cell r="C925" t="str">
            <v>4584</v>
          </cell>
          <cell r="D925" t="str">
            <v>Argamassa colante uso interno, ref. ACI da Quartzolit (saco 20kg)</v>
          </cell>
          <cell r="E925" t="str">
            <v>MAT.</v>
          </cell>
          <cell r="F925" t="str">
            <v>sc</v>
          </cell>
          <cell r="G925">
            <v>2.5000000000000001E-2</v>
          </cell>
          <cell r="H925">
            <v>4.5</v>
          </cell>
          <cell r="I925">
            <v>0.11</v>
          </cell>
        </row>
        <row r="926">
          <cell r="C926" t="str">
            <v>99.2514</v>
          </cell>
          <cell r="D926" t="str">
            <v>Rodapé cerâmico Duramax WH 45 x 45cm Portinari</v>
          </cell>
          <cell r="E926" t="str">
            <v>MAT.</v>
          </cell>
          <cell r="F926" t="str">
            <v>m</v>
          </cell>
          <cell r="G926">
            <v>1.05</v>
          </cell>
          <cell r="H926">
            <v>6.24</v>
          </cell>
          <cell r="I926">
            <v>6.55</v>
          </cell>
        </row>
        <row r="927">
          <cell r="C927" t="str">
            <v>25.04.01.05</v>
          </cell>
          <cell r="D927" t="str">
            <v>Rodapé em Cerâmica Cecrisa Rhodes AL 7x30 ou similar das marcas Eliane, Gyotoku ou Portobello</v>
          </cell>
          <cell r="E927" t="str">
            <v xml:space="preserve">SER.CG </v>
          </cell>
          <cell r="F927" t="str">
            <v xml:space="preserve">m </v>
          </cell>
          <cell r="G927">
            <v>1515</v>
          </cell>
          <cell r="H927">
            <v>18.46</v>
          </cell>
          <cell r="I927">
            <v>27966.9</v>
          </cell>
        </row>
        <row r="928">
          <cell r="C928" t="str">
            <v>1750</v>
          </cell>
          <cell r="D928" t="str">
            <v>Rejunte Juntaplus larga da Eliane® (Saco 5 kg)</v>
          </cell>
          <cell r="E928" t="str">
            <v>MAT.</v>
          </cell>
          <cell r="F928" t="str">
            <v>sc</v>
          </cell>
          <cell r="G928">
            <v>8.4399999999999996E-3</v>
          </cell>
          <cell r="H928">
            <v>11.39</v>
          </cell>
          <cell r="I928">
            <v>0.1</v>
          </cell>
        </row>
        <row r="929">
          <cell r="C929" t="str">
            <v>2556</v>
          </cell>
          <cell r="D929" t="str">
            <v>MDO para assentamento de rodapé cerâmico</v>
          </cell>
          <cell r="E929" t="str">
            <v>EMPRE</v>
          </cell>
          <cell r="F929" t="str">
            <v>m</v>
          </cell>
          <cell r="G929">
            <v>1</v>
          </cell>
          <cell r="H929">
            <v>9.25</v>
          </cell>
          <cell r="I929">
            <v>9.25</v>
          </cell>
        </row>
        <row r="930">
          <cell r="C930" t="str">
            <v>4584</v>
          </cell>
          <cell r="D930" t="str">
            <v>Argamassa colante uso interno, ref. ACI da Quartzolit (saco 20kg)</v>
          </cell>
          <cell r="E930" t="str">
            <v>MAT.</v>
          </cell>
          <cell r="F930" t="str">
            <v>sc</v>
          </cell>
          <cell r="G930">
            <v>2.5000000000000001E-2</v>
          </cell>
          <cell r="H930">
            <v>4.5</v>
          </cell>
          <cell r="I930">
            <v>0.11</v>
          </cell>
        </row>
        <row r="931">
          <cell r="C931" t="str">
            <v>99.2515</v>
          </cell>
          <cell r="D931" t="str">
            <v>Rodapé em Cerâmica Cecrisa Rhodes AL 7x30 ou similar das marcas Eliane, Gyotoku ou Portobello</v>
          </cell>
          <cell r="E931" t="str">
            <v>MAT.</v>
          </cell>
          <cell r="F931" t="str">
            <v>m</v>
          </cell>
          <cell r="G931">
            <v>1.05</v>
          </cell>
          <cell r="H931">
            <v>8.57</v>
          </cell>
          <cell r="I931">
            <v>9</v>
          </cell>
        </row>
        <row r="932">
          <cell r="C932" t="str">
            <v>25.04.01.06</v>
          </cell>
          <cell r="D932" t="str">
            <v>Rodapé Cecrisa White Basic Mate 7 x 30cm , ou similar</v>
          </cell>
          <cell r="E932" t="str">
            <v xml:space="preserve">SER.CG </v>
          </cell>
          <cell r="F932" t="str">
            <v xml:space="preserve">m </v>
          </cell>
          <cell r="G932">
            <v>78</v>
          </cell>
          <cell r="H932">
            <v>15.059999999999999</v>
          </cell>
          <cell r="I932">
            <v>1174.68</v>
          </cell>
        </row>
        <row r="933">
          <cell r="C933" t="str">
            <v>1750</v>
          </cell>
          <cell r="D933" t="str">
            <v>Rejunte Juntaplus larga da Eliane® (Saco 5 kg)</v>
          </cell>
          <cell r="E933" t="str">
            <v>MAT.</v>
          </cell>
          <cell r="F933" t="str">
            <v>sc</v>
          </cell>
          <cell r="G933">
            <v>8.4399999999999996E-3</v>
          </cell>
          <cell r="H933">
            <v>11.39</v>
          </cell>
          <cell r="I933">
            <v>0.1</v>
          </cell>
        </row>
        <row r="934">
          <cell r="C934" t="str">
            <v>2556</v>
          </cell>
          <cell r="D934" t="str">
            <v>MDO para assentamento de rodapé cerâmico</v>
          </cell>
          <cell r="E934" t="str">
            <v>EMPRE</v>
          </cell>
          <cell r="F934" t="str">
            <v>m</v>
          </cell>
          <cell r="G934">
            <v>1</v>
          </cell>
          <cell r="H934">
            <v>9.25</v>
          </cell>
          <cell r="I934">
            <v>9.25</v>
          </cell>
        </row>
        <row r="935">
          <cell r="C935" t="str">
            <v>4584</v>
          </cell>
          <cell r="D935" t="str">
            <v>Argamassa colante uso interno, ref. ACI da Quartzolit (saco 20kg)</v>
          </cell>
          <cell r="E935" t="str">
            <v>MAT.</v>
          </cell>
          <cell r="F935" t="str">
            <v>sc</v>
          </cell>
          <cell r="G935">
            <v>2.5000000000000001E-2</v>
          </cell>
          <cell r="H935">
            <v>4.5</v>
          </cell>
          <cell r="I935">
            <v>0.11</v>
          </cell>
        </row>
        <row r="936">
          <cell r="C936" t="str">
            <v>99.2516</v>
          </cell>
          <cell r="D936" t="str">
            <v>Rodapé Cecrisa White Basic Mate 7 x 30cm, ou similar</v>
          </cell>
          <cell r="E936" t="str">
            <v>MAT.</v>
          </cell>
          <cell r="F936" t="str">
            <v>m</v>
          </cell>
          <cell r="G936">
            <v>1.05</v>
          </cell>
          <cell r="H936">
            <v>5.33</v>
          </cell>
          <cell r="I936">
            <v>5.6</v>
          </cell>
        </row>
        <row r="937">
          <cell r="C937" t="str">
            <v>25.04.03.01</v>
          </cell>
          <cell r="D937" t="str">
            <v>Pastilha Atlas, 5x5cm, na cor azul inhauma (escuro)</v>
          </cell>
          <cell r="E937" t="str">
            <v xml:space="preserve">SER.CG </v>
          </cell>
          <cell r="F937" t="str">
            <v xml:space="preserve">m2 </v>
          </cell>
          <cell r="G937">
            <v>59</v>
          </cell>
          <cell r="H937">
            <v>94.740000000000009</v>
          </cell>
          <cell r="I937">
            <v>5589.66</v>
          </cell>
        </row>
        <row r="938">
          <cell r="C938" t="str">
            <v>1750</v>
          </cell>
          <cell r="D938" t="str">
            <v>Rejunte Juntaplus larga da Eliane® (Saco 5 kg)</v>
          </cell>
          <cell r="E938" t="str">
            <v>MAT.</v>
          </cell>
          <cell r="F938" t="str">
            <v>sc</v>
          </cell>
          <cell r="G938">
            <v>0.1</v>
          </cell>
          <cell r="H938">
            <v>11.39</v>
          </cell>
          <cell r="I938">
            <v>1.1399999999999999</v>
          </cell>
        </row>
        <row r="939">
          <cell r="C939" t="str">
            <v>4570</v>
          </cell>
          <cell r="D939" t="str">
            <v>MDO para assentamento de pastilhas cerâmicas em panos</v>
          </cell>
          <cell r="E939" t="str">
            <v>EMPRE</v>
          </cell>
          <cell r="F939" t="str">
            <v>m2</v>
          </cell>
          <cell r="G939">
            <v>1</v>
          </cell>
          <cell r="H939">
            <v>21</v>
          </cell>
          <cell r="I939">
            <v>21</v>
          </cell>
        </row>
        <row r="940">
          <cell r="C940" t="str">
            <v>4962</v>
          </cell>
          <cell r="D940" t="str">
            <v>Argamassa colante ferma pastilhas da Quartzolit® (sc 20kg)</v>
          </cell>
          <cell r="E940" t="str">
            <v>MAT.</v>
          </cell>
          <cell r="F940" t="str">
            <v>sc</v>
          </cell>
          <cell r="G940">
            <v>0.2</v>
          </cell>
          <cell r="H940">
            <v>22</v>
          </cell>
          <cell r="I940">
            <v>4.4000000000000004</v>
          </cell>
        </row>
        <row r="941">
          <cell r="C941" t="str">
            <v>99.2517</v>
          </cell>
          <cell r="D941" t="str">
            <v>Pastilha atlas, 5x5cm, na cor azul inhauma (escuro)</v>
          </cell>
          <cell r="E941" t="str">
            <v>MAT.</v>
          </cell>
          <cell r="F941" t="str">
            <v>m2</v>
          </cell>
          <cell r="G941">
            <v>1</v>
          </cell>
          <cell r="H941">
            <v>68.2</v>
          </cell>
          <cell r="I941">
            <v>68.2</v>
          </cell>
        </row>
        <row r="942">
          <cell r="C942" t="str">
            <v>25.05.01.01</v>
          </cell>
          <cell r="D942" t="str">
            <v>Piso pronto engenheirado frejo - ref. Expama</v>
          </cell>
          <cell r="E942" t="str">
            <v xml:space="preserve">SER.CG </v>
          </cell>
          <cell r="F942" t="str">
            <v xml:space="preserve">m2 </v>
          </cell>
          <cell r="G942">
            <v>475</v>
          </cell>
          <cell r="H942">
            <v>158</v>
          </cell>
          <cell r="I942">
            <v>75050</v>
          </cell>
        </row>
        <row r="943">
          <cell r="C943" t="str">
            <v>99.2518</v>
          </cell>
          <cell r="D943" t="str">
            <v>Piso pronto engenheirado frejo - ref. Expama</v>
          </cell>
          <cell r="E943" t="str">
            <v>MAT.</v>
          </cell>
          <cell r="F943" t="str">
            <v>m2</v>
          </cell>
          <cell r="G943">
            <v>1</v>
          </cell>
          <cell r="H943">
            <v>158</v>
          </cell>
          <cell r="I943">
            <v>158</v>
          </cell>
        </row>
        <row r="944">
          <cell r="C944" t="str">
            <v>25.05.01.02</v>
          </cell>
          <cell r="D944" t="str">
            <v>Rodapé em piso pronto engenheirado frejo - ref. Expama</v>
          </cell>
          <cell r="E944" t="str">
            <v xml:space="preserve">SER.CG </v>
          </cell>
          <cell r="F944" t="str">
            <v xml:space="preserve">m </v>
          </cell>
          <cell r="G944">
            <v>203</v>
          </cell>
          <cell r="H944">
            <v>21</v>
          </cell>
          <cell r="I944">
            <v>4263</v>
          </cell>
        </row>
        <row r="945">
          <cell r="C945" t="str">
            <v>99.2519</v>
          </cell>
          <cell r="D945" t="str">
            <v>Rodapé em piso pronto engenheirado frejo - ref. Expama</v>
          </cell>
          <cell r="E945" t="str">
            <v>MAT.</v>
          </cell>
          <cell r="F945" t="str">
            <v>m</v>
          </cell>
          <cell r="G945">
            <v>1</v>
          </cell>
          <cell r="H945">
            <v>21</v>
          </cell>
          <cell r="I945">
            <v>21</v>
          </cell>
        </row>
        <row r="946">
          <cell r="C946" t="str">
            <v>25.05.01.03</v>
          </cell>
          <cell r="D946" t="str">
            <v>Deck em madeira cumaru (prever aplicação de stain - osmocolor st cor transparente)</v>
          </cell>
          <cell r="E946" t="str">
            <v xml:space="preserve">SER.CG </v>
          </cell>
          <cell r="F946" t="str">
            <v xml:space="preserve">m2 </v>
          </cell>
          <cell r="G946">
            <v>35</v>
          </cell>
          <cell r="H946">
            <v>253</v>
          </cell>
          <cell r="I946">
            <v>8855</v>
          </cell>
        </row>
        <row r="947">
          <cell r="C947" t="str">
            <v>99.2519</v>
          </cell>
          <cell r="D947" t="str">
            <v>Rodapé em piso pronto engenheirado frejo - ref. Expama</v>
          </cell>
          <cell r="E947" t="str">
            <v>MAT.</v>
          </cell>
          <cell r="F947" t="str">
            <v>m</v>
          </cell>
          <cell r="G947">
            <v>1</v>
          </cell>
          <cell r="H947">
            <v>253</v>
          </cell>
          <cell r="I947">
            <v>253</v>
          </cell>
        </row>
        <row r="948">
          <cell r="C948" t="str">
            <v>25.05.01.04</v>
          </cell>
          <cell r="D948" t="str">
            <v>Arremate em madeira angelim esp 6cm</v>
          </cell>
          <cell r="E948" t="str">
            <v xml:space="preserve">SER.CG </v>
          </cell>
          <cell r="F948" t="str">
            <v xml:space="preserve">m </v>
          </cell>
          <cell r="G948">
            <v>69</v>
          </cell>
          <cell r="H948">
            <v>280</v>
          </cell>
          <cell r="I948">
            <v>19320</v>
          </cell>
        </row>
        <row r="949">
          <cell r="C949" t="str">
            <v>99.2520</v>
          </cell>
          <cell r="D949" t="str">
            <v>Arremate em madeira angelim esp 6cm</v>
          </cell>
          <cell r="E949" t="str">
            <v>MAT.</v>
          </cell>
          <cell r="F949" t="str">
            <v>m</v>
          </cell>
          <cell r="G949">
            <v>1</v>
          </cell>
          <cell r="H949">
            <v>280</v>
          </cell>
          <cell r="I949">
            <v>280</v>
          </cell>
        </row>
        <row r="950">
          <cell r="C950" t="str">
            <v>25.05.01.05</v>
          </cell>
          <cell r="D950" t="str">
            <v>Degrau em madeira (pisada + espelho)</v>
          </cell>
          <cell r="E950" t="str">
            <v xml:space="preserve">SER.CG </v>
          </cell>
          <cell r="F950" t="str">
            <v xml:space="preserve">m </v>
          </cell>
          <cell r="G950">
            <v>77</v>
          </cell>
          <cell r="H950">
            <v>265</v>
          </cell>
          <cell r="I950">
            <v>20405</v>
          </cell>
        </row>
        <row r="951">
          <cell r="C951" t="str">
            <v>4894</v>
          </cell>
          <cell r="D951" t="str">
            <v>Degrau em madeira</v>
          </cell>
          <cell r="E951" t="str">
            <v>EMPRE</v>
          </cell>
          <cell r="F951" t="str">
            <v>m</v>
          </cell>
          <cell r="G951">
            <v>1</v>
          </cell>
          <cell r="H951">
            <v>265</v>
          </cell>
          <cell r="I951">
            <v>265</v>
          </cell>
        </row>
        <row r="952">
          <cell r="C952" t="str">
            <v>25.07.01.01</v>
          </cell>
          <cell r="D952" t="str">
            <v>Piso tecnogran linha lavaggio cor branco 07-6313 (40x40cm)</v>
          </cell>
          <cell r="E952" t="str">
            <v xml:space="preserve">SER.CG </v>
          </cell>
          <cell r="F952" t="str">
            <v xml:space="preserve">m2 </v>
          </cell>
          <cell r="G952">
            <v>659</v>
          </cell>
          <cell r="H952">
            <v>77.489999999999995</v>
          </cell>
          <cell r="I952">
            <v>51065.91</v>
          </cell>
        </row>
        <row r="953">
          <cell r="C953" t="str">
            <v>198</v>
          </cell>
          <cell r="D953" t="str">
            <v>Cimento Portland Composto CPII-E32 (saco 50kg)</v>
          </cell>
          <cell r="E953" t="str">
            <v>MAT.</v>
          </cell>
          <cell r="F953" t="str">
            <v>sc</v>
          </cell>
          <cell r="G953">
            <v>5.6000000000000001E-2</v>
          </cell>
          <cell r="H953">
            <v>13.4</v>
          </cell>
          <cell r="I953">
            <v>0.75</v>
          </cell>
        </row>
        <row r="954">
          <cell r="C954" t="str">
            <v>4556</v>
          </cell>
          <cell r="D954" t="str">
            <v>Cal hidratada (saco 20kg)</v>
          </cell>
          <cell r="E954" t="str">
            <v>MAT.</v>
          </cell>
          <cell r="F954" t="str">
            <v>sc</v>
          </cell>
          <cell r="G954">
            <v>0.13650000000000001</v>
          </cell>
          <cell r="H954">
            <v>6.68</v>
          </cell>
          <cell r="I954">
            <v>0.91</v>
          </cell>
        </row>
        <row r="955">
          <cell r="C955" t="str">
            <v>63</v>
          </cell>
          <cell r="D955" t="str">
            <v>Areia</v>
          </cell>
          <cell r="E955" t="str">
            <v>MAT.</v>
          </cell>
          <cell r="F955" t="str">
            <v>m3</v>
          </cell>
          <cell r="G955">
            <v>1.8200000000000001E-2</v>
          </cell>
          <cell r="H955">
            <v>50</v>
          </cell>
          <cell r="I955">
            <v>0.91</v>
          </cell>
        </row>
        <row r="956">
          <cell r="C956" t="str">
            <v>99.2521</v>
          </cell>
          <cell r="D956" t="str">
            <v>Piso tecnogran linha lavaggio cor branco 07-6313 (40x40cm)</v>
          </cell>
          <cell r="E956" t="str">
            <v>MAT.</v>
          </cell>
          <cell r="F956" t="str">
            <v>m2</v>
          </cell>
          <cell r="G956">
            <v>1</v>
          </cell>
          <cell r="H956">
            <v>45</v>
          </cell>
          <cell r="I956">
            <v>45</v>
          </cell>
        </row>
        <row r="957">
          <cell r="C957" t="str">
            <v>99.2522</v>
          </cell>
          <cell r="D957" t="str">
            <v>MDO para execução de piso de alta resistência</v>
          </cell>
          <cell r="E957" t="str">
            <v>M.O.</v>
          </cell>
          <cell r="F957" t="str">
            <v>m2</v>
          </cell>
          <cell r="G957">
            <v>1</v>
          </cell>
          <cell r="H957">
            <v>26.5</v>
          </cell>
          <cell r="I957">
            <v>26.5</v>
          </cell>
        </row>
        <row r="958">
          <cell r="C958">
            <v>1</v>
          </cell>
          <cell r="D958" t="str">
            <v>Rejunte</v>
          </cell>
          <cell r="F958" t="str">
            <v>m2</v>
          </cell>
          <cell r="G958">
            <v>1</v>
          </cell>
          <cell r="H958">
            <v>3.42</v>
          </cell>
          <cell r="I958">
            <v>3.42</v>
          </cell>
        </row>
        <row r="959">
          <cell r="C959" t="str">
            <v>25.07.01.02</v>
          </cell>
          <cell r="D959" t="str">
            <v>Piso tecnogran linha lavaggio cor bege 07-7475 (40x40cm)</v>
          </cell>
          <cell r="E959" t="str">
            <v xml:space="preserve">SER.CG </v>
          </cell>
          <cell r="F959" t="str">
            <v xml:space="preserve">m2 </v>
          </cell>
          <cell r="G959">
            <v>897</v>
          </cell>
          <cell r="H959">
            <v>77.490000000000009</v>
          </cell>
          <cell r="I959">
            <v>69508.53</v>
          </cell>
        </row>
        <row r="960">
          <cell r="C960" t="str">
            <v>198</v>
          </cell>
          <cell r="D960" t="str">
            <v>Cimento Portland Composto CPII-E32 (saco 50kg)</v>
          </cell>
          <cell r="E960" t="str">
            <v>MAT.</v>
          </cell>
          <cell r="F960" t="str">
            <v>sc</v>
          </cell>
          <cell r="G960">
            <v>5.6000000000000001E-2</v>
          </cell>
          <cell r="H960">
            <v>13.4</v>
          </cell>
          <cell r="I960">
            <v>0.75</v>
          </cell>
        </row>
        <row r="961">
          <cell r="C961" t="str">
            <v>4556</v>
          </cell>
          <cell r="D961" t="str">
            <v>Cal hidratada (saco 20kg)</v>
          </cell>
          <cell r="E961" t="str">
            <v>MAT.</v>
          </cell>
          <cell r="F961" t="str">
            <v>sc</v>
          </cell>
          <cell r="G961">
            <v>0.13650000000000001</v>
          </cell>
          <cell r="H961">
            <v>6.68</v>
          </cell>
          <cell r="I961">
            <v>0.91</v>
          </cell>
        </row>
        <row r="962">
          <cell r="C962" t="str">
            <v>63</v>
          </cell>
          <cell r="D962" t="str">
            <v>Areia</v>
          </cell>
          <cell r="E962" t="str">
            <v>MAT.</v>
          </cell>
          <cell r="F962" t="str">
            <v>m3</v>
          </cell>
          <cell r="G962">
            <v>1.8200000000000001E-2</v>
          </cell>
          <cell r="H962">
            <v>50</v>
          </cell>
          <cell r="I962">
            <v>0.91</v>
          </cell>
        </row>
        <row r="963">
          <cell r="C963">
            <v>1</v>
          </cell>
          <cell r="D963" t="str">
            <v>Rejunte</v>
          </cell>
          <cell r="F963" t="str">
            <v>m2</v>
          </cell>
          <cell r="G963">
            <v>1</v>
          </cell>
          <cell r="H963">
            <v>3.42</v>
          </cell>
          <cell r="I963">
            <v>3.42</v>
          </cell>
        </row>
        <row r="964">
          <cell r="C964" t="str">
            <v>99.2522</v>
          </cell>
          <cell r="D964" t="str">
            <v>MDO para execução de piso de alta resistência</v>
          </cell>
          <cell r="E964" t="str">
            <v>M.O.</v>
          </cell>
          <cell r="F964" t="str">
            <v>m2</v>
          </cell>
          <cell r="G964">
            <v>1</v>
          </cell>
          <cell r="H964">
            <v>26.5</v>
          </cell>
          <cell r="I964">
            <v>26.5</v>
          </cell>
        </row>
        <row r="965">
          <cell r="C965" t="str">
            <v>99.2523</v>
          </cell>
          <cell r="D965" t="str">
            <v>Piso tecnogran linha lavaggio cor bege 07-7475 (40x40cm)</v>
          </cell>
          <cell r="E965" t="str">
            <v>MAT.</v>
          </cell>
          <cell r="F965" t="str">
            <v>m2</v>
          </cell>
          <cell r="G965">
            <v>1</v>
          </cell>
          <cell r="H965">
            <v>45</v>
          </cell>
          <cell r="I965">
            <v>45</v>
          </cell>
        </row>
        <row r="966">
          <cell r="C966" t="str">
            <v>25.07.01.03</v>
          </cell>
          <cell r="D966" t="str">
            <v>Piso tecnogran linha lavaggio cor branco 07-6313 (40x40cm) - faixa de demarcação</v>
          </cell>
          <cell r="E966" t="str">
            <v xml:space="preserve">SER.CG </v>
          </cell>
          <cell r="F966" t="str">
            <v xml:space="preserve">m </v>
          </cell>
          <cell r="G966">
            <v>394</v>
          </cell>
          <cell r="H966">
            <v>77.490000000000009</v>
          </cell>
          <cell r="I966">
            <v>30531.06</v>
          </cell>
        </row>
        <row r="967">
          <cell r="C967" t="str">
            <v>198</v>
          </cell>
          <cell r="D967" t="str">
            <v>Cimento Portland Composto CPII-E32 (saco 50kg)</v>
          </cell>
          <cell r="E967" t="str">
            <v>MAT.</v>
          </cell>
          <cell r="F967" t="str">
            <v>sc</v>
          </cell>
          <cell r="G967">
            <v>5.6000000000000001E-2</v>
          </cell>
          <cell r="H967">
            <v>13.4</v>
          </cell>
          <cell r="I967">
            <v>0.75</v>
          </cell>
        </row>
        <row r="968">
          <cell r="C968" t="str">
            <v>4556</v>
          </cell>
          <cell r="D968" t="str">
            <v>Cal hidratada (saco 20kg)</v>
          </cell>
          <cell r="E968" t="str">
            <v>MAT.</v>
          </cell>
          <cell r="F968" t="str">
            <v>sc</v>
          </cell>
          <cell r="G968">
            <v>0.13650000000000001</v>
          </cell>
          <cell r="H968">
            <v>6.68</v>
          </cell>
          <cell r="I968">
            <v>0.91</v>
          </cell>
        </row>
        <row r="969">
          <cell r="C969" t="str">
            <v>63</v>
          </cell>
          <cell r="D969" t="str">
            <v>Areia</v>
          </cell>
          <cell r="E969" t="str">
            <v>MAT.</v>
          </cell>
          <cell r="F969" t="str">
            <v>m3</v>
          </cell>
          <cell r="G969">
            <v>1.8200000000000001E-2</v>
          </cell>
          <cell r="H969">
            <v>50</v>
          </cell>
          <cell r="I969">
            <v>0.91</v>
          </cell>
        </row>
        <row r="970">
          <cell r="C970">
            <v>1</v>
          </cell>
          <cell r="D970" t="str">
            <v>Rejunte</v>
          </cell>
          <cell r="F970" t="str">
            <v>m2</v>
          </cell>
          <cell r="G970">
            <v>1</v>
          </cell>
          <cell r="H970">
            <v>3.42</v>
          </cell>
          <cell r="I970">
            <v>3.42</v>
          </cell>
        </row>
        <row r="971">
          <cell r="C971" t="str">
            <v>99.2524</v>
          </cell>
          <cell r="D971" t="str">
            <v>MDO para execução de piso de alta resistência</v>
          </cell>
          <cell r="E971" t="str">
            <v>M.O.</v>
          </cell>
          <cell r="F971" t="str">
            <v>m</v>
          </cell>
          <cell r="G971">
            <v>1</v>
          </cell>
          <cell r="H971">
            <v>26.5</v>
          </cell>
          <cell r="I971">
            <v>26.5</v>
          </cell>
        </row>
        <row r="972">
          <cell r="C972" t="str">
            <v>99.2525</v>
          </cell>
          <cell r="D972" t="str">
            <v>Piso tecnogran linha lavaggio cor branco 07-6313 (40x40cm) - faixa de demarcação</v>
          </cell>
          <cell r="E972" t="str">
            <v>MAT.</v>
          </cell>
          <cell r="F972" t="str">
            <v>m</v>
          </cell>
          <cell r="G972">
            <v>1</v>
          </cell>
          <cell r="H972">
            <v>45</v>
          </cell>
          <cell r="I972">
            <v>45</v>
          </cell>
        </row>
        <row r="973">
          <cell r="C973" t="str">
            <v>25.07.01.04</v>
          </cell>
          <cell r="D973" t="str">
            <v>Rodapé em tecnogran linha lavaggio cor branco 07-6313 (40x40cm)</v>
          </cell>
          <cell r="E973" t="str">
            <v xml:space="preserve">SER.CG </v>
          </cell>
          <cell r="F973" t="str">
            <v xml:space="preserve">m </v>
          </cell>
          <cell r="G973">
            <v>184</v>
          </cell>
          <cell r="H973">
            <v>34</v>
          </cell>
          <cell r="I973">
            <v>6256</v>
          </cell>
        </row>
        <row r="974">
          <cell r="C974" t="str">
            <v>99.2524</v>
          </cell>
          <cell r="D974" t="str">
            <v>MDO para execução de piso de alta resistência</v>
          </cell>
          <cell r="E974" t="str">
            <v>M.O.</v>
          </cell>
          <cell r="F974" t="str">
            <v>m</v>
          </cell>
          <cell r="G974">
            <v>1</v>
          </cell>
          <cell r="H974">
            <v>15</v>
          </cell>
          <cell r="I974">
            <v>15</v>
          </cell>
        </row>
        <row r="975">
          <cell r="C975" t="str">
            <v>99.2526</v>
          </cell>
          <cell r="D975" t="str">
            <v>Rodapé em tecnogran linha lavaggio cor branco 07-6313 (40x40cm)</v>
          </cell>
          <cell r="E975" t="str">
            <v>MAT.</v>
          </cell>
          <cell r="F975" t="str">
            <v>m</v>
          </cell>
          <cell r="G975">
            <v>1</v>
          </cell>
          <cell r="H975">
            <v>19</v>
          </cell>
          <cell r="I975">
            <v>19</v>
          </cell>
        </row>
        <row r="976">
          <cell r="C976" t="str">
            <v>25.07.01.05</v>
          </cell>
          <cell r="D976" t="str">
            <v>Rodapé em tecnogran linha lavaggio cor bege 07-7475 (40x40cm)</v>
          </cell>
          <cell r="E976" t="str">
            <v xml:space="preserve">SER.CG </v>
          </cell>
          <cell r="F976" t="str">
            <v xml:space="preserve">m </v>
          </cell>
          <cell r="G976">
            <v>147</v>
          </cell>
          <cell r="H976">
            <v>34</v>
          </cell>
          <cell r="I976">
            <v>4998</v>
          </cell>
        </row>
        <row r="977">
          <cell r="C977" t="str">
            <v>99.2524</v>
          </cell>
          <cell r="D977" t="str">
            <v>MDO para execução de piso de alta resistência</v>
          </cell>
          <cell r="E977" t="str">
            <v>M.O.</v>
          </cell>
          <cell r="F977" t="str">
            <v>m</v>
          </cell>
          <cell r="G977">
            <v>1</v>
          </cell>
          <cell r="H977">
            <v>15</v>
          </cell>
          <cell r="I977">
            <v>15</v>
          </cell>
        </row>
        <row r="978">
          <cell r="C978" t="str">
            <v>99.2527</v>
          </cell>
          <cell r="D978" t="str">
            <v>Rodapé em tecnogran linha lavaggio cor bege 07-7475 (40x40cm)</v>
          </cell>
          <cell r="E978" t="str">
            <v>MAT.</v>
          </cell>
          <cell r="F978" t="str">
            <v>m</v>
          </cell>
          <cell r="G978">
            <v>1</v>
          </cell>
          <cell r="H978">
            <v>19</v>
          </cell>
          <cell r="I978">
            <v>19</v>
          </cell>
        </row>
        <row r="979">
          <cell r="C979" t="str">
            <v>25.07.03.01</v>
          </cell>
          <cell r="D979" t="str">
            <v>Piso vinílico Ivory 609 - Prisma PU - PAVIFLEX - FADEMAC ou similar</v>
          </cell>
          <cell r="E979" t="str">
            <v xml:space="preserve">SER.CG </v>
          </cell>
          <cell r="F979" t="str">
            <v xml:space="preserve">m2 </v>
          </cell>
          <cell r="G979">
            <v>188</v>
          </cell>
          <cell r="H979">
            <v>58.23</v>
          </cell>
          <cell r="I979">
            <v>10947.24</v>
          </cell>
        </row>
        <row r="980">
          <cell r="C980" t="str">
            <v>99.1918</v>
          </cell>
          <cell r="D980" t="str">
            <v>MDO para execução de piso vinílico</v>
          </cell>
          <cell r="E980" t="str">
            <v>M.O.</v>
          </cell>
          <cell r="F980" t="str">
            <v>m2</v>
          </cell>
          <cell r="G980">
            <v>1</v>
          </cell>
          <cell r="H980">
            <v>14</v>
          </cell>
          <cell r="I980">
            <v>14</v>
          </cell>
        </row>
        <row r="981">
          <cell r="C981" t="str">
            <v>99.2529</v>
          </cell>
          <cell r="D981" t="str">
            <v>Piso vinílico Ivory 609 - Prisma PU - PAVIFLEX - FADEMAC ou similar</v>
          </cell>
          <cell r="E981" t="str">
            <v>MAT.</v>
          </cell>
          <cell r="F981" t="str">
            <v>m2</v>
          </cell>
          <cell r="G981">
            <v>1</v>
          </cell>
          <cell r="H981">
            <v>44.23</v>
          </cell>
          <cell r="I981">
            <v>44.23</v>
          </cell>
        </row>
        <row r="982">
          <cell r="C982" t="str">
            <v>25.07.03.02</v>
          </cell>
          <cell r="D982" t="str">
            <v>Rodapé vinílico Ivory 609 - Prisma PU - PAVIFLEX - FADEMAC ou similar</v>
          </cell>
          <cell r="E982" t="str">
            <v xml:space="preserve">SER.CG </v>
          </cell>
          <cell r="F982" t="str">
            <v xml:space="preserve">m </v>
          </cell>
          <cell r="G982">
            <v>77</v>
          </cell>
          <cell r="H982">
            <v>17.149999999999999</v>
          </cell>
          <cell r="I982">
            <v>1320.55</v>
          </cell>
        </row>
        <row r="983">
          <cell r="C983" t="str">
            <v>99.2530</v>
          </cell>
          <cell r="D983" t="str">
            <v>Rodapé vinílico Ivory 609 - Prisma PU - PAVIFLEX - FADEMAC ou similar</v>
          </cell>
          <cell r="E983" t="str">
            <v>MAT.</v>
          </cell>
          <cell r="F983" t="str">
            <v>m</v>
          </cell>
          <cell r="G983">
            <v>1</v>
          </cell>
          <cell r="H983">
            <v>14.35</v>
          </cell>
          <cell r="I983">
            <v>14.35</v>
          </cell>
        </row>
        <row r="984">
          <cell r="C984" t="str">
            <v>99.2531</v>
          </cell>
          <cell r="D984" t="str">
            <v>MDO para execução de rodapé vinílico</v>
          </cell>
          <cell r="E984" t="str">
            <v>M.O.</v>
          </cell>
          <cell r="F984" t="str">
            <v>m</v>
          </cell>
          <cell r="G984">
            <v>1</v>
          </cell>
          <cell r="H984">
            <v>2.8</v>
          </cell>
          <cell r="I984">
            <v>2.8</v>
          </cell>
        </row>
        <row r="985">
          <cell r="C985" t="str">
            <v>25.08.02.01</v>
          </cell>
          <cell r="D985" t="str">
            <v>Execução de guias e sarjetas pré-moldadas</v>
          </cell>
          <cell r="E985" t="str">
            <v xml:space="preserve">SER.CG </v>
          </cell>
          <cell r="F985" t="str">
            <v xml:space="preserve">m </v>
          </cell>
          <cell r="G985">
            <v>84</v>
          </cell>
          <cell r="H985">
            <v>53.120000000000005</v>
          </cell>
          <cell r="I985">
            <v>4462.08</v>
          </cell>
        </row>
        <row r="986">
          <cell r="C986" t="str">
            <v>1699</v>
          </cell>
          <cell r="D986" t="str">
            <v>Concreto fck=20 MPa slump 5±1</v>
          </cell>
          <cell r="E986" t="str">
            <v>MAT.</v>
          </cell>
          <cell r="F986" t="str">
            <v>m3</v>
          </cell>
          <cell r="G986">
            <v>0.11</v>
          </cell>
          <cell r="H986">
            <v>160.5</v>
          </cell>
          <cell r="I986">
            <v>17.66</v>
          </cell>
        </row>
        <row r="987">
          <cell r="C987" t="str">
            <v>65</v>
          </cell>
          <cell r="D987" t="str">
            <v>Pedra n.º 1</v>
          </cell>
          <cell r="E987" t="str">
            <v>MAT.</v>
          </cell>
          <cell r="F987" t="str">
            <v>m3</v>
          </cell>
          <cell r="G987">
            <v>7.0000000000000007E-2</v>
          </cell>
          <cell r="H987">
            <v>42</v>
          </cell>
          <cell r="I987">
            <v>2.94</v>
          </cell>
        </row>
        <row r="988">
          <cell r="C988" t="str">
            <v>99.1717</v>
          </cell>
          <cell r="D988" t="str">
            <v>MDO para execução de guia e sargeta estrusada</v>
          </cell>
          <cell r="E988" t="str">
            <v>M.O.</v>
          </cell>
          <cell r="F988" t="str">
            <v>m</v>
          </cell>
          <cell r="G988">
            <v>1</v>
          </cell>
          <cell r="H988">
            <v>32.520000000000003</v>
          </cell>
          <cell r="I988">
            <v>32.520000000000003</v>
          </cell>
        </row>
        <row r="989">
          <cell r="C989" t="str">
            <v>26.01.01.01</v>
          </cell>
          <cell r="D989" t="str">
            <v>Pintura Látex PVA em paredes Internas</v>
          </cell>
          <cell r="E989" t="str">
            <v xml:space="preserve">SER.CG </v>
          </cell>
          <cell r="F989" t="str">
            <v xml:space="preserve">m2 </v>
          </cell>
          <cell r="G989">
            <v>10341</v>
          </cell>
          <cell r="H989">
            <v>5.2</v>
          </cell>
          <cell r="I989">
            <v>53773.2</v>
          </cell>
        </row>
        <row r="990">
          <cell r="C990" t="str">
            <v>99.1293</v>
          </cell>
          <cell r="D990" t="str">
            <v>Pintura látex PVA sobre gesso em paredes internas</v>
          </cell>
          <cell r="E990" t="str">
            <v>EMPRE</v>
          </cell>
          <cell r="F990" t="str">
            <v>m2</v>
          </cell>
          <cell r="G990">
            <v>1</v>
          </cell>
          <cell r="H990">
            <v>5.2</v>
          </cell>
          <cell r="I990">
            <v>5.2</v>
          </cell>
        </row>
        <row r="991">
          <cell r="C991" t="str">
            <v>26.01.01.02</v>
          </cell>
          <cell r="D991" t="str">
            <v>Caiação em paredes</v>
          </cell>
          <cell r="E991" t="str">
            <v xml:space="preserve">SER.CG </v>
          </cell>
          <cell r="F991" t="str">
            <v xml:space="preserve">m2 </v>
          </cell>
          <cell r="G991">
            <v>3755</v>
          </cell>
          <cell r="H991">
            <v>4.0999999999999996</v>
          </cell>
          <cell r="I991">
            <v>15395.5</v>
          </cell>
        </row>
        <row r="992">
          <cell r="C992" t="str">
            <v>2562</v>
          </cell>
          <cell r="D992" t="str">
            <v>Caiação em paredes</v>
          </cell>
          <cell r="E992" t="str">
            <v>EMPRE</v>
          </cell>
          <cell r="F992" t="str">
            <v>m2</v>
          </cell>
          <cell r="G992">
            <v>1</v>
          </cell>
          <cell r="H992">
            <v>4.0999999999999996</v>
          </cell>
          <cell r="I992">
            <v>4.0999999999999996</v>
          </cell>
        </row>
        <row r="993">
          <cell r="C993" t="str">
            <v>26.01.01.03</v>
          </cell>
          <cell r="D993" t="str">
            <v>Pintura látex acrílico texturizado claro em paredes internas</v>
          </cell>
          <cell r="E993" t="str">
            <v xml:space="preserve">SER.CG </v>
          </cell>
          <cell r="F993" t="str">
            <v xml:space="preserve">m2 </v>
          </cell>
          <cell r="G993">
            <v>2265</v>
          </cell>
          <cell r="H993">
            <v>10.5</v>
          </cell>
          <cell r="I993">
            <v>23782.5</v>
          </cell>
        </row>
        <row r="994">
          <cell r="C994" t="str">
            <v>99.2532</v>
          </cell>
          <cell r="D994" t="str">
            <v>Pintura látex acrílico texturizado em dry wall</v>
          </cell>
          <cell r="E994" t="str">
            <v>EMPRE</v>
          </cell>
          <cell r="F994" t="str">
            <v>m2</v>
          </cell>
          <cell r="G994">
            <v>1</v>
          </cell>
          <cell r="H994">
            <v>10.5</v>
          </cell>
          <cell r="I994">
            <v>10.5</v>
          </cell>
        </row>
        <row r="995">
          <cell r="C995" t="str">
            <v>26.01.01.04</v>
          </cell>
          <cell r="D995" t="str">
            <v>Pintura látex PVA sobre concreto</v>
          </cell>
          <cell r="E995" t="str">
            <v xml:space="preserve">SER.CG </v>
          </cell>
          <cell r="F995" t="str">
            <v xml:space="preserve">m2 </v>
          </cell>
          <cell r="G995">
            <v>1128</v>
          </cell>
          <cell r="H995">
            <v>5.2</v>
          </cell>
          <cell r="I995">
            <v>5865.6</v>
          </cell>
        </row>
        <row r="996">
          <cell r="C996" t="str">
            <v>4966</v>
          </cell>
          <cell r="D996" t="str">
            <v>Pintura em látex PVA sobre concreto</v>
          </cell>
          <cell r="E996" t="str">
            <v>MAT.</v>
          </cell>
          <cell r="F996" t="str">
            <v>m2</v>
          </cell>
          <cell r="G996">
            <v>1</v>
          </cell>
          <cell r="H996">
            <v>5.2</v>
          </cell>
          <cell r="I996">
            <v>5.2</v>
          </cell>
        </row>
        <row r="997">
          <cell r="C997" t="str">
            <v>26.01.01.05</v>
          </cell>
          <cell r="D997" t="str">
            <v>Pintura de Faixas de Sinalização</v>
          </cell>
          <cell r="E997" t="str">
            <v xml:space="preserve">SER.CG </v>
          </cell>
          <cell r="F997" t="str">
            <v xml:space="preserve">m2 </v>
          </cell>
          <cell r="G997">
            <v>2751</v>
          </cell>
          <cell r="H997">
            <v>10.5</v>
          </cell>
          <cell r="I997">
            <v>28885.5</v>
          </cell>
        </row>
        <row r="998">
          <cell r="C998" t="str">
            <v>2563</v>
          </cell>
          <cell r="D998" t="str">
            <v>Pintura de faixas (amarela e preta) nas garagens</v>
          </cell>
          <cell r="E998" t="str">
            <v>EMPRE</v>
          </cell>
          <cell r="F998" t="str">
            <v>m2</v>
          </cell>
          <cell r="G998">
            <v>1</v>
          </cell>
          <cell r="H998">
            <v>10.5</v>
          </cell>
          <cell r="I998">
            <v>10.5</v>
          </cell>
        </row>
        <row r="999">
          <cell r="C999" t="str">
            <v>26.01.01.06</v>
          </cell>
          <cell r="D999" t="str">
            <v>Pintura Látex PVA em paredes Internas sobre massa única</v>
          </cell>
          <cell r="E999" t="str">
            <v xml:space="preserve">SER.CG </v>
          </cell>
          <cell r="F999" t="str">
            <v xml:space="preserve">m2 </v>
          </cell>
          <cell r="G999">
            <v>6035</v>
          </cell>
          <cell r="H999">
            <v>5.2</v>
          </cell>
          <cell r="I999">
            <v>31382</v>
          </cell>
        </row>
        <row r="1000">
          <cell r="C1000" t="str">
            <v>3723</v>
          </cell>
          <cell r="D1000" t="str">
            <v>Pintura látex PVA sobre emboço em paredes internas</v>
          </cell>
          <cell r="E1000" t="str">
            <v>EMPRE</v>
          </cell>
          <cell r="F1000" t="str">
            <v>m2</v>
          </cell>
          <cell r="G1000">
            <v>1</v>
          </cell>
          <cell r="H1000">
            <v>5.2</v>
          </cell>
          <cell r="I1000">
            <v>5.2</v>
          </cell>
        </row>
        <row r="1001">
          <cell r="C1001" t="str">
            <v>26.01.01.07</v>
          </cell>
          <cell r="D1001" t="str">
            <v>Pintura Látex Acrílico sobre massa única em paredes Internas</v>
          </cell>
          <cell r="E1001" t="str">
            <v xml:space="preserve">SER.CG </v>
          </cell>
          <cell r="F1001" t="str">
            <v xml:space="preserve">m2 </v>
          </cell>
          <cell r="G1001">
            <v>165</v>
          </cell>
          <cell r="H1001">
            <v>5.6</v>
          </cell>
          <cell r="I1001">
            <v>924</v>
          </cell>
        </row>
        <row r="1002">
          <cell r="C1002" t="str">
            <v>99.2384</v>
          </cell>
          <cell r="D1002" t="str">
            <v>Pintura latex acrilico sobre massa única em paredes internas</v>
          </cell>
          <cell r="E1002" t="str">
            <v>EMPRE</v>
          </cell>
          <cell r="F1002" t="str">
            <v>m2</v>
          </cell>
          <cell r="G1002">
            <v>1</v>
          </cell>
          <cell r="H1002">
            <v>5.6</v>
          </cell>
          <cell r="I1002">
            <v>5.6</v>
          </cell>
        </row>
        <row r="1003">
          <cell r="C1003" t="str">
            <v>26.01.01.09</v>
          </cell>
          <cell r="D1003" t="str">
            <v>Pintura Látex PVA sobre alvenaria - shafts</v>
          </cell>
          <cell r="E1003" t="str">
            <v xml:space="preserve">SER.CG </v>
          </cell>
          <cell r="F1003" t="str">
            <v xml:space="preserve">m2 </v>
          </cell>
          <cell r="G1003">
            <v>6394</v>
          </cell>
          <cell r="H1003">
            <v>5.2</v>
          </cell>
          <cell r="I1003">
            <v>33248.800000000003</v>
          </cell>
        </row>
        <row r="1004">
          <cell r="C1004" t="str">
            <v>99.1293</v>
          </cell>
          <cell r="D1004" t="str">
            <v>Pintura látex PVA sobre gesso em paredes internas</v>
          </cell>
          <cell r="E1004" t="str">
            <v>EMPRE</v>
          </cell>
          <cell r="F1004" t="str">
            <v>m2</v>
          </cell>
          <cell r="G1004">
            <v>1</v>
          </cell>
          <cell r="H1004">
            <v>5.2</v>
          </cell>
          <cell r="I1004">
            <v>5.2</v>
          </cell>
        </row>
        <row r="1005">
          <cell r="C1005" t="str">
            <v>26.01.01.11</v>
          </cell>
          <cell r="D1005" t="str">
            <v>Pintura látex acrílico texturizado em dry wall</v>
          </cell>
          <cell r="E1005" t="str">
            <v xml:space="preserve">SER.CG </v>
          </cell>
          <cell r="F1005" t="str">
            <v xml:space="preserve">m2 </v>
          </cell>
          <cell r="G1005">
            <v>4409</v>
          </cell>
          <cell r="H1005">
            <v>10.5</v>
          </cell>
          <cell r="I1005">
            <v>46294.5</v>
          </cell>
        </row>
        <row r="1006">
          <cell r="C1006" t="str">
            <v>99.2576</v>
          </cell>
          <cell r="D1006" t="str">
            <v>Pintura texturizada sobre dry wall - rolada</v>
          </cell>
          <cell r="E1006" t="str">
            <v>EMPRE</v>
          </cell>
          <cell r="F1006" t="str">
            <v>m2</v>
          </cell>
          <cell r="G1006">
            <v>1</v>
          </cell>
          <cell r="H1006">
            <v>10.5</v>
          </cell>
          <cell r="I1006">
            <v>10.5</v>
          </cell>
        </row>
        <row r="1007">
          <cell r="C1007" t="str">
            <v>26.01.01.12</v>
          </cell>
          <cell r="D1007" t="str">
            <v>Pintura látex PVA sobre dry wall</v>
          </cell>
          <cell r="E1007" t="str">
            <v xml:space="preserve">SER.CG </v>
          </cell>
          <cell r="F1007" t="str">
            <v xml:space="preserve">m2 </v>
          </cell>
          <cell r="G1007">
            <v>15640</v>
          </cell>
          <cell r="H1007">
            <v>7.8</v>
          </cell>
          <cell r="I1007">
            <v>121992</v>
          </cell>
        </row>
        <row r="1008">
          <cell r="C1008" t="str">
            <v>99.2575</v>
          </cell>
          <cell r="D1008" t="str">
            <v>Pintura látex PVA sobre dry wall</v>
          </cell>
          <cell r="E1008" t="str">
            <v>EMPRE</v>
          </cell>
          <cell r="F1008" t="str">
            <v>m2</v>
          </cell>
          <cell r="G1008">
            <v>1</v>
          </cell>
          <cell r="H1008">
            <v>7.8</v>
          </cell>
          <cell r="I1008">
            <v>7.8</v>
          </cell>
        </row>
        <row r="1009">
          <cell r="C1009" t="str">
            <v>26.01.02.01</v>
          </cell>
          <cell r="D1009" t="str">
            <v>Pintura Látex PVA Sobre Forro de Gesso</v>
          </cell>
          <cell r="E1009" t="str">
            <v xml:space="preserve">SER.CG </v>
          </cell>
          <cell r="F1009" t="str">
            <v xml:space="preserve">m2 </v>
          </cell>
          <cell r="G1009">
            <v>4492</v>
          </cell>
          <cell r="H1009">
            <v>7.8</v>
          </cell>
          <cell r="I1009">
            <v>35037.599999999999</v>
          </cell>
        </row>
        <row r="1010">
          <cell r="C1010" t="str">
            <v>4656</v>
          </cell>
          <cell r="D1010" t="str">
            <v>Pintura látex PVA sobre forro de gesso</v>
          </cell>
          <cell r="E1010" t="str">
            <v>EMPRE</v>
          </cell>
          <cell r="F1010" t="str">
            <v>m2</v>
          </cell>
          <cell r="G1010">
            <v>1</v>
          </cell>
          <cell r="H1010">
            <v>7.8</v>
          </cell>
          <cell r="I1010">
            <v>7.8</v>
          </cell>
        </row>
        <row r="1011">
          <cell r="C1011" t="str">
            <v>26.01.02.02</v>
          </cell>
          <cell r="D1011" t="str">
            <v>Pintura Látex PVA sobre gesso liso em teto</v>
          </cell>
          <cell r="E1011" t="str">
            <v xml:space="preserve">SER.CG </v>
          </cell>
          <cell r="F1011" t="str">
            <v xml:space="preserve">m2 </v>
          </cell>
          <cell r="G1011">
            <v>1486</v>
          </cell>
          <cell r="H1011">
            <v>5.2</v>
          </cell>
          <cell r="I1011">
            <v>7727.2</v>
          </cell>
        </row>
        <row r="1012">
          <cell r="C1012" t="str">
            <v>99.1294</v>
          </cell>
          <cell r="D1012" t="str">
            <v>Pintura látex PVA sobre laje</v>
          </cell>
          <cell r="E1012" t="str">
            <v>EMPRE</v>
          </cell>
          <cell r="F1012" t="str">
            <v>m2</v>
          </cell>
          <cell r="G1012">
            <v>1</v>
          </cell>
          <cell r="H1012">
            <v>5.2</v>
          </cell>
          <cell r="I1012">
            <v>5.2</v>
          </cell>
        </row>
        <row r="1013">
          <cell r="C1013" t="str">
            <v>26.01.02.03</v>
          </cell>
          <cell r="D1013" t="str">
            <v>Pintura Látex PVA sobre laje</v>
          </cell>
          <cell r="E1013" t="str">
            <v xml:space="preserve">SER.CG </v>
          </cell>
          <cell r="F1013" t="str">
            <v xml:space="preserve">m2 </v>
          </cell>
          <cell r="G1013">
            <v>833</v>
          </cell>
          <cell r="H1013">
            <v>5.2</v>
          </cell>
          <cell r="I1013">
            <v>4331.6000000000004</v>
          </cell>
        </row>
        <row r="1014">
          <cell r="C1014" t="str">
            <v>99.1294</v>
          </cell>
          <cell r="D1014" t="str">
            <v>Pintura látex PVA sobre laje</v>
          </cell>
          <cell r="E1014" t="str">
            <v>EMPRE</v>
          </cell>
          <cell r="F1014" t="str">
            <v>m2</v>
          </cell>
          <cell r="G1014">
            <v>1</v>
          </cell>
          <cell r="H1014">
            <v>5.2</v>
          </cell>
          <cell r="I1014">
            <v>5.2</v>
          </cell>
        </row>
        <row r="1015">
          <cell r="C1015" t="str">
            <v>26.01.02.04</v>
          </cell>
          <cell r="D1015" t="str">
            <v>Pintura Latex PVA sobre massa única em teto</v>
          </cell>
          <cell r="E1015" t="str">
            <v xml:space="preserve">SER.CG </v>
          </cell>
          <cell r="F1015" t="str">
            <v xml:space="preserve">m2 </v>
          </cell>
          <cell r="G1015">
            <v>44</v>
          </cell>
          <cell r="H1015">
            <v>5.2</v>
          </cell>
          <cell r="I1015">
            <v>228.8</v>
          </cell>
        </row>
        <row r="1016">
          <cell r="C1016" t="str">
            <v>4655</v>
          </cell>
          <cell r="D1016" t="str">
            <v>Pintura látex PVA sobre massa em teto</v>
          </cell>
          <cell r="E1016" t="str">
            <v>EMPRE</v>
          </cell>
          <cell r="F1016" t="str">
            <v>m2</v>
          </cell>
          <cell r="G1016">
            <v>1</v>
          </cell>
          <cell r="H1016">
            <v>5.2</v>
          </cell>
          <cell r="I1016">
            <v>5.2</v>
          </cell>
        </row>
        <row r="1017">
          <cell r="C1017" t="str">
            <v>26.01.03.01</v>
          </cell>
          <cell r="D1017" t="str">
            <v>Pintura em piso cimentado</v>
          </cell>
          <cell r="E1017" t="str">
            <v xml:space="preserve">SER.CG </v>
          </cell>
          <cell r="F1017" t="str">
            <v xml:space="preserve">m2 </v>
          </cell>
          <cell r="G1017">
            <v>1829</v>
          </cell>
          <cell r="H1017">
            <v>10.53</v>
          </cell>
          <cell r="I1017">
            <v>19259.37</v>
          </cell>
        </row>
        <row r="1018">
          <cell r="C1018" t="str">
            <v>4657</v>
          </cell>
          <cell r="D1018" t="str">
            <v>Pintura a base de resina acrílica em piso</v>
          </cell>
          <cell r="E1018" t="str">
            <v>EMPRE</v>
          </cell>
          <cell r="F1018" t="str">
            <v>m2</v>
          </cell>
          <cell r="G1018">
            <v>1</v>
          </cell>
          <cell r="H1018">
            <v>10.53</v>
          </cell>
          <cell r="I1018">
            <v>10.53</v>
          </cell>
        </row>
        <row r="1019">
          <cell r="C1019" t="str">
            <v>26.01.03.02</v>
          </cell>
          <cell r="D1019" t="str">
            <v>Demarcação de Vagas com Borracha Clorada</v>
          </cell>
          <cell r="E1019" t="str">
            <v xml:space="preserve">SER.CG </v>
          </cell>
          <cell r="F1019" t="str">
            <v xml:space="preserve">m </v>
          </cell>
          <cell r="G1019">
            <v>5869</v>
          </cell>
          <cell r="H1019">
            <v>7.5</v>
          </cell>
          <cell r="I1019">
            <v>44017.5</v>
          </cell>
        </row>
        <row r="1020">
          <cell r="C1020" t="str">
            <v>2565</v>
          </cell>
          <cell r="D1020" t="str">
            <v>Pintura de demarcação de vagas em borracha clorada</v>
          </cell>
          <cell r="E1020" t="str">
            <v>EMPRE</v>
          </cell>
          <cell r="F1020" t="str">
            <v>m</v>
          </cell>
          <cell r="G1020">
            <v>1</v>
          </cell>
          <cell r="H1020">
            <v>7.5</v>
          </cell>
          <cell r="I1020">
            <v>7.5</v>
          </cell>
        </row>
        <row r="1021">
          <cell r="C1021" t="str">
            <v>26.01.03.03</v>
          </cell>
          <cell r="D1021" t="str">
            <v>Demarcação de Vagas para Deficientes</v>
          </cell>
          <cell r="E1021" t="str">
            <v xml:space="preserve">SER.CG </v>
          </cell>
          <cell r="F1021" t="str">
            <v xml:space="preserve">un </v>
          </cell>
          <cell r="G1021">
            <v>11</v>
          </cell>
          <cell r="H1021">
            <v>70</v>
          </cell>
          <cell r="I1021">
            <v>770</v>
          </cell>
        </row>
        <row r="1022">
          <cell r="C1022" t="str">
            <v>4658</v>
          </cell>
          <cell r="D1022" t="str">
            <v>Demarcação de vaga para portadores de necessidades especiais</v>
          </cell>
          <cell r="E1022" t="str">
            <v>EMPRE</v>
          </cell>
          <cell r="F1022" t="str">
            <v>un</v>
          </cell>
          <cell r="G1022">
            <v>1</v>
          </cell>
          <cell r="H1022">
            <v>70</v>
          </cell>
          <cell r="I1022">
            <v>70</v>
          </cell>
        </row>
        <row r="1023">
          <cell r="C1023" t="str">
            <v>26.01.03.04</v>
          </cell>
          <cell r="D1023" t="str">
            <v>Demarcação da numeração das vagas de estacionamento</v>
          </cell>
          <cell r="E1023" t="str">
            <v xml:space="preserve">SER.CG </v>
          </cell>
          <cell r="F1023" t="str">
            <v xml:space="preserve">un </v>
          </cell>
          <cell r="G1023">
            <v>661</v>
          </cell>
          <cell r="H1023">
            <v>20.9</v>
          </cell>
          <cell r="I1023">
            <v>13814.9</v>
          </cell>
        </row>
        <row r="1024">
          <cell r="C1024" t="str">
            <v>4968</v>
          </cell>
          <cell r="D1024" t="str">
            <v>Demarcação em piso de numeração das vagas de estacionamento</v>
          </cell>
          <cell r="E1024" t="str">
            <v>MAT.</v>
          </cell>
          <cell r="F1024" t="str">
            <v>un</v>
          </cell>
          <cell r="G1024">
            <v>1</v>
          </cell>
          <cell r="H1024">
            <v>20.9</v>
          </cell>
          <cell r="I1024">
            <v>20.9</v>
          </cell>
        </row>
        <row r="1025">
          <cell r="C1025" t="str">
            <v>26.01.03.05</v>
          </cell>
          <cell r="D1025" t="str">
            <v>Demarcação de Hidrantes</v>
          </cell>
          <cell r="E1025" t="str">
            <v xml:space="preserve">SER.CG </v>
          </cell>
          <cell r="F1025" t="str">
            <v xml:space="preserve">un </v>
          </cell>
          <cell r="G1025">
            <v>5</v>
          </cell>
          <cell r="H1025">
            <v>70</v>
          </cell>
          <cell r="I1025">
            <v>350</v>
          </cell>
        </row>
        <row r="1026">
          <cell r="C1026" t="str">
            <v>4968</v>
          </cell>
          <cell r="D1026" t="str">
            <v>Demarcação de Hidrantes</v>
          </cell>
          <cell r="E1026" t="str">
            <v>MAT.</v>
          </cell>
          <cell r="F1026" t="str">
            <v>un</v>
          </cell>
          <cell r="G1026">
            <v>1</v>
          </cell>
          <cell r="H1026">
            <v>70</v>
          </cell>
          <cell r="I1026">
            <v>70</v>
          </cell>
        </row>
        <row r="1027">
          <cell r="C1027" t="str">
            <v>26.01.04.01</v>
          </cell>
          <cell r="D1027" t="str">
            <v>Pintura Esmalte Sobre Esquadrias de Madeira</v>
          </cell>
          <cell r="E1027" t="str">
            <v xml:space="preserve">SER.CG </v>
          </cell>
          <cell r="F1027" t="str">
            <v xml:space="preserve">m2 </v>
          </cell>
          <cell r="G1027">
            <v>3684</v>
          </cell>
          <cell r="H1027">
            <v>16</v>
          </cell>
          <cell r="I1027">
            <v>58944</v>
          </cell>
        </row>
        <row r="1028">
          <cell r="C1028" t="str">
            <v>2566</v>
          </cell>
          <cell r="D1028" t="str">
            <v>Pintura esmalte sobre esquadrias de madeira</v>
          </cell>
          <cell r="E1028" t="str">
            <v>EMPRE</v>
          </cell>
          <cell r="F1028" t="str">
            <v>m2</v>
          </cell>
          <cell r="G1028">
            <v>1</v>
          </cell>
          <cell r="H1028">
            <v>16</v>
          </cell>
          <cell r="I1028">
            <v>16</v>
          </cell>
        </row>
        <row r="1029">
          <cell r="C1029" t="str">
            <v>26.01.05.01</v>
          </cell>
          <cell r="D1029" t="str">
            <v>Pintura Esmalte Sobre Esquadrias Metálicas</v>
          </cell>
          <cell r="E1029" t="str">
            <v xml:space="preserve">SER.CG </v>
          </cell>
          <cell r="F1029" t="str">
            <v xml:space="preserve">m2 </v>
          </cell>
          <cell r="G1029">
            <v>567</v>
          </cell>
          <cell r="H1029">
            <v>11</v>
          </cell>
          <cell r="I1029">
            <v>6237</v>
          </cell>
        </row>
        <row r="1030">
          <cell r="C1030" t="str">
            <v>2567</v>
          </cell>
          <cell r="D1030" t="str">
            <v>Pintura esmalte sobre esquadrias metálicas</v>
          </cell>
          <cell r="E1030" t="str">
            <v>EMPRE</v>
          </cell>
          <cell r="F1030" t="str">
            <v>m2</v>
          </cell>
          <cell r="G1030">
            <v>1</v>
          </cell>
          <cell r="H1030">
            <v>11</v>
          </cell>
          <cell r="I1030">
            <v>11</v>
          </cell>
        </row>
        <row r="1031">
          <cell r="C1031" t="str">
            <v>26.01.05.02</v>
          </cell>
          <cell r="D1031" t="str">
            <v>Pintura Esmalte Sobre Corrimão</v>
          </cell>
          <cell r="E1031" t="str">
            <v xml:space="preserve">SER.CG </v>
          </cell>
          <cell r="F1031" t="str">
            <v xml:space="preserve">m </v>
          </cell>
          <cell r="G1031">
            <v>760</v>
          </cell>
          <cell r="H1031">
            <v>5.4</v>
          </cell>
          <cell r="I1031">
            <v>4104</v>
          </cell>
        </row>
        <row r="1032">
          <cell r="C1032" t="str">
            <v>2848</v>
          </cell>
          <cell r="D1032" t="str">
            <v>Pintura esmalte sobre corrimão metálico</v>
          </cell>
          <cell r="E1032" t="str">
            <v>EMPRE</v>
          </cell>
          <cell r="F1032" t="str">
            <v>m</v>
          </cell>
          <cell r="G1032">
            <v>1</v>
          </cell>
          <cell r="H1032">
            <v>5.4</v>
          </cell>
          <cell r="I1032">
            <v>5.4</v>
          </cell>
        </row>
        <row r="1033">
          <cell r="C1033" t="str">
            <v>26.01.05.03</v>
          </cell>
          <cell r="D1033" t="str">
            <v>Pintura Esmalte Sobre Guarda Corpo</v>
          </cell>
          <cell r="E1033" t="str">
            <v xml:space="preserve">SER.CG </v>
          </cell>
          <cell r="F1033" t="str">
            <v xml:space="preserve">m2 </v>
          </cell>
          <cell r="G1033">
            <v>2557</v>
          </cell>
          <cell r="H1033">
            <v>11</v>
          </cell>
          <cell r="I1033">
            <v>28127</v>
          </cell>
        </row>
        <row r="1034">
          <cell r="C1034" t="str">
            <v>2849</v>
          </cell>
          <cell r="D1034" t="str">
            <v>Pintura esmalte sobre guarda corpo metálico</v>
          </cell>
          <cell r="E1034" t="str">
            <v>EMPRE</v>
          </cell>
          <cell r="F1034" t="str">
            <v>m2</v>
          </cell>
          <cell r="G1034">
            <v>1</v>
          </cell>
          <cell r="H1034">
            <v>11</v>
          </cell>
          <cell r="I1034">
            <v>11</v>
          </cell>
        </row>
        <row r="1035">
          <cell r="C1035" t="str">
            <v>26.01.06.02</v>
          </cell>
          <cell r="D1035" t="str">
            <v>Pintura texturizada Ibratin - acabamento tipo massa raspada - cor: Buenos Aires</v>
          </cell>
          <cell r="E1035" t="str">
            <v xml:space="preserve">SER.CG </v>
          </cell>
          <cell r="F1035" t="str">
            <v xml:space="preserve">m2 </v>
          </cell>
          <cell r="G1035">
            <v>13457.3</v>
          </cell>
          <cell r="H1035">
            <v>18</v>
          </cell>
          <cell r="I1035">
            <v>242231.4</v>
          </cell>
        </row>
        <row r="1036">
          <cell r="C1036" t="str">
            <v>4971</v>
          </cell>
          <cell r="D1036" t="str">
            <v>Pintura texturizada Ibratin - acabamento tipo massa raspada - cor: Buenos Aires</v>
          </cell>
          <cell r="E1036" t="str">
            <v>MAT.</v>
          </cell>
          <cell r="F1036" t="str">
            <v>m2</v>
          </cell>
          <cell r="G1036">
            <v>1</v>
          </cell>
          <cell r="H1036">
            <v>18</v>
          </cell>
          <cell r="I1036">
            <v>18</v>
          </cell>
        </row>
        <row r="1037">
          <cell r="C1037" t="str">
            <v>26.01.06.03</v>
          </cell>
          <cell r="D1037" t="str">
            <v>Pintura texturizada Ibratin - acabamento tipo massa raspada - cor: Buenos Aires (faixa)</v>
          </cell>
          <cell r="E1037" t="str">
            <v xml:space="preserve">SER.CG </v>
          </cell>
          <cell r="F1037" t="str">
            <v>m</v>
          </cell>
          <cell r="G1037">
            <v>6870</v>
          </cell>
          <cell r="H1037">
            <v>9.5</v>
          </cell>
          <cell r="I1037">
            <v>65265</v>
          </cell>
        </row>
        <row r="1038">
          <cell r="C1038" t="str">
            <v>4971</v>
          </cell>
          <cell r="D1038" t="str">
            <v>Pintura texturizada Ibratin - acabamento tipo massa raspada - cor: Buenos Aires</v>
          </cell>
          <cell r="E1038" t="str">
            <v>MAT.</v>
          </cell>
          <cell r="F1038" t="str">
            <v>m</v>
          </cell>
          <cell r="G1038">
            <v>1</v>
          </cell>
          <cell r="H1038">
            <v>9.5</v>
          </cell>
          <cell r="I1038">
            <v>9.5</v>
          </cell>
        </row>
        <row r="1039">
          <cell r="C1039" t="str">
            <v>27.01.01.01</v>
          </cell>
          <cell r="D1039" t="str">
            <v>Instalações elétricas em geral</v>
          </cell>
          <cell r="E1039" t="str">
            <v xml:space="preserve">SER.CG </v>
          </cell>
          <cell r="F1039" t="str">
            <v xml:space="preserve">Vb </v>
          </cell>
          <cell r="G1039">
            <v>1</v>
          </cell>
          <cell r="H1039">
            <v>2620275.77</v>
          </cell>
          <cell r="I1039">
            <v>2620275.77</v>
          </cell>
        </row>
        <row r="1040">
          <cell r="C1040" t="str">
            <v>99.1921</v>
          </cell>
          <cell r="D1040" t="str">
            <v>Instalações elétricas em geral</v>
          </cell>
          <cell r="E1040" t="str">
            <v>MAT.</v>
          </cell>
          <cell r="F1040" t="str">
            <v>Vb</v>
          </cell>
          <cell r="G1040">
            <v>1</v>
          </cell>
          <cell r="H1040">
            <v>2620275.7676760955</v>
          </cell>
          <cell r="I1040">
            <v>2620275.77</v>
          </cell>
        </row>
        <row r="1041">
          <cell r="C1041" t="str">
            <v>27.01.04.01</v>
          </cell>
          <cell r="D1041" t="str">
            <v>Câmara Transformadora de Energia</v>
          </cell>
          <cell r="E1041" t="str">
            <v xml:space="preserve">SER.CG </v>
          </cell>
          <cell r="F1041" t="str">
            <v xml:space="preserve">un </v>
          </cell>
          <cell r="G1041">
            <v>1</v>
          </cell>
          <cell r="H1041">
            <v>70000</v>
          </cell>
          <cell r="I1041">
            <v>70000</v>
          </cell>
        </row>
        <row r="1042">
          <cell r="C1042" t="str">
            <v>402</v>
          </cell>
          <cell r="D1042" t="str">
            <v>Câmara transformadora de energia</v>
          </cell>
          <cell r="E1042" t="str">
            <v>EMPRE</v>
          </cell>
          <cell r="F1042" t="str">
            <v>un</v>
          </cell>
          <cell r="G1042">
            <v>2</v>
          </cell>
          <cell r="H1042">
            <v>35000</v>
          </cell>
          <cell r="I1042">
            <v>70000</v>
          </cell>
        </row>
        <row r="1043">
          <cell r="C1043" t="str">
            <v>27.02.01.01</v>
          </cell>
          <cell r="D1043" t="str">
            <v>Luminária circular de embutir, modelo PORÃ para 1xHCI-PAR 30-70W. Corpo em alumínio pintado na cor branca e refletor recuado em alumínio anodizado fosco. Com vidro. Equipada com soquete, com reator Vapor Metálico 1x70Wx220v, uso interno e com lâmpada HCI-</v>
          </cell>
          <cell r="E1043" t="str">
            <v xml:space="preserve">SER.CG </v>
          </cell>
          <cell r="F1043" t="str">
            <v xml:space="preserve">un </v>
          </cell>
          <cell r="G1043">
            <v>28</v>
          </cell>
          <cell r="H1043">
            <v>220.22</v>
          </cell>
          <cell r="I1043">
            <v>6166.16</v>
          </cell>
        </row>
        <row r="1044">
          <cell r="C1044" t="str">
            <v>4710</v>
          </cell>
          <cell r="D1044" t="str">
            <v>Luminária para áreas comuns</v>
          </cell>
          <cell r="E1044" t="str">
            <v>EMPRE</v>
          </cell>
          <cell r="F1044" t="str">
            <v>Vb</v>
          </cell>
          <cell r="G1044">
            <v>1</v>
          </cell>
          <cell r="H1044">
            <v>220.22</v>
          </cell>
          <cell r="I1044">
            <v>220.22</v>
          </cell>
        </row>
        <row r="1045">
          <cell r="C1045" t="str">
            <v>27.02.01.02</v>
          </cell>
          <cell r="D1045" t="str">
            <v>ZAGLO-BALL S2 DIFUSOR EM VIDRO OPALINO SOPRADO E ACETINA(ID)O / HALÓGENA INC. HALÓGENA COMUM E27 150W - 220V - (recepção)</v>
          </cell>
          <cell r="E1045" t="str">
            <v xml:space="preserve">SER.CG </v>
          </cell>
          <cell r="F1045" t="str">
            <v xml:space="preserve">un </v>
          </cell>
          <cell r="G1045">
            <v>4</v>
          </cell>
          <cell r="H1045">
            <v>2277.37</v>
          </cell>
          <cell r="I1045">
            <v>9109.48</v>
          </cell>
        </row>
        <row r="1046">
          <cell r="C1046" t="str">
            <v>4710</v>
          </cell>
          <cell r="D1046" t="str">
            <v>Luminária para áreas comuns</v>
          </cell>
          <cell r="E1046" t="str">
            <v>EMPRE</v>
          </cell>
          <cell r="F1046" t="str">
            <v>Vb</v>
          </cell>
          <cell r="G1046">
            <v>1</v>
          </cell>
          <cell r="H1046">
            <v>2197.37</v>
          </cell>
          <cell r="I1046">
            <v>2197.37</v>
          </cell>
        </row>
        <row r="1047">
          <cell r="C1047" t="str">
            <v>27.02.01.03</v>
          </cell>
          <cell r="D1047" t="str">
            <v>SUP. DO REATOR SANCA SIMPLES 14W/28W/54W BCO / SUP. DA BRACADEIRA SANCA SIMPLES 14W/28W/54W BCO / REATOR ELETRONICO 2X 54WX 220V / LAMPADA FLUOR.TUBULAR 54W - 3000K - (recepção)</v>
          </cell>
          <cell r="E1047" t="str">
            <v xml:space="preserve">SER.CG </v>
          </cell>
          <cell r="F1047" t="str">
            <v xml:space="preserve">un </v>
          </cell>
          <cell r="G1047">
            <v>42</v>
          </cell>
          <cell r="H1047">
            <v>80.959999999999994</v>
          </cell>
          <cell r="I1047">
            <v>3400.32</v>
          </cell>
        </row>
        <row r="1048">
          <cell r="C1048" t="str">
            <v>4710</v>
          </cell>
          <cell r="D1048" t="str">
            <v>Luminária para áreas comuns</v>
          </cell>
          <cell r="E1048" t="str">
            <v>EMPRE</v>
          </cell>
          <cell r="F1048" t="str">
            <v>Vb</v>
          </cell>
          <cell r="G1048">
            <v>1</v>
          </cell>
          <cell r="H1048">
            <v>237980.32</v>
          </cell>
          <cell r="I1048">
            <v>237980.32</v>
          </cell>
        </row>
        <row r="1049">
          <cell r="C1049" t="str">
            <v>27.02.01.04</v>
          </cell>
          <cell r="D1049" t="str">
            <v>E4039/132: LUMINÁRIA CIRCULAR DE EMBUTIR MODELO BRONZE-E (1X32W). CORPO E REFLETOR EM ALUMÍNIO ANODIZADO JATEADO. SEM VIDRO. EQUIPADA COM SOQUETES, COM REATOR ELETRÔNICO 1X32WX220V, AFP E COM LÂMPADA COMPACTA DE 32W/827, DULUX T/E, MARCA  OSRAM. / (Hall s</v>
          </cell>
          <cell r="E1049" t="str">
            <v xml:space="preserve">SER.CG </v>
          </cell>
          <cell r="F1049" t="str">
            <v xml:space="preserve">un </v>
          </cell>
          <cell r="G1049">
            <v>172</v>
          </cell>
          <cell r="H1049">
            <v>111.6</v>
          </cell>
          <cell r="I1049">
            <v>19195.2</v>
          </cell>
        </row>
        <row r="1050">
          <cell r="C1050" t="str">
            <v>4710</v>
          </cell>
          <cell r="D1050" t="str">
            <v>Luminária para áreas comuns</v>
          </cell>
          <cell r="E1050" t="str">
            <v>EMPRE</v>
          </cell>
          <cell r="F1050" t="str">
            <v>Vb</v>
          </cell>
          <cell r="G1050">
            <v>1</v>
          </cell>
          <cell r="H1050">
            <v>111.6</v>
          </cell>
          <cell r="I1050">
            <v>111.6</v>
          </cell>
        </row>
        <row r="1051">
          <cell r="C1051" t="str">
            <v>27.02.01.05</v>
          </cell>
          <cell r="D1051" t="str">
            <v>TELHA LONGA EM VIDRO OPALINO SOPRADO / INC. COMUM E14 40W - LEITOSA - 220V - ( Elevadores Hall Social)</v>
          </cell>
          <cell r="E1051" t="str">
            <v xml:space="preserve">SER.CG </v>
          </cell>
          <cell r="F1051" t="str">
            <v xml:space="preserve">un </v>
          </cell>
          <cell r="G1051">
            <v>1</v>
          </cell>
          <cell r="H1051">
            <v>439.99</v>
          </cell>
          <cell r="I1051">
            <v>439.99</v>
          </cell>
        </row>
        <row r="1052">
          <cell r="C1052" t="str">
            <v>4710</v>
          </cell>
          <cell r="D1052" t="str">
            <v>Luminária para áreas comuns</v>
          </cell>
          <cell r="E1052" t="str">
            <v>EMPRE</v>
          </cell>
          <cell r="F1052" t="str">
            <v>Vb</v>
          </cell>
          <cell r="G1052">
            <v>1</v>
          </cell>
          <cell r="H1052">
            <v>439.99</v>
          </cell>
          <cell r="I1052">
            <v>439.99</v>
          </cell>
        </row>
        <row r="1053">
          <cell r="C1053" t="str">
            <v>27.02.01.06</v>
          </cell>
          <cell r="D1053" t="str">
            <v>SUP. DO REATOR SANCA SIMPLES 16/32W / AL  / SUP. DA BRACADEIRA SANCA  SIMPLES 16/18//32W / AL / RT 2X 32 X 110 /220V -FT - RTA -OS / LAMPADA FLUOR.TUBULAR 32W-3000K (Circulação Hall Social)</v>
          </cell>
          <cell r="E1053" t="str">
            <v xml:space="preserve">SER.CG </v>
          </cell>
          <cell r="F1053" t="str">
            <v xml:space="preserve">un </v>
          </cell>
          <cell r="G1053">
            <v>20</v>
          </cell>
          <cell r="H1053">
            <v>41.27</v>
          </cell>
          <cell r="I1053">
            <v>825.4</v>
          </cell>
        </row>
        <row r="1054">
          <cell r="C1054" t="str">
            <v>4710</v>
          </cell>
          <cell r="D1054" t="str">
            <v>Luminária para áreas comuns</v>
          </cell>
          <cell r="E1054" t="str">
            <v>EMPRE</v>
          </cell>
          <cell r="F1054" t="str">
            <v>Vb</v>
          </cell>
          <cell r="G1054">
            <v>1</v>
          </cell>
          <cell r="H1054">
            <v>41.27</v>
          </cell>
          <cell r="I1054">
            <v>41.27</v>
          </cell>
        </row>
        <row r="1055">
          <cell r="C1055" t="str">
            <v>27.02.01.07</v>
          </cell>
          <cell r="D1055" t="str">
            <v>ITEM 02 / RT 1X 26/32/42WX230V EL QT-M OS / LPD FC-T/E 42W/840 OS (Fitness)</v>
          </cell>
          <cell r="E1055" t="str">
            <v xml:space="preserve">SER.CG </v>
          </cell>
          <cell r="F1055" t="str">
            <v xml:space="preserve">un </v>
          </cell>
          <cell r="G1055">
            <v>3</v>
          </cell>
          <cell r="H1055">
            <v>224.15</v>
          </cell>
          <cell r="I1055">
            <v>672.45</v>
          </cell>
        </row>
        <row r="1056">
          <cell r="C1056" t="str">
            <v>4710</v>
          </cell>
          <cell r="D1056" t="str">
            <v>Luminária para áreas comuns</v>
          </cell>
          <cell r="E1056" t="str">
            <v>EMPRE</v>
          </cell>
          <cell r="F1056" t="str">
            <v>Vb</v>
          </cell>
          <cell r="G1056">
            <v>1</v>
          </cell>
          <cell r="H1056">
            <v>224.15</v>
          </cell>
          <cell r="I1056">
            <v>224.15</v>
          </cell>
        </row>
        <row r="1057">
          <cell r="C1057" t="str">
            <v>27.02.01.08</v>
          </cell>
          <cell r="D1057" t="str">
            <v xml:space="preserve">LDPE114/V: LUMINÁRIA CIRCULAR DE EMBUTIR, ORIENTÁVEL, MODELO TUPIBI (1XDICROICA 20W). CORPO EM ALUMÍNIO REPUXADO, REFLETOR ASSIMÉTRICO ANODIZADO JATEADO. DIFUSOR EM VIDRO TEMPERADO JATEADO, RECUADO INCLINADO E PINTURA ELETROSTÁTICA. EQUIPADA COM SOQUETE, </v>
          </cell>
          <cell r="E1057" t="str">
            <v xml:space="preserve">SER.CG </v>
          </cell>
          <cell r="F1057" t="str">
            <v xml:space="preserve">un </v>
          </cell>
          <cell r="G1057">
            <v>3</v>
          </cell>
          <cell r="H1057">
            <v>114.66</v>
          </cell>
          <cell r="I1057">
            <v>343.98</v>
          </cell>
        </row>
        <row r="1058">
          <cell r="C1058" t="str">
            <v>4710</v>
          </cell>
          <cell r="D1058" t="str">
            <v>Luminária para áreas comuns</v>
          </cell>
          <cell r="E1058" t="str">
            <v>EMPRE</v>
          </cell>
          <cell r="F1058" t="str">
            <v>Vb</v>
          </cell>
          <cell r="G1058">
            <v>1</v>
          </cell>
          <cell r="H1058">
            <v>114.66</v>
          </cell>
          <cell r="I1058">
            <v>114.66</v>
          </cell>
        </row>
        <row r="1059">
          <cell r="C1059" t="str">
            <v>27.02.01.09</v>
          </cell>
          <cell r="D1059" t="str">
            <v>MINI PENDENTE COM VIDRO TEXTURIZADO / 40 TR - INC. HALÓGENA COMUM 40W - 220V - (Fitness)</v>
          </cell>
          <cell r="E1059" t="str">
            <v xml:space="preserve">SER.CG </v>
          </cell>
          <cell r="F1059" t="str">
            <v xml:space="preserve">un </v>
          </cell>
          <cell r="G1059">
            <v>3</v>
          </cell>
          <cell r="H1059">
            <v>291.64999999999998</v>
          </cell>
          <cell r="I1059">
            <v>874.95</v>
          </cell>
        </row>
        <row r="1060">
          <cell r="C1060" t="str">
            <v>4710</v>
          </cell>
          <cell r="D1060" t="str">
            <v>Luminária para áreas comuns</v>
          </cell>
          <cell r="E1060" t="str">
            <v>EMPRE</v>
          </cell>
          <cell r="F1060" t="str">
            <v>Vb</v>
          </cell>
          <cell r="G1060">
            <v>1</v>
          </cell>
          <cell r="H1060">
            <v>291.64999999999998</v>
          </cell>
          <cell r="I1060">
            <v>291.64999999999998</v>
          </cell>
        </row>
        <row r="1061">
          <cell r="C1061" t="str">
            <v>27.02.01.10</v>
          </cell>
          <cell r="D1061" t="str">
            <v>PAR DE SOQUETE + BRAÇADEIRA P/ 1 LÂMPADA / FLUOR. TUBULAR 28W 4000K / ELETRÔNICO AFP - 220V / ELETRÔNICO AFP - 220V</v>
          </cell>
          <cell r="E1061" t="str">
            <v xml:space="preserve">SER.CG </v>
          </cell>
          <cell r="F1061" t="str">
            <v xml:space="preserve">un </v>
          </cell>
          <cell r="G1061">
            <v>69</v>
          </cell>
          <cell r="H1061">
            <v>64.27</v>
          </cell>
          <cell r="I1061">
            <v>4434.63</v>
          </cell>
        </row>
        <row r="1062">
          <cell r="C1062" t="str">
            <v>4710</v>
          </cell>
          <cell r="D1062" t="str">
            <v>Luminária para áreas comuns</v>
          </cell>
          <cell r="E1062" t="str">
            <v>EMPRE</v>
          </cell>
          <cell r="F1062" t="str">
            <v>Vb</v>
          </cell>
          <cell r="G1062">
            <v>1</v>
          </cell>
          <cell r="H1062">
            <v>64.27</v>
          </cell>
          <cell r="I1062">
            <v>64.27</v>
          </cell>
        </row>
        <row r="1063">
          <cell r="C1063" t="str">
            <v>27.02.01.11</v>
          </cell>
          <cell r="D1063" t="str">
            <v>E4039/142: LUMINÁRIA DE EMBUTIR, MODELO JASPE (1X42W). CORPO EM ALUMÍNIO PINTADO NA COR BRANCA E REFLETOR EM ALUMÍNIO ANODIZADO FOSCO. SEM VIDRO. EQUIPADA COM SOQUETE, COM  REATOR ELETRÔNICO 1X42WX220V, AFP E COM LÂMPADA COMPACTA DE 42W/840, DULUX T/E, MA</v>
          </cell>
          <cell r="E1063" t="str">
            <v xml:space="preserve">SER.CG </v>
          </cell>
          <cell r="F1063" t="str">
            <v xml:space="preserve">un </v>
          </cell>
          <cell r="G1063">
            <v>152</v>
          </cell>
          <cell r="H1063">
            <v>139.38</v>
          </cell>
          <cell r="I1063">
            <v>21185.759999999998</v>
          </cell>
        </row>
        <row r="1064">
          <cell r="C1064" t="str">
            <v>4710</v>
          </cell>
          <cell r="D1064" t="str">
            <v>Luminária para áreas comuns</v>
          </cell>
          <cell r="E1064" t="str">
            <v>EMPRE</v>
          </cell>
          <cell r="F1064" t="str">
            <v>Vb</v>
          </cell>
          <cell r="G1064">
            <v>1</v>
          </cell>
          <cell r="H1064">
            <v>139.38</v>
          </cell>
          <cell r="I1064">
            <v>139.38</v>
          </cell>
        </row>
        <row r="1065">
          <cell r="C1065" t="str">
            <v>27.02.01.12</v>
          </cell>
          <cell r="D1065" t="str">
            <v>FE1403/128: LUMINÁRIA MODELO 2838 (1X28W), TIPO DE EMBUTIR. CORPO E REFLETOR EM CHAPA TRATADA E PINTURA NA COR BRANCA. DIFUSOR EM ACRÍLICO LEITOSO, ACRÍLICO LEITOSO, ACRÍLICO PONTILHADO OU POLIESTIRENO PLANO MARTELADO. EQUIPADA COM PORTA-LÂMPADAS ANTIVIBR</v>
          </cell>
          <cell r="E1065" t="str">
            <v xml:space="preserve">SER.CG </v>
          </cell>
          <cell r="F1065" t="str">
            <v xml:space="preserve">un </v>
          </cell>
          <cell r="G1065">
            <v>12</v>
          </cell>
          <cell r="H1065">
            <v>139.32</v>
          </cell>
          <cell r="I1065">
            <v>1671.84</v>
          </cell>
        </row>
        <row r="1066">
          <cell r="C1066" t="str">
            <v>4710</v>
          </cell>
          <cell r="D1066" t="str">
            <v>Luminária para áreas comuns</v>
          </cell>
          <cell r="E1066" t="str">
            <v>EMPRE</v>
          </cell>
          <cell r="F1066" t="str">
            <v>Vb</v>
          </cell>
          <cell r="G1066">
            <v>1</v>
          </cell>
          <cell r="H1066">
            <v>139.32</v>
          </cell>
          <cell r="I1066">
            <v>139.32</v>
          </cell>
        </row>
        <row r="1067">
          <cell r="C1067" t="str">
            <v>27.02.01.13</v>
          </cell>
          <cell r="D1067" t="str">
            <v>XE4433/142:LUMINÁRIA SEMI-EMBUTIDA, MODELO CRISTAL (1X42W). CORPO EM CHAPA DE AÇO TRATADA E PINTADA NA COR BRANCA. DIFUSOR EM ACRÍLICO LEITOSO. EQUIPADA COM SOQUETE, COM REATOR ELETRÔNICO  1X42WX220V, AFP E COM LÂMPADA COMPACTA DE 42W/840, DULUX T/E MARCA</v>
          </cell>
          <cell r="E1067" t="str">
            <v xml:space="preserve">SER.CG </v>
          </cell>
          <cell r="F1067" t="str">
            <v xml:space="preserve">un </v>
          </cell>
          <cell r="G1067">
            <v>212</v>
          </cell>
          <cell r="H1067">
            <v>135.99</v>
          </cell>
          <cell r="I1067">
            <v>28829.88</v>
          </cell>
        </row>
        <row r="1068">
          <cell r="C1068" t="str">
            <v>4710</v>
          </cell>
          <cell r="D1068" t="str">
            <v>Luminária para áreas comuns</v>
          </cell>
          <cell r="E1068" t="str">
            <v>EMPRE</v>
          </cell>
          <cell r="F1068" t="str">
            <v>Vb</v>
          </cell>
          <cell r="G1068">
            <v>1</v>
          </cell>
          <cell r="H1068">
            <v>135.99</v>
          </cell>
          <cell r="I1068">
            <v>135.99</v>
          </cell>
        </row>
        <row r="1069">
          <cell r="C1069" t="str">
            <v>27.02.01.14</v>
          </cell>
          <cell r="D1069" t="str">
            <v>E4032/126: LUMINÁRIA CIRCULAR DE EMBUTIR MODELO BRONZE-E (1X26W). CORPO E REFLETOR EM ALUMÍNIO ANODIZADO JATEADO. SEM VIDRO. EQUIPADA COM SOQUETES, COM REATOR ELETRÔNICO 1X26WX220V, AFP E COM LÂMPADA COMPACTA DE 26W/827, DULUX D/E, MARCA OSRAM. (Banheiros</v>
          </cell>
          <cell r="E1069" t="str">
            <v xml:space="preserve">SER.CG </v>
          </cell>
          <cell r="F1069" t="str">
            <v xml:space="preserve">un </v>
          </cell>
          <cell r="G1069">
            <v>306</v>
          </cell>
          <cell r="H1069">
            <v>94.79</v>
          </cell>
          <cell r="I1069">
            <v>29005.74</v>
          </cell>
        </row>
        <row r="1070">
          <cell r="C1070" t="str">
            <v>4710</v>
          </cell>
          <cell r="D1070" t="str">
            <v>Luminária para áreas comuns</v>
          </cell>
          <cell r="E1070" t="str">
            <v>EMPRE</v>
          </cell>
          <cell r="F1070" t="str">
            <v>Vb</v>
          </cell>
          <cell r="G1070">
            <v>1</v>
          </cell>
          <cell r="H1070">
            <v>94.79</v>
          </cell>
          <cell r="I1070">
            <v>94.79</v>
          </cell>
        </row>
        <row r="1071">
          <cell r="C1071" t="str">
            <v>27.02.01.15</v>
          </cell>
          <cell r="D1071" t="str">
            <v>SUP. DO REATOR SANCA SIMPLES 16/32W / AL / SUP.SA BRACADEIRA SANCA SIMPLES  16/18/32/36W/ AL / RT 2X 32 X 110/220V - FT - RTA - OS / LAMPADADA  FLUOR TUBULAR 32W -3000K (Sala Espera Escritórios)</v>
          </cell>
          <cell r="E1071" t="str">
            <v xml:space="preserve">SER.CG </v>
          </cell>
          <cell r="F1071" t="str">
            <v xml:space="preserve">un </v>
          </cell>
          <cell r="G1071">
            <v>64</v>
          </cell>
          <cell r="H1071">
            <v>38.770000000000003</v>
          </cell>
          <cell r="I1071">
            <v>2481.2800000000002</v>
          </cell>
        </row>
        <row r="1072">
          <cell r="C1072" t="str">
            <v>4710</v>
          </cell>
          <cell r="D1072" t="str">
            <v>Luminária para áreas comuns</v>
          </cell>
          <cell r="E1072" t="str">
            <v>EMPRE</v>
          </cell>
          <cell r="F1072" t="str">
            <v>Vb</v>
          </cell>
          <cell r="G1072">
            <v>1</v>
          </cell>
          <cell r="H1072">
            <v>38.770000000000003</v>
          </cell>
          <cell r="I1072">
            <v>38.770000000000003</v>
          </cell>
        </row>
        <row r="1073">
          <cell r="C1073" t="str">
            <v>27.02.01.16</v>
          </cell>
          <cell r="D1073" t="str">
            <v>XT4433/132: LUMINÁRIA DE SOBREPOR MODELO TURMALINA (1X32W). CORPO EM CHAPA DE AÇO TRATADA E PINTADA NA COR BRANCA. DIFUSOR EM ACRÍLICO LEITOSO. EQUIPADA COM SOQUETES, COM REATOR ELETRÔNICO 1X32WX220V, AFP E COM LÂMPADA COMPACTA DE 32W/827, DULUX T/E, MARC</v>
          </cell>
          <cell r="E1073" t="str">
            <v xml:space="preserve">SER.CG </v>
          </cell>
          <cell r="F1073" t="str">
            <v xml:space="preserve">un </v>
          </cell>
          <cell r="G1073">
            <v>48</v>
          </cell>
          <cell r="H1073">
            <v>111.49</v>
          </cell>
          <cell r="I1073">
            <v>5351.52</v>
          </cell>
        </row>
        <row r="1074">
          <cell r="C1074" t="str">
            <v>4710</v>
          </cell>
          <cell r="D1074" t="str">
            <v>Luminária para áreas comuns</v>
          </cell>
          <cell r="E1074" t="str">
            <v>EMPRE</v>
          </cell>
          <cell r="F1074" t="str">
            <v>Vb</v>
          </cell>
          <cell r="G1074">
            <v>1</v>
          </cell>
          <cell r="H1074">
            <v>111.49</v>
          </cell>
          <cell r="I1074">
            <v>111.49</v>
          </cell>
        </row>
        <row r="1075">
          <cell r="C1075" t="str">
            <v>27.02.01.17</v>
          </cell>
          <cell r="D1075" t="str">
            <v>E4032/126: LUMINÁRIA CIRCULAR DE EMBUTIR MODELO BRONZE-E (1X26W). CORPO E REFLETOR EM ALUMÍNIO ANODIZADO JATEADO. SEM VIDRO. EQUIPADA COM SOQUETES, COM REATOR ELETRÔNICO 1X26WX220V, AFP E COM LÂMPADA COMPACTA DE 26W/827, DULUX D/E, MARCA OSRAM. (àreas téc</v>
          </cell>
          <cell r="E1075" t="str">
            <v xml:space="preserve">SER.CG </v>
          </cell>
          <cell r="F1075" t="str">
            <v xml:space="preserve">un </v>
          </cell>
          <cell r="G1075">
            <v>4</v>
          </cell>
          <cell r="H1075">
            <v>94.79</v>
          </cell>
          <cell r="I1075">
            <v>379.16</v>
          </cell>
        </row>
        <row r="1076">
          <cell r="C1076" t="str">
            <v>4710</v>
          </cell>
          <cell r="D1076" t="str">
            <v>Luminária para áreas comuns</v>
          </cell>
          <cell r="E1076" t="str">
            <v>EMPRE</v>
          </cell>
          <cell r="F1076" t="str">
            <v>Vb</v>
          </cell>
          <cell r="G1076">
            <v>1</v>
          </cell>
          <cell r="H1076">
            <v>94.79</v>
          </cell>
          <cell r="I1076">
            <v>94.79</v>
          </cell>
        </row>
        <row r="1077">
          <cell r="C1077" t="str">
            <v>27.02.01.18</v>
          </cell>
          <cell r="D1077" t="str">
            <v>XLA-A-2106/V / REATOR VAPOR METALICO 35W IG ALTO FATOR / LPD VMET 35W HCI PAR 30 30G / WDL  OS  (àrea externa)</v>
          </cell>
          <cell r="E1077" t="str">
            <v xml:space="preserve">SER.CG </v>
          </cell>
          <cell r="F1077" t="str">
            <v xml:space="preserve">un </v>
          </cell>
          <cell r="G1077">
            <v>10</v>
          </cell>
          <cell r="H1077">
            <v>531.99</v>
          </cell>
          <cell r="I1077">
            <v>5319.9</v>
          </cell>
        </row>
        <row r="1078">
          <cell r="C1078" t="str">
            <v>4710</v>
          </cell>
          <cell r="D1078" t="str">
            <v>Luminária para áreas comuns</v>
          </cell>
          <cell r="E1078" t="str">
            <v>EMPRE</v>
          </cell>
          <cell r="F1078" t="str">
            <v>Vb</v>
          </cell>
          <cell r="G1078">
            <v>1</v>
          </cell>
          <cell r="H1078">
            <v>531.99</v>
          </cell>
          <cell r="I1078">
            <v>531.99</v>
          </cell>
        </row>
        <row r="1079">
          <cell r="C1079" t="str">
            <v>27.02.01.19</v>
          </cell>
          <cell r="D1079" t="str">
            <v>HE4542/126: BALIZADOR DE EMBUTIR NA PAREDE MODELO 6620 (1X26W). CORPO EM ALUMÍNIO REPUXADO, REFLETOR ALUMÍNIO ANODIZADO TEXTURIZADO E ACABAMENTO EM PINTURA ELETROSTÁTICA NA COR BRANCA. EQUIPADA COM SOQUETES, COM REATOR ELETRÔNICO 1X26WX220V, AFP E COM LÂM</v>
          </cell>
          <cell r="E1079" t="str">
            <v xml:space="preserve">SER.CG </v>
          </cell>
          <cell r="F1079" t="str">
            <v xml:space="preserve">un </v>
          </cell>
          <cell r="G1079">
            <v>10</v>
          </cell>
          <cell r="H1079">
            <v>152.06</v>
          </cell>
          <cell r="I1079">
            <v>1520.6</v>
          </cell>
        </row>
        <row r="1080">
          <cell r="C1080" t="str">
            <v>4710</v>
          </cell>
          <cell r="D1080" t="str">
            <v>Luminária para áreas comuns</v>
          </cell>
          <cell r="E1080" t="str">
            <v>EMPRE</v>
          </cell>
          <cell r="F1080" t="str">
            <v>Vb</v>
          </cell>
          <cell r="G1080">
            <v>1</v>
          </cell>
          <cell r="H1080">
            <v>152.06</v>
          </cell>
          <cell r="I1080">
            <v>152.06</v>
          </cell>
        </row>
        <row r="1081">
          <cell r="C1081" t="str">
            <v>27.02.01.20</v>
          </cell>
          <cell r="D1081" t="str">
            <v>N2560/A: POSTE TELECÔNICO RETO, FLANGEADO, 5,00M, GALVANIZADO A FOGO E ACABAMENTO EM PINTURA ELETROSTÁTICA NA COR PRETA OU BRANCA + LUMINÁRIA TIPO PÉTALA MODELO CALCÁRIO-P PARA 1X150W HQI-E, CORPO EM CHAPA DE AÇO ZINCADO NA COR BRANCA OU PRETA, REFLETOR S</v>
          </cell>
          <cell r="E1081" t="str">
            <v xml:space="preserve">SER.CG </v>
          </cell>
          <cell r="F1081" t="str">
            <v xml:space="preserve">un </v>
          </cell>
          <cell r="G1081">
            <v>3</v>
          </cell>
          <cell r="H1081">
            <v>896.47</v>
          </cell>
          <cell r="I1081">
            <v>2689.41</v>
          </cell>
        </row>
        <row r="1082">
          <cell r="C1082" t="str">
            <v>4710</v>
          </cell>
          <cell r="D1082" t="str">
            <v>Luminária para áreas comuns</v>
          </cell>
          <cell r="E1082" t="str">
            <v>EMPRE</v>
          </cell>
          <cell r="F1082" t="str">
            <v>Vb</v>
          </cell>
          <cell r="G1082">
            <v>1</v>
          </cell>
          <cell r="H1082">
            <v>896.47</v>
          </cell>
          <cell r="I1082">
            <v>896.47</v>
          </cell>
        </row>
        <row r="1083">
          <cell r="C1083" t="str">
            <v>27.02.01.21</v>
          </cell>
          <cell r="D1083" t="str">
            <v>SOLUM MR 30-35W: LUMINÁRIA DE EMBUTIR NOS SOLO, MODELO BYPE (1XHCI PAR 30-35W). CORPO EM ALUMÍNIO INJETADO, VIDRO PLANO TEMPERADO TRANSPARENTE, SEM GRADE FRONTAL DE PROTEÇÃO, COM ACABAMENTO EM PINTURA ELETROSTÁTICA NA COR BRANCA OU PRETA. POSSUI TUBO RÍGI</v>
          </cell>
          <cell r="E1083" t="str">
            <v xml:space="preserve">SER.CG </v>
          </cell>
          <cell r="F1083" t="str">
            <v xml:space="preserve">un </v>
          </cell>
          <cell r="G1083">
            <v>55</v>
          </cell>
          <cell r="H1083">
            <v>505.94</v>
          </cell>
          <cell r="I1083">
            <v>27826.7</v>
          </cell>
        </row>
        <row r="1084">
          <cell r="C1084" t="str">
            <v>4710</v>
          </cell>
          <cell r="D1084" t="str">
            <v>Luminária para áreas comuns</v>
          </cell>
          <cell r="E1084" t="str">
            <v>EMPRE</v>
          </cell>
          <cell r="F1084" t="str">
            <v>Vb</v>
          </cell>
          <cell r="G1084">
            <v>1</v>
          </cell>
          <cell r="H1084">
            <v>505.94</v>
          </cell>
          <cell r="I1084">
            <v>505.94</v>
          </cell>
        </row>
        <row r="1085">
          <cell r="C1085" t="str">
            <v>27.02.01.22</v>
          </cell>
          <cell r="D1085" t="str">
            <v>SOLUM MR 30-70W: LUMINÁRIA DE EMBUTIR NOS SOLO, MODELO YBYPE (1XHCI PAR 30-70W). CORPO EM ALUMÍNIO INJETADO, VIDRO PLANO TEMPERADO TRANSPARENTE, SEM GRADE FRONTAL DE PROTEÇÃO, COM ACABAMENTO EM PINTURA ELETROSTÁTICA NA COR BRANCA OU PRETA. POSSUI TUBO RÍG</v>
          </cell>
          <cell r="E1085" t="str">
            <v xml:space="preserve">SER.CG </v>
          </cell>
          <cell r="F1085" t="str">
            <v xml:space="preserve">un </v>
          </cell>
          <cell r="G1085">
            <v>15</v>
          </cell>
          <cell r="H1085">
            <v>515.09</v>
          </cell>
          <cell r="I1085">
            <v>7726.35</v>
          </cell>
        </row>
        <row r="1086">
          <cell r="C1086" t="str">
            <v>4710</v>
          </cell>
          <cell r="D1086" t="str">
            <v>Luminária para áreas comuns</v>
          </cell>
          <cell r="E1086" t="str">
            <v>EMPRE</v>
          </cell>
          <cell r="F1086" t="str">
            <v>Vb</v>
          </cell>
          <cell r="G1086">
            <v>1</v>
          </cell>
          <cell r="H1086">
            <v>515.09</v>
          </cell>
          <cell r="I1086">
            <v>515.09</v>
          </cell>
        </row>
        <row r="1087">
          <cell r="C1087" t="str">
            <v>27.02.01.23</v>
          </cell>
          <cell r="D1087" t="str">
            <v>Luminária modelo 4303 (2x32W), tipo de sobrepor. Corpo e  refletor em chapa de aço tratada e pintura eletrostática  branca. Equipada com porta-lâmpadas antivibratórios em  policarbonato, com trava de segurança e proteção contra aquecimento nos contatos, c</v>
          </cell>
          <cell r="E1087" t="str">
            <v xml:space="preserve">SER.CG </v>
          </cell>
          <cell r="F1087" t="str">
            <v xml:space="preserve">un </v>
          </cell>
          <cell r="G1087">
            <v>445</v>
          </cell>
          <cell r="H1087">
            <v>68.53</v>
          </cell>
          <cell r="I1087">
            <v>30495.85</v>
          </cell>
        </row>
        <row r="1088">
          <cell r="C1088" t="str">
            <v>4710</v>
          </cell>
          <cell r="D1088" t="str">
            <v>Luminária para áreas comuns</v>
          </cell>
          <cell r="E1088" t="str">
            <v>EMPRE</v>
          </cell>
          <cell r="F1088" t="str">
            <v>Vb</v>
          </cell>
          <cell r="G1088">
            <v>1</v>
          </cell>
          <cell r="H1088">
            <v>68.53</v>
          </cell>
          <cell r="I1088">
            <v>68.53</v>
          </cell>
        </row>
        <row r="1089">
          <cell r="C1089" t="str">
            <v>27.02.01.24</v>
          </cell>
          <cell r="D1089" t="str">
            <v>Luminária circular de embutir, modelo PORÃ para 1xHCI PAR30-70W. Corpo em alumínio pintado na cor branca e refletor recuado em alumínio anodizado fosco. Sem vidro. Equipada com soquete, com reator Vapor Metálico 1x70Wx220V, uso interno e com lâmpada HCI P</v>
          </cell>
          <cell r="E1089" t="str">
            <v xml:space="preserve">SER.CG </v>
          </cell>
          <cell r="F1089" t="str">
            <v xml:space="preserve">un </v>
          </cell>
          <cell r="G1089">
            <v>41</v>
          </cell>
          <cell r="H1089">
            <v>215.46</v>
          </cell>
          <cell r="I1089">
            <v>8833.86</v>
          </cell>
        </row>
        <row r="1090">
          <cell r="C1090" t="str">
            <v>4710</v>
          </cell>
          <cell r="D1090" t="str">
            <v>Luminária para áreas comuns</v>
          </cell>
          <cell r="E1090" t="str">
            <v>EMPRE</v>
          </cell>
          <cell r="F1090" t="str">
            <v>Vb</v>
          </cell>
          <cell r="G1090">
            <v>1</v>
          </cell>
          <cell r="H1090">
            <v>215.46</v>
          </cell>
          <cell r="I1090">
            <v>215.46</v>
          </cell>
        </row>
        <row r="1091">
          <cell r="C1091" t="str">
            <v>27.02.01.25</v>
          </cell>
          <cell r="D1091" t="str">
            <v>Luminária de embutir modelo PRÁSIO (1xIncandescente 60W). Corpo em alumínio repuxado, refletor anodizado, sem vidro e acabamento em pintura eletrostática na cor branca ou preta. Equipada com soquete, sem reator e sem lâmpada. (NAO COMERCIALIZAMOS LAMPADAS</v>
          </cell>
          <cell r="E1091" t="str">
            <v xml:space="preserve">SER.CG </v>
          </cell>
          <cell r="F1091" t="str">
            <v xml:space="preserve">un </v>
          </cell>
          <cell r="G1091">
            <v>26</v>
          </cell>
          <cell r="H1091">
            <v>26.88</v>
          </cell>
          <cell r="I1091">
            <v>698.88</v>
          </cell>
        </row>
        <row r="1092">
          <cell r="C1092" t="str">
            <v>4710</v>
          </cell>
          <cell r="D1092" t="str">
            <v>Luminária para áreas comuns</v>
          </cell>
          <cell r="E1092" t="str">
            <v>EMPRE</v>
          </cell>
          <cell r="F1092" t="str">
            <v>Vb</v>
          </cell>
          <cell r="G1092">
            <v>1</v>
          </cell>
          <cell r="H1092">
            <v>26.88</v>
          </cell>
          <cell r="I1092">
            <v>26.88</v>
          </cell>
        </row>
        <row r="1093">
          <cell r="C1093" t="str">
            <v>27.02.01.26</v>
          </cell>
          <cell r="D1093" t="str">
            <v>Projetor ACQUA LIGHT Subaquático</v>
          </cell>
          <cell r="E1093" t="str">
            <v xml:space="preserve">SER.CG </v>
          </cell>
          <cell r="F1093" t="str">
            <v xml:space="preserve">un </v>
          </cell>
          <cell r="G1093">
            <v>8</v>
          </cell>
          <cell r="H1093">
            <v>530</v>
          </cell>
          <cell r="I1093">
            <v>4240</v>
          </cell>
        </row>
        <row r="1094">
          <cell r="C1094" t="str">
            <v>4710</v>
          </cell>
          <cell r="D1094" t="str">
            <v>Luminária para áreas comuns</v>
          </cell>
          <cell r="E1094" t="str">
            <v>EMPRE</v>
          </cell>
          <cell r="F1094" t="str">
            <v>Vb</v>
          </cell>
          <cell r="G1094">
            <v>1</v>
          </cell>
          <cell r="H1094">
            <v>530</v>
          </cell>
          <cell r="I1094">
            <v>530</v>
          </cell>
        </row>
        <row r="1095">
          <cell r="C1095" t="str">
            <v>27.02.03.01</v>
          </cell>
          <cell r="D1095" t="str">
            <v>Luminárias de emergência</v>
          </cell>
          <cell r="E1095" t="str">
            <v xml:space="preserve">SER.CG </v>
          </cell>
          <cell r="F1095" t="str">
            <v xml:space="preserve">un </v>
          </cell>
          <cell r="G1095">
            <v>98</v>
          </cell>
          <cell r="H1095">
            <v>79.650000000000006</v>
          </cell>
          <cell r="I1095">
            <v>7805.7</v>
          </cell>
        </row>
        <row r="1096">
          <cell r="C1096" t="str">
            <v>4710</v>
          </cell>
          <cell r="D1096" t="str">
            <v>Luminárias de emergência</v>
          </cell>
          <cell r="E1096" t="str">
            <v>EMPRE</v>
          </cell>
          <cell r="F1096" t="str">
            <v>Vb</v>
          </cell>
          <cell r="G1096">
            <v>1</v>
          </cell>
          <cell r="H1096">
            <v>79.650000000000006</v>
          </cell>
          <cell r="I1096">
            <v>79.650000000000006</v>
          </cell>
        </row>
        <row r="1097">
          <cell r="C1097" t="str">
            <v>27.03.01.01</v>
          </cell>
          <cell r="D1097" t="str">
            <v>Grupo gerador 170 kva</v>
          </cell>
          <cell r="E1097" t="str">
            <v xml:space="preserve">SER.CG </v>
          </cell>
          <cell r="F1097" t="str">
            <v xml:space="preserve">un </v>
          </cell>
          <cell r="G1097">
            <v>1</v>
          </cell>
          <cell r="H1097">
            <v>65550</v>
          </cell>
          <cell r="I1097">
            <v>65550</v>
          </cell>
        </row>
        <row r="1098">
          <cell r="C1098" t="str">
            <v>99.2577</v>
          </cell>
          <cell r="D1098" t="str">
            <v>Grupo gerador 170 kva</v>
          </cell>
          <cell r="E1098" t="str">
            <v>EMPRE</v>
          </cell>
          <cell r="F1098" t="str">
            <v>un</v>
          </cell>
          <cell r="G1098">
            <v>1</v>
          </cell>
          <cell r="H1098">
            <v>65550</v>
          </cell>
          <cell r="I1098">
            <v>65550</v>
          </cell>
        </row>
        <row r="1099">
          <cell r="C1099" t="str">
            <v>27.01.03.01</v>
          </cell>
          <cell r="D1099" t="str">
            <v>Taxas- concessionária</v>
          </cell>
          <cell r="E1099" t="str">
            <v xml:space="preserve">SER.CG </v>
          </cell>
          <cell r="F1099" t="str">
            <v xml:space="preserve">Vb </v>
          </cell>
          <cell r="G1099">
            <v>1</v>
          </cell>
          <cell r="H1099">
            <v>80000</v>
          </cell>
          <cell r="I1099">
            <v>80000</v>
          </cell>
        </row>
        <row r="1100">
          <cell r="C1100" t="str">
            <v>405</v>
          </cell>
          <cell r="D1100" t="str">
            <v>Instalações elétricas</v>
          </cell>
          <cell r="E1100" t="str">
            <v>MAT.</v>
          </cell>
          <cell r="F1100" t="str">
            <v>Vb</v>
          </cell>
          <cell r="G1100">
            <v>1</v>
          </cell>
          <cell r="H1100">
            <v>80000</v>
          </cell>
          <cell r="I1100">
            <v>80000</v>
          </cell>
        </row>
        <row r="1101">
          <cell r="C1101" t="str">
            <v>27.02.01.02</v>
          </cell>
          <cell r="D1101" t="str">
            <v>Luminárias de emergência</v>
          </cell>
          <cell r="E1101" t="str">
            <v xml:space="preserve">SER.CG </v>
          </cell>
          <cell r="F1101" t="str">
            <v xml:space="preserve">un </v>
          </cell>
          <cell r="G1101">
            <v>455</v>
          </cell>
          <cell r="H1101">
            <v>2277.37</v>
          </cell>
          <cell r="I1101">
            <v>1036203.35</v>
          </cell>
        </row>
        <row r="1102">
          <cell r="C1102" t="str">
            <v>4710</v>
          </cell>
          <cell r="D1102" t="str">
            <v>Luminária para áreas comuns</v>
          </cell>
          <cell r="E1102" t="str">
            <v>EMPRE</v>
          </cell>
          <cell r="F1102" t="str">
            <v>un</v>
          </cell>
          <cell r="G1102">
            <v>1</v>
          </cell>
          <cell r="H1102">
            <v>80</v>
          </cell>
          <cell r="I1102">
            <v>80</v>
          </cell>
        </row>
        <row r="1103">
          <cell r="C1103" t="str">
            <v>27.04.01.01</v>
          </cell>
          <cell r="D1103" t="str">
            <v>Obras civis para instalações elétricas</v>
          </cell>
          <cell r="E1103" t="str">
            <v xml:space="preserve">SER.CG </v>
          </cell>
          <cell r="F1103" t="str">
            <v xml:space="preserve">Vb </v>
          </cell>
          <cell r="G1103">
            <v>1</v>
          </cell>
          <cell r="H1103">
            <v>12000</v>
          </cell>
          <cell r="I1103">
            <v>12000</v>
          </cell>
        </row>
        <row r="1104">
          <cell r="C1104" t="str">
            <v>4708</v>
          </cell>
          <cell r="D1104" t="str">
            <v>Obras civis para instalações elétricas</v>
          </cell>
          <cell r="E1104" t="str">
            <v>M.O.</v>
          </cell>
          <cell r="F1104" t="str">
            <v>Vb</v>
          </cell>
          <cell r="G1104">
            <v>1</v>
          </cell>
          <cell r="H1104">
            <v>12000</v>
          </cell>
          <cell r="I1104">
            <v>12000</v>
          </cell>
        </row>
        <row r="1105">
          <cell r="C1105" t="str">
            <v>27.04.01.02</v>
          </cell>
          <cell r="D1105" t="str">
            <v>Furo em concreto p/ instalações elétricas</v>
          </cell>
          <cell r="E1105" t="str">
            <v xml:space="preserve">SER.CG </v>
          </cell>
          <cell r="F1105" t="str">
            <v xml:space="preserve">Vb </v>
          </cell>
          <cell r="G1105">
            <v>1</v>
          </cell>
          <cell r="H1105">
            <v>15000</v>
          </cell>
          <cell r="I1105">
            <v>15000</v>
          </cell>
        </row>
        <row r="1106">
          <cell r="C1106" t="str">
            <v>348</v>
          </cell>
          <cell r="D1106" t="str">
            <v>MDO para furos no concreto</v>
          </cell>
          <cell r="E1106" t="str">
            <v>EMPRE</v>
          </cell>
          <cell r="F1106" t="str">
            <v>vb</v>
          </cell>
          <cell r="G1106">
            <v>1</v>
          </cell>
          <cell r="H1106">
            <v>15000</v>
          </cell>
          <cell r="I1106">
            <v>15000</v>
          </cell>
        </row>
        <row r="1107">
          <cell r="C1107" t="str">
            <v>28.01.01.01</v>
          </cell>
          <cell r="D1107" t="str">
            <v xml:space="preserve">Instalações hidráulicas em geral </v>
          </cell>
          <cell r="E1107" t="str">
            <v xml:space="preserve">SER.CG </v>
          </cell>
          <cell r="F1107" t="str">
            <v xml:space="preserve">Vb </v>
          </cell>
          <cell r="G1107">
            <v>1</v>
          </cell>
          <cell r="H1107">
            <v>1421817.38</v>
          </cell>
          <cell r="I1107">
            <v>1421817.38</v>
          </cell>
        </row>
        <row r="1108">
          <cell r="C1108" t="str">
            <v>406</v>
          </cell>
          <cell r="D1108" t="str">
            <v>Instalações hidráulicas</v>
          </cell>
          <cell r="E1108" t="str">
            <v>MAT.</v>
          </cell>
          <cell r="F1108" t="str">
            <v>un</v>
          </cell>
          <cell r="G1108">
            <v>1</v>
          </cell>
          <cell r="H1108">
            <v>1421817.38</v>
          </cell>
          <cell r="I1108">
            <v>1421817.38</v>
          </cell>
        </row>
        <row r="1109">
          <cell r="C1109" t="str">
            <v>28.01.07.01</v>
          </cell>
          <cell r="D1109" t="str">
            <v>Drenagem definitiva</v>
          </cell>
          <cell r="E1109" t="str">
            <v xml:space="preserve">SER.CG </v>
          </cell>
          <cell r="F1109" t="str">
            <v>m2</v>
          </cell>
          <cell r="G1109">
            <v>3236</v>
          </cell>
          <cell r="H1109">
            <v>45</v>
          </cell>
          <cell r="I1109">
            <v>145620</v>
          </cell>
        </row>
        <row r="1110">
          <cell r="C1110" t="str">
            <v>406</v>
          </cell>
          <cell r="D1110" t="str">
            <v>Drenagem definitiva</v>
          </cell>
          <cell r="E1110" t="str">
            <v>MAT.</v>
          </cell>
          <cell r="F1110" t="str">
            <v>m2</v>
          </cell>
          <cell r="G1110">
            <v>1</v>
          </cell>
          <cell r="H1110">
            <v>45</v>
          </cell>
          <cell r="I1110">
            <v>45</v>
          </cell>
        </row>
        <row r="1111">
          <cell r="C1111" t="str">
            <v>28.01.03.01</v>
          </cell>
          <cell r="D1111" t="str">
            <v>Taxas- concessionária</v>
          </cell>
          <cell r="E1111" t="str">
            <v xml:space="preserve">SER.CG </v>
          </cell>
          <cell r="F1111" t="str">
            <v xml:space="preserve">Vb </v>
          </cell>
          <cell r="G1111">
            <v>1</v>
          </cell>
          <cell r="H1111">
            <v>5000</v>
          </cell>
          <cell r="I1111">
            <v>5000</v>
          </cell>
        </row>
        <row r="1112">
          <cell r="C1112" t="str">
            <v>406</v>
          </cell>
          <cell r="D1112" t="str">
            <v>Instalações hidráulicas</v>
          </cell>
          <cell r="E1112" t="str">
            <v>MAT.</v>
          </cell>
          <cell r="F1112" t="str">
            <v>un</v>
          </cell>
          <cell r="G1112">
            <v>1</v>
          </cell>
          <cell r="H1112">
            <v>5000</v>
          </cell>
          <cell r="I1112">
            <v>5000</v>
          </cell>
        </row>
        <row r="1113">
          <cell r="C1113" t="str">
            <v>28.01.03.02</v>
          </cell>
          <cell r="D1113" t="str">
            <v>Consultoria técnica para aprovação junta a concessionária</v>
          </cell>
          <cell r="E1113" t="str">
            <v xml:space="preserve">SER.CG </v>
          </cell>
          <cell r="F1113" t="str">
            <v xml:space="preserve">Vb </v>
          </cell>
          <cell r="G1113">
            <v>1</v>
          </cell>
          <cell r="H1113">
            <v>6000</v>
          </cell>
          <cell r="I1113">
            <v>6000</v>
          </cell>
        </row>
        <row r="1114">
          <cell r="C1114" t="str">
            <v>406</v>
          </cell>
          <cell r="D1114" t="str">
            <v>Instalações hidráulicas</v>
          </cell>
          <cell r="E1114" t="str">
            <v>MAT.</v>
          </cell>
          <cell r="F1114" t="str">
            <v>un</v>
          </cell>
          <cell r="G1114">
            <v>1</v>
          </cell>
          <cell r="H1114">
            <v>6000</v>
          </cell>
          <cell r="I1114">
            <v>6000</v>
          </cell>
        </row>
        <row r="1115">
          <cell r="C1115" t="str">
            <v>28.01.04.01</v>
          </cell>
          <cell r="D1115" t="str">
            <v>Bombas para  reservatório / incêndio / Esgoto / àguas pluviais</v>
          </cell>
          <cell r="E1115" t="str">
            <v xml:space="preserve">SER.CG </v>
          </cell>
          <cell r="F1115" t="str">
            <v>vb</v>
          </cell>
          <cell r="G1115">
            <v>1</v>
          </cell>
          <cell r="H1115">
            <v>18000</v>
          </cell>
          <cell r="I1115">
            <v>18000</v>
          </cell>
        </row>
        <row r="1116">
          <cell r="C1116" t="str">
            <v>2608</v>
          </cell>
          <cell r="D1116" t="str">
            <v>Bombas para  reservatório / incêndio / Esgoto / àguas pluviais</v>
          </cell>
          <cell r="E1116" t="str">
            <v>EMPRE</v>
          </cell>
          <cell r="F1116" t="str">
            <v>Vb</v>
          </cell>
          <cell r="G1116">
            <v>1</v>
          </cell>
          <cell r="H1116">
            <v>18000</v>
          </cell>
          <cell r="I1116">
            <v>18000</v>
          </cell>
        </row>
        <row r="1117">
          <cell r="C1117" t="str">
            <v>28.01.05.01</v>
          </cell>
          <cell r="D1117" t="str">
            <v>Reservatório d água em fibra com capacidade de 20.000l</v>
          </cell>
          <cell r="E1117" t="str">
            <v xml:space="preserve">SER.CG </v>
          </cell>
          <cell r="F1117" t="str">
            <v xml:space="preserve">un </v>
          </cell>
          <cell r="G1117">
            <v>6</v>
          </cell>
          <cell r="H1117">
            <v>3300</v>
          </cell>
          <cell r="I1117">
            <v>19800</v>
          </cell>
        </row>
        <row r="1118">
          <cell r="C1118" t="str">
            <v>2608</v>
          </cell>
          <cell r="D1118" t="str">
            <v>Reservatório d água em fibra com capacidade de 20.000l</v>
          </cell>
          <cell r="E1118" t="str">
            <v>EMPRE</v>
          </cell>
          <cell r="F1118" t="str">
            <v>un</v>
          </cell>
          <cell r="G1118">
            <v>1</v>
          </cell>
          <cell r="H1118">
            <v>3300</v>
          </cell>
          <cell r="I1118">
            <v>3300</v>
          </cell>
        </row>
        <row r="1119">
          <cell r="C1119" t="str">
            <v>28.02.01.02</v>
          </cell>
          <cell r="D1119" t="str">
            <v>Extintor de água Pressurizada</v>
          </cell>
          <cell r="E1119" t="str">
            <v xml:space="preserve">SER.CG </v>
          </cell>
          <cell r="F1119" t="str">
            <v xml:space="preserve">un </v>
          </cell>
          <cell r="G1119">
            <v>48</v>
          </cell>
          <cell r="H1119">
            <v>72</v>
          </cell>
          <cell r="I1119">
            <v>3456</v>
          </cell>
        </row>
        <row r="1120">
          <cell r="C1120" t="str">
            <v>561</v>
          </cell>
          <cell r="D1120" t="str">
            <v>Extintor Água pressurizada 10l</v>
          </cell>
          <cell r="E1120" t="str">
            <v>MAT.</v>
          </cell>
          <cell r="F1120" t="str">
            <v>un</v>
          </cell>
          <cell r="G1120">
            <v>1</v>
          </cell>
          <cell r="H1120">
            <v>72</v>
          </cell>
          <cell r="I1120">
            <v>72</v>
          </cell>
        </row>
        <row r="1121">
          <cell r="C1121" t="str">
            <v>28.02.01.03</v>
          </cell>
          <cell r="D1121" t="str">
            <v>Extintor CO2</v>
          </cell>
          <cell r="E1121" t="str">
            <v xml:space="preserve">SER.CG </v>
          </cell>
          <cell r="F1121" t="str">
            <v xml:space="preserve">un </v>
          </cell>
          <cell r="G1121">
            <v>5</v>
          </cell>
          <cell r="H1121">
            <v>478</v>
          </cell>
          <cell r="I1121">
            <v>2390</v>
          </cell>
        </row>
        <row r="1122">
          <cell r="C1122" t="str">
            <v>556</v>
          </cell>
          <cell r="D1122" t="str">
            <v>Extintor CO2 6kg</v>
          </cell>
          <cell r="E1122" t="str">
            <v>MAT.</v>
          </cell>
          <cell r="F1122" t="str">
            <v>un</v>
          </cell>
          <cell r="G1122">
            <v>1</v>
          </cell>
          <cell r="H1122">
            <v>478</v>
          </cell>
          <cell r="I1122">
            <v>478</v>
          </cell>
        </row>
        <row r="1123">
          <cell r="C1123" t="str">
            <v>28.02.01.04</v>
          </cell>
          <cell r="D1123" t="str">
            <v>Extintor pó químico</v>
          </cell>
          <cell r="E1123" t="str">
            <v xml:space="preserve">SER.CG </v>
          </cell>
          <cell r="F1123" t="str">
            <v xml:space="preserve">un </v>
          </cell>
          <cell r="G1123">
            <v>48</v>
          </cell>
          <cell r="H1123">
            <v>92</v>
          </cell>
          <cell r="I1123">
            <v>4416</v>
          </cell>
        </row>
        <row r="1124">
          <cell r="C1124" t="str">
            <v>560</v>
          </cell>
          <cell r="D1124" t="str">
            <v>Extintor PQS 4kg</v>
          </cell>
          <cell r="E1124" t="str">
            <v>MAT.</v>
          </cell>
          <cell r="F1124" t="str">
            <v>un</v>
          </cell>
          <cell r="G1124">
            <v>1</v>
          </cell>
          <cell r="H1124">
            <v>92</v>
          </cell>
          <cell r="I1124">
            <v>92</v>
          </cell>
        </row>
        <row r="1125">
          <cell r="C1125" t="str">
            <v>28.02.01.05</v>
          </cell>
          <cell r="D1125" t="str">
            <v>Hidrante</v>
          </cell>
          <cell r="E1125" t="str">
            <v xml:space="preserve">SER.CG </v>
          </cell>
          <cell r="F1125" t="str">
            <v xml:space="preserve">un </v>
          </cell>
          <cell r="G1125">
            <v>23</v>
          </cell>
          <cell r="H1125">
            <v>1594.2</v>
          </cell>
          <cell r="I1125">
            <v>36666.6</v>
          </cell>
        </row>
        <row r="1126">
          <cell r="C1126" t="str">
            <v>560</v>
          </cell>
          <cell r="D1126" t="str">
            <v>Hidrante</v>
          </cell>
          <cell r="E1126" t="str">
            <v>MAT.</v>
          </cell>
          <cell r="F1126" t="str">
            <v>un</v>
          </cell>
          <cell r="G1126">
            <v>1</v>
          </cell>
          <cell r="H1126">
            <v>1594.2</v>
          </cell>
          <cell r="I1126">
            <v>1594.2</v>
          </cell>
        </row>
        <row r="1127">
          <cell r="C1127" t="str">
            <v>28.03.01.01</v>
          </cell>
          <cell r="D1127" t="str">
            <v>Obras civis para instalações hidráulicas</v>
          </cell>
          <cell r="E1127" t="str">
            <v xml:space="preserve">SER.CG </v>
          </cell>
          <cell r="F1127" t="str">
            <v xml:space="preserve">Vb </v>
          </cell>
          <cell r="G1127">
            <v>1</v>
          </cell>
          <cell r="H1127">
            <v>12000</v>
          </cell>
          <cell r="I1127">
            <v>12000</v>
          </cell>
        </row>
        <row r="1128">
          <cell r="C1128" t="str">
            <v>4711</v>
          </cell>
          <cell r="D1128" t="str">
            <v>Obras civis para instalações hidráulicas</v>
          </cell>
          <cell r="E1128" t="str">
            <v>M.O.</v>
          </cell>
          <cell r="F1128" t="str">
            <v>Vb</v>
          </cell>
          <cell r="G1128">
            <v>1</v>
          </cell>
          <cell r="H1128">
            <v>12000</v>
          </cell>
          <cell r="I1128">
            <v>12000</v>
          </cell>
        </row>
        <row r="1129">
          <cell r="C1129" t="str">
            <v>28.03.01.04</v>
          </cell>
          <cell r="D1129" t="str">
            <v>Furo em concreto para instalações hidráulicas</v>
          </cell>
          <cell r="E1129" t="str">
            <v xml:space="preserve">SER.CG </v>
          </cell>
          <cell r="F1129" t="str">
            <v xml:space="preserve">Vb </v>
          </cell>
          <cell r="G1129">
            <v>1</v>
          </cell>
          <cell r="H1129">
            <v>15000</v>
          </cell>
          <cell r="I1129">
            <v>15000</v>
          </cell>
        </row>
        <row r="1130">
          <cell r="C1130" t="str">
            <v>348</v>
          </cell>
          <cell r="D1130" t="str">
            <v>MDO para furos no concreto</v>
          </cell>
          <cell r="E1130" t="str">
            <v>EMPRE</v>
          </cell>
          <cell r="F1130" t="str">
            <v>un</v>
          </cell>
          <cell r="G1130">
            <v>1</v>
          </cell>
          <cell r="H1130">
            <v>15000</v>
          </cell>
          <cell r="I1130">
            <v>15000</v>
          </cell>
        </row>
        <row r="1131">
          <cell r="C1131" t="str">
            <v>28.03.01.05</v>
          </cell>
          <cell r="D1131" t="str">
            <v>Canaleta para umidade das paredes diafragmas</v>
          </cell>
          <cell r="E1131" t="str">
            <v xml:space="preserve">SER.CG </v>
          </cell>
          <cell r="F1131" t="str">
            <v>m</v>
          </cell>
          <cell r="G1131">
            <v>1192</v>
          </cell>
          <cell r="H1131">
            <v>16</v>
          </cell>
          <cell r="I1131">
            <v>19072</v>
          </cell>
        </row>
        <row r="1132">
          <cell r="C1132" t="str">
            <v>348</v>
          </cell>
          <cell r="D1132" t="str">
            <v>Canaleta para umidade das paredes diafragmas</v>
          </cell>
          <cell r="E1132" t="str">
            <v>EMPRE</v>
          </cell>
          <cell r="F1132" t="str">
            <v>m</v>
          </cell>
          <cell r="G1132">
            <v>1</v>
          </cell>
          <cell r="H1132">
            <v>16</v>
          </cell>
          <cell r="I1132">
            <v>16</v>
          </cell>
        </row>
        <row r="1133">
          <cell r="C1133" t="str">
            <v>29.01.01.01</v>
          </cell>
          <cell r="D1133" t="str">
            <v>Bacia c/ caixa acoplada - cp 929, linha ravena deca, cor branca</v>
          </cell>
          <cell r="E1133" t="str">
            <v xml:space="preserve">SER.CG </v>
          </cell>
          <cell r="F1133" t="str">
            <v xml:space="preserve">un </v>
          </cell>
          <cell r="G1133">
            <v>149</v>
          </cell>
          <cell r="H1133">
            <v>214.63</v>
          </cell>
          <cell r="I1133">
            <v>31979.87</v>
          </cell>
        </row>
        <row r="1134">
          <cell r="C1134" t="str">
            <v>2146</v>
          </cell>
          <cell r="D1134" t="str">
            <v>Anel de vedação para bacia sanitária Decanel da Deca®</v>
          </cell>
          <cell r="E1134" t="str">
            <v>MAT.</v>
          </cell>
          <cell r="F1134" t="str">
            <v>un</v>
          </cell>
          <cell r="G1134">
            <v>1</v>
          </cell>
          <cell r="H1134">
            <v>11.89</v>
          </cell>
          <cell r="I1134">
            <v>11.89</v>
          </cell>
        </row>
        <row r="1135">
          <cell r="C1135" t="str">
            <v>2337</v>
          </cell>
          <cell r="D1135" t="str">
            <v>Conjunto de fixação para bacia</v>
          </cell>
          <cell r="E1135" t="str">
            <v>MAT.</v>
          </cell>
          <cell r="F1135" t="str">
            <v>un</v>
          </cell>
          <cell r="G1135">
            <v>2</v>
          </cell>
          <cell r="H1135">
            <v>4.8899999999999997</v>
          </cell>
          <cell r="I1135">
            <v>9.7799999999999994</v>
          </cell>
        </row>
        <row r="1136">
          <cell r="C1136" t="str">
            <v>2582</v>
          </cell>
          <cell r="D1136" t="str">
            <v>Fita de vedação tipo vedarosca</v>
          </cell>
          <cell r="E1136" t="str">
            <v>MAT.</v>
          </cell>
          <cell r="F1136" t="str">
            <v>un</v>
          </cell>
          <cell r="G1136">
            <v>0.02</v>
          </cell>
          <cell r="H1136">
            <v>7.6</v>
          </cell>
          <cell r="I1136">
            <v>0.15</v>
          </cell>
        </row>
        <row r="1137">
          <cell r="C1137" t="str">
            <v>4625</v>
          </cell>
          <cell r="D1137" t="str">
            <v>Adesivo para PVC da Akros® (tb 850g)</v>
          </cell>
          <cell r="E1137" t="str">
            <v>MAT.</v>
          </cell>
          <cell r="F1137" t="str">
            <v>un</v>
          </cell>
          <cell r="G1137">
            <v>1.176E-2</v>
          </cell>
          <cell r="H1137">
            <v>26</v>
          </cell>
          <cell r="I1137">
            <v>0.31</v>
          </cell>
        </row>
        <row r="1138">
          <cell r="C1138" t="str">
            <v>99.1021</v>
          </cell>
          <cell r="D1138" t="str">
            <v>Ligação flexível</v>
          </cell>
          <cell r="E1138" t="str">
            <v>MAT.</v>
          </cell>
          <cell r="F1138" t="str">
            <v>un</v>
          </cell>
          <cell r="G1138">
            <v>1</v>
          </cell>
          <cell r="H1138">
            <v>9.5</v>
          </cell>
          <cell r="I1138">
            <v>9.5</v>
          </cell>
        </row>
        <row r="1139">
          <cell r="C1139" t="str">
            <v>99.1867</v>
          </cell>
          <cell r="D1139" t="str">
            <v>Bacia c/ caixa acoplada - cp 929, linha ravena deca, cor branca</v>
          </cell>
          <cell r="E1139" t="str">
            <v>MAT.</v>
          </cell>
          <cell r="F1139" t="str">
            <v>un</v>
          </cell>
          <cell r="G1139">
            <v>1</v>
          </cell>
          <cell r="H1139">
            <v>183</v>
          </cell>
          <cell r="I1139">
            <v>183</v>
          </cell>
        </row>
        <row r="1140">
          <cell r="C1140" t="str">
            <v>29.01.01.02</v>
          </cell>
          <cell r="D1140" t="str">
            <v>Bacia c/ caixa acoplada mod. vogue pluscp 525 6l na cor gelo deca ou similar</v>
          </cell>
          <cell r="E1140" t="str">
            <v xml:space="preserve">SER.CG </v>
          </cell>
          <cell r="F1140" t="str">
            <v xml:space="preserve">un </v>
          </cell>
          <cell r="G1140">
            <v>108</v>
          </cell>
          <cell r="H1140">
            <v>296.63</v>
          </cell>
          <cell r="I1140">
            <v>32036.04</v>
          </cell>
        </row>
        <row r="1141">
          <cell r="C1141" t="str">
            <v>2146</v>
          </cell>
          <cell r="D1141" t="str">
            <v>Anel de vedação para bacia sanitária Decanel da Deca®</v>
          </cell>
          <cell r="E1141" t="str">
            <v>MAT.</v>
          </cell>
          <cell r="F1141" t="str">
            <v>un</v>
          </cell>
          <cell r="G1141">
            <v>1</v>
          </cell>
          <cell r="H1141">
            <v>11.89</v>
          </cell>
          <cell r="I1141">
            <v>11.89</v>
          </cell>
        </row>
        <row r="1142">
          <cell r="C1142" t="str">
            <v>2337</v>
          </cell>
          <cell r="D1142" t="str">
            <v>Conjunto de fixação para bacia</v>
          </cell>
          <cell r="E1142" t="str">
            <v>MAT.</v>
          </cell>
          <cell r="F1142" t="str">
            <v>un</v>
          </cell>
          <cell r="G1142">
            <v>2</v>
          </cell>
          <cell r="H1142">
            <v>4.8899999999999997</v>
          </cell>
          <cell r="I1142">
            <v>9.7799999999999994</v>
          </cell>
        </row>
        <row r="1143">
          <cell r="C1143" t="str">
            <v>2582</v>
          </cell>
          <cell r="D1143" t="str">
            <v>Fita de vedação tipo vedarosca</v>
          </cell>
          <cell r="E1143" t="str">
            <v>MAT.</v>
          </cell>
          <cell r="F1143" t="str">
            <v>un</v>
          </cell>
          <cell r="G1143">
            <v>0.02</v>
          </cell>
          <cell r="H1143">
            <v>7.6</v>
          </cell>
          <cell r="I1143">
            <v>0.15</v>
          </cell>
        </row>
        <row r="1144">
          <cell r="C1144" t="str">
            <v>4625</v>
          </cell>
          <cell r="D1144" t="str">
            <v>Adesivo para PVC da Akros® (tb 850g)</v>
          </cell>
          <cell r="E1144" t="str">
            <v>MAT.</v>
          </cell>
          <cell r="F1144" t="str">
            <v>un</v>
          </cell>
          <cell r="G1144">
            <v>1.176E-2</v>
          </cell>
          <cell r="H1144">
            <v>26</v>
          </cell>
          <cell r="I1144">
            <v>0.31</v>
          </cell>
        </row>
        <row r="1145">
          <cell r="C1145" t="str">
            <v>99.1020</v>
          </cell>
          <cell r="D1145" t="str">
            <v>Bacia sanitária, linha vogue plus CP 525 6L na cor gelo da Deca®</v>
          </cell>
          <cell r="E1145" t="str">
            <v>MAT.</v>
          </cell>
          <cell r="F1145" t="str">
            <v>un</v>
          </cell>
          <cell r="G1145">
            <v>1</v>
          </cell>
          <cell r="H1145">
            <v>265</v>
          </cell>
          <cell r="I1145">
            <v>265</v>
          </cell>
        </row>
        <row r="1146">
          <cell r="C1146" t="str">
            <v>99.1021</v>
          </cell>
          <cell r="D1146" t="str">
            <v>Ligação flexível</v>
          </cell>
          <cell r="E1146" t="str">
            <v>MAT.</v>
          </cell>
          <cell r="F1146" t="str">
            <v>un</v>
          </cell>
          <cell r="G1146">
            <v>1</v>
          </cell>
          <cell r="H1146">
            <v>9.5</v>
          </cell>
          <cell r="I1146">
            <v>9.5</v>
          </cell>
        </row>
        <row r="1147">
          <cell r="C1147" t="str">
            <v>29.01.01.03</v>
          </cell>
          <cell r="D1147" t="str">
            <v>Lavatorio c/ coluna deca , linha targa branco gelo</v>
          </cell>
          <cell r="E1147" t="str">
            <v xml:space="preserve">SER.CG </v>
          </cell>
          <cell r="F1147" t="str">
            <v xml:space="preserve">un </v>
          </cell>
          <cell r="G1147">
            <v>148</v>
          </cell>
          <cell r="H1147">
            <v>125.66999999999999</v>
          </cell>
          <cell r="I1147">
            <v>18599.16</v>
          </cell>
        </row>
        <row r="1148">
          <cell r="C1148" t="str">
            <v>4213</v>
          </cell>
          <cell r="D1148" t="str">
            <v>Conjunto de fixação de bacia</v>
          </cell>
          <cell r="E1148" t="str">
            <v>MAT.</v>
          </cell>
          <cell r="F1148" t="str">
            <v>un</v>
          </cell>
          <cell r="G1148">
            <v>1</v>
          </cell>
          <cell r="H1148">
            <v>4.8899999999999997</v>
          </cell>
          <cell r="I1148">
            <v>4.8899999999999997</v>
          </cell>
        </row>
        <row r="1149">
          <cell r="C1149" t="str">
            <v>587</v>
          </cell>
          <cell r="D1149" t="str">
            <v>Sifão metálico para lavatório Ø1/2 cromado (mod 1680 c1001) da Deca®</v>
          </cell>
          <cell r="E1149" t="str">
            <v>MAT.</v>
          </cell>
          <cell r="F1149" t="str">
            <v>un</v>
          </cell>
          <cell r="G1149">
            <v>1</v>
          </cell>
          <cell r="H1149">
            <v>34.409999999999997</v>
          </cell>
          <cell r="I1149">
            <v>34.409999999999997</v>
          </cell>
        </row>
        <row r="1150">
          <cell r="C1150" t="str">
            <v>99.1023</v>
          </cell>
          <cell r="D1150" t="str">
            <v>Válvula de escoamento para lavatório</v>
          </cell>
          <cell r="E1150" t="str">
            <v>MAT.</v>
          </cell>
          <cell r="F1150" t="str">
            <v>un</v>
          </cell>
          <cell r="G1150">
            <v>1</v>
          </cell>
          <cell r="H1150">
            <v>8.57</v>
          </cell>
          <cell r="I1150">
            <v>8.57</v>
          </cell>
        </row>
        <row r="1151">
          <cell r="C1151" t="str">
            <v>99.1374</v>
          </cell>
          <cell r="D1151" t="str">
            <v>Lavatorio c/ coluna deca , linha targa branco gelo</v>
          </cell>
          <cell r="E1151" t="str">
            <v>MAT.</v>
          </cell>
          <cell r="F1151" t="str">
            <v>un</v>
          </cell>
          <cell r="G1151">
            <v>1</v>
          </cell>
          <cell r="H1151">
            <v>77.8</v>
          </cell>
          <cell r="I1151">
            <v>77.8</v>
          </cell>
        </row>
        <row r="1152">
          <cell r="C1152" t="str">
            <v>29.01.01.04</v>
          </cell>
          <cell r="D1152" t="str">
            <v>Mictório de louça</v>
          </cell>
          <cell r="E1152" t="str">
            <v xml:space="preserve">SER.CG </v>
          </cell>
          <cell r="F1152" t="str">
            <v xml:space="preserve">un </v>
          </cell>
          <cell r="G1152">
            <v>38</v>
          </cell>
          <cell r="H1152">
            <v>476.83000000000004</v>
          </cell>
          <cell r="I1152">
            <v>18119.54</v>
          </cell>
        </row>
        <row r="1153">
          <cell r="C1153" t="str">
            <v>2582</v>
          </cell>
          <cell r="D1153" t="str">
            <v>Fita de vedação tipo vedarosca</v>
          </cell>
          <cell r="E1153" t="str">
            <v>MAT.</v>
          </cell>
          <cell r="F1153" t="str">
            <v>un</v>
          </cell>
          <cell r="G1153">
            <v>0.56000000000000005</v>
          </cell>
          <cell r="H1153">
            <v>7.6</v>
          </cell>
          <cell r="I1153">
            <v>4.26</v>
          </cell>
        </row>
        <row r="1154">
          <cell r="C1154" t="str">
            <v>2878</v>
          </cell>
          <cell r="D1154" t="str">
            <v>Mictório Deca® 711, cor branca</v>
          </cell>
          <cell r="E1154" t="str">
            <v>MAT.</v>
          </cell>
          <cell r="F1154" t="str">
            <v>un</v>
          </cell>
          <cell r="G1154">
            <v>1</v>
          </cell>
          <cell r="H1154">
            <v>115</v>
          </cell>
          <cell r="I1154">
            <v>115</v>
          </cell>
        </row>
        <row r="1155">
          <cell r="C1155" t="str">
            <v>3483</v>
          </cell>
          <cell r="D1155" t="str">
            <v>Sifão metálico para mictório (mod 1681) da Deca®</v>
          </cell>
          <cell r="E1155" t="str">
            <v>MAT.</v>
          </cell>
          <cell r="F1155" t="str">
            <v>un</v>
          </cell>
          <cell r="G1155">
            <v>1</v>
          </cell>
          <cell r="H1155">
            <v>144.4</v>
          </cell>
          <cell r="I1155">
            <v>144.4</v>
          </cell>
        </row>
        <row r="1156">
          <cell r="C1156" t="str">
            <v>99.2086</v>
          </cell>
          <cell r="D1156" t="str">
            <v>Válvula de descarga para mictório</v>
          </cell>
          <cell r="E1156" t="str">
            <v>MAT.</v>
          </cell>
          <cell r="F1156" t="str">
            <v>un</v>
          </cell>
          <cell r="G1156">
            <v>1</v>
          </cell>
          <cell r="H1156">
            <v>183.2</v>
          </cell>
          <cell r="I1156">
            <v>183.2</v>
          </cell>
        </row>
        <row r="1157">
          <cell r="C1157" t="str">
            <v>99.2087</v>
          </cell>
          <cell r="D1157" t="str">
            <v>Conjunto para fixação de mictório</v>
          </cell>
          <cell r="E1157" t="str">
            <v>MAT.</v>
          </cell>
          <cell r="F1157" t="str">
            <v>un</v>
          </cell>
          <cell r="G1157">
            <v>1</v>
          </cell>
          <cell r="H1157">
            <v>29.97</v>
          </cell>
          <cell r="I1157">
            <v>29.97</v>
          </cell>
        </row>
        <row r="1158">
          <cell r="C1158" t="str">
            <v>29.01.01.05</v>
          </cell>
          <cell r="D1158" t="str">
            <v>Cuba de sobrepor L71 da deca</v>
          </cell>
          <cell r="E1158" t="str">
            <v xml:space="preserve">SER.CG </v>
          </cell>
          <cell r="F1158" t="str">
            <v xml:space="preserve">un </v>
          </cell>
          <cell r="G1158">
            <v>159</v>
          </cell>
          <cell r="H1158">
            <v>286.87</v>
          </cell>
          <cell r="I1158">
            <v>45612.33</v>
          </cell>
        </row>
        <row r="1159">
          <cell r="C1159" t="str">
            <v>587</v>
          </cell>
          <cell r="D1159" t="str">
            <v>Sifão metálico para lavatório Ø1/2 cromado (mod 1680 c1001) da Deca®</v>
          </cell>
          <cell r="E1159" t="str">
            <v>MAT.</v>
          </cell>
          <cell r="F1159" t="str">
            <v>un</v>
          </cell>
          <cell r="G1159">
            <v>1</v>
          </cell>
          <cell r="H1159">
            <v>34.409999999999997</v>
          </cell>
          <cell r="I1159">
            <v>34.409999999999997</v>
          </cell>
        </row>
        <row r="1160">
          <cell r="C1160" t="str">
            <v>99.1023</v>
          </cell>
          <cell r="D1160" t="str">
            <v>Válvula de escoamento para lavatório</v>
          </cell>
          <cell r="E1160" t="str">
            <v>MAT.</v>
          </cell>
          <cell r="F1160" t="str">
            <v>un</v>
          </cell>
          <cell r="G1160">
            <v>1</v>
          </cell>
          <cell r="H1160">
            <v>8.57</v>
          </cell>
          <cell r="I1160">
            <v>8.57</v>
          </cell>
        </row>
        <row r="1161">
          <cell r="C1161" t="str">
            <v>99.2533</v>
          </cell>
          <cell r="D1161" t="str">
            <v>Cuba de sobrepor L71 da deca</v>
          </cell>
          <cell r="E1161" t="str">
            <v>MAT.</v>
          </cell>
          <cell r="F1161" t="str">
            <v>un</v>
          </cell>
          <cell r="G1161">
            <v>1</v>
          </cell>
          <cell r="H1161">
            <v>243.89</v>
          </cell>
          <cell r="I1161">
            <v>243.89</v>
          </cell>
        </row>
        <row r="1162">
          <cell r="C1162" t="str">
            <v>29.01.02.01</v>
          </cell>
          <cell r="D1162" t="str">
            <v>Torneira p/ lavatorio bica alta linha itapemabella chrome cod 00201360 docol ou similar</v>
          </cell>
          <cell r="E1162" t="str">
            <v xml:space="preserve">SER.CG </v>
          </cell>
          <cell r="F1162" t="str">
            <v xml:space="preserve">un </v>
          </cell>
          <cell r="G1162">
            <v>159</v>
          </cell>
          <cell r="H1162">
            <v>84.65</v>
          </cell>
          <cell r="I1162">
            <v>13459.35</v>
          </cell>
        </row>
        <row r="1163">
          <cell r="C1163" t="str">
            <v>2582</v>
          </cell>
          <cell r="D1163" t="str">
            <v>Fita de vedação tipo vedarosca</v>
          </cell>
          <cell r="E1163" t="str">
            <v>MAT.</v>
          </cell>
          <cell r="F1163" t="str">
            <v>un</v>
          </cell>
          <cell r="G1163">
            <v>0.02</v>
          </cell>
          <cell r="H1163">
            <v>7.6</v>
          </cell>
          <cell r="I1163">
            <v>0.15</v>
          </cell>
        </row>
        <row r="1164">
          <cell r="C1164" t="str">
            <v>99.1021</v>
          </cell>
          <cell r="D1164" t="str">
            <v>Ligação flexível</v>
          </cell>
          <cell r="E1164" t="str">
            <v>MAT.</v>
          </cell>
          <cell r="F1164" t="str">
            <v>un</v>
          </cell>
          <cell r="G1164">
            <v>1</v>
          </cell>
          <cell r="H1164">
            <v>9.5</v>
          </cell>
          <cell r="I1164">
            <v>9.5</v>
          </cell>
        </row>
        <row r="1165">
          <cell r="C1165" t="str">
            <v>99.1378</v>
          </cell>
          <cell r="D1165" t="str">
            <v>torneira docol p/ lavatorio linha itapema bella ou similar das marcas deca , fabrimar , esteves ou oriente</v>
          </cell>
          <cell r="E1165" t="str">
            <v>MAT.</v>
          </cell>
          <cell r="F1165" t="str">
            <v>un</v>
          </cell>
          <cell r="G1165">
            <v>1</v>
          </cell>
          <cell r="H1165">
            <v>75</v>
          </cell>
          <cell r="I1165">
            <v>75</v>
          </cell>
        </row>
        <row r="1166">
          <cell r="C1166" t="str">
            <v>29.01.02.02</v>
          </cell>
          <cell r="D1166" t="str">
            <v>Torneira para pia de coz. mesa bica movel mod. delicata chrome cod 00111506, ou similar das marca deca</v>
          </cell>
          <cell r="E1166" t="str">
            <v xml:space="preserve">SER.CG </v>
          </cell>
          <cell r="F1166" t="str">
            <v xml:space="preserve">un </v>
          </cell>
          <cell r="G1166">
            <v>1</v>
          </cell>
          <cell r="H1166">
            <v>91.65</v>
          </cell>
          <cell r="I1166">
            <v>91.65</v>
          </cell>
        </row>
        <row r="1167">
          <cell r="C1167" t="str">
            <v>2582</v>
          </cell>
          <cell r="D1167" t="str">
            <v>Fita de vedação tipo vedarosca</v>
          </cell>
          <cell r="E1167" t="str">
            <v>MAT.</v>
          </cell>
          <cell r="F1167" t="str">
            <v>un</v>
          </cell>
          <cell r="G1167">
            <v>0.02</v>
          </cell>
          <cell r="H1167">
            <v>7.6</v>
          </cell>
          <cell r="I1167">
            <v>0.15</v>
          </cell>
        </row>
        <row r="1168">
          <cell r="C1168" t="str">
            <v>99.1021</v>
          </cell>
          <cell r="D1168" t="str">
            <v>Ligação flexível</v>
          </cell>
          <cell r="E1168" t="str">
            <v>MAT.</v>
          </cell>
          <cell r="F1168" t="str">
            <v>un</v>
          </cell>
          <cell r="G1168">
            <v>1</v>
          </cell>
          <cell r="H1168">
            <v>9.5</v>
          </cell>
          <cell r="I1168">
            <v>9.5</v>
          </cell>
        </row>
        <row r="1169">
          <cell r="C1169" t="str">
            <v>99.1380</v>
          </cell>
          <cell r="D1169" t="str">
            <v>Torneira para pia de coz. mesa bica movel mod. delicata chrome cod 00111506, ou similar das marca deca</v>
          </cell>
          <cell r="E1169" t="str">
            <v>MAT.</v>
          </cell>
          <cell r="F1169" t="str">
            <v>un</v>
          </cell>
          <cell r="G1169">
            <v>1</v>
          </cell>
          <cell r="H1169">
            <v>82</v>
          </cell>
          <cell r="I1169">
            <v>82</v>
          </cell>
        </row>
        <row r="1170">
          <cell r="C1170" t="str">
            <v>29.01.02.03</v>
          </cell>
          <cell r="D1170" t="str">
            <v>Torneira docol p/ lavatorio linha itapema bella ou similar das marcas deca , fabrimar , esteves ou oriente</v>
          </cell>
          <cell r="E1170" t="str">
            <v xml:space="preserve">SER.CG </v>
          </cell>
          <cell r="F1170" t="str">
            <v xml:space="preserve">un </v>
          </cell>
          <cell r="G1170">
            <v>148</v>
          </cell>
          <cell r="H1170">
            <v>67.150000000000006</v>
          </cell>
          <cell r="I1170">
            <v>9938.2000000000007</v>
          </cell>
        </row>
        <row r="1171">
          <cell r="C1171" t="str">
            <v>2582</v>
          </cell>
          <cell r="D1171" t="str">
            <v>Fita de vedação tipo vedarosca</v>
          </cell>
          <cell r="E1171" t="str">
            <v>MAT.</v>
          </cell>
          <cell r="F1171" t="str">
            <v>un</v>
          </cell>
          <cell r="G1171">
            <v>0.02</v>
          </cell>
          <cell r="H1171">
            <v>7.6</v>
          </cell>
          <cell r="I1171">
            <v>0.15</v>
          </cell>
        </row>
        <row r="1172">
          <cell r="C1172" t="str">
            <v>99.1021</v>
          </cell>
          <cell r="D1172" t="str">
            <v>Ligação flexível</v>
          </cell>
          <cell r="E1172" t="str">
            <v>MAT.</v>
          </cell>
          <cell r="F1172" t="str">
            <v>un</v>
          </cell>
          <cell r="G1172">
            <v>1</v>
          </cell>
          <cell r="H1172">
            <v>9.5</v>
          </cell>
          <cell r="I1172">
            <v>9.5</v>
          </cell>
        </row>
        <row r="1173">
          <cell r="C1173" t="str">
            <v>99.1378</v>
          </cell>
          <cell r="D1173" t="str">
            <v>torneira docol p/ lavatorio linha itapema bella ou similar das marcas deca , fabrimar , esteves ou oriente</v>
          </cell>
          <cell r="E1173" t="str">
            <v>MAT.</v>
          </cell>
          <cell r="F1173" t="str">
            <v>un</v>
          </cell>
          <cell r="G1173">
            <v>1</v>
          </cell>
          <cell r="H1173">
            <v>57.5</v>
          </cell>
          <cell r="I1173">
            <v>57.5</v>
          </cell>
        </row>
        <row r="1174">
          <cell r="C1174" t="str">
            <v>29.01.02.04</v>
          </cell>
          <cell r="D1174" t="str">
            <v>Torneira de jardim docol</v>
          </cell>
          <cell r="E1174" t="str">
            <v xml:space="preserve">SER.CG </v>
          </cell>
          <cell r="F1174" t="str">
            <v xml:space="preserve">un </v>
          </cell>
          <cell r="G1174">
            <v>6</v>
          </cell>
          <cell r="H1174">
            <v>26.65</v>
          </cell>
          <cell r="I1174">
            <v>159.9</v>
          </cell>
        </row>
        <row r="1175">
          <cell r="C1175" t="str">
            <v>2582</v>
          </cell>
          <cell r="D1175" t="str">
            <v>Fita de vedação tipo vedarosca</v>
          </cell>
          <cell r="E1175" t="str">
            <v>MAT.</v>
          </cell>
          <cell r="F1175" t="str">
            <v>un</v>
          </cell>
          <cell r="G1175">
            <v>0.02</v>
          </cell>
          <cell r="H1175">
            <v>7.6</v>
          </cell>
          <cell r="I1175">
            <v>0.15</v>
          </cell>
        </row>
        <row r="1176">
          <cell r="C1176" t="str">
            <v>99.1021</v>
          </cell>
          <cell r="D1176" t="str">
            <v>Ligação flexível</v>
          </cell>
          <cell r="E1176" t="str">
            <v>MAT.</v>
          </cell>
          <cell r="F1176" t="str">
            <v>un</v>
          </cell>
          <cell r="G1176">
            <v>1</v>
          </cell>
          <cell r="H1176">
            <v>9.5</v>
          </cell>
          <cell r="I1176">
            <v>9.5</v>
          </cell>
        </row>
        <row r="1177">
          <cell r="C1177" t="str">
            <v>99.2534</v>
          </cell>
          <cell r="D1177" t="str">
            <v>Torneira de jardim docol</v>
          </cell>
          <cell r="E1177" t="str">
            <v>MAT.</v>
          </cell>
          <cell r="F1177" t="str">
            <v>un</v>
          </cell>
          <cell r="G1177">
            <v>1</v>
          </cell>
          <cell r="H1177">
            <v>17</v>
          </cell>
          <cell r="I1177">
            <v>17</v>
          </cell>
        </row>
        <row r="1178">
          <cell r="C1178" t="str">
            <v>29.01.04.01</v>
          </cell>
          <cell r="D1178" t="str">
            <v>Acabamento p/ registro linha itapema bella chrome da Docol®</v>
          </cell>
          <cell r="E1178" t="str">
            <v xml:space="preserve">SER.CG </v>
          </cell>
          <cell r="F1178" t="str">
            <v xml:space="preserve">un </v>
          </cell>
          <cell r="G1178">
            <v>205</v>
          </cell>
          <cell r="H1178">
            <v>21.259999999999998</v>
          </cell>
          <cell r="I1178">
            <v>4358.3</v>
          </cell>
        </row>
        <row r="1179">
          <cell r="C1179" t="str">
            <v>2582</v>
          </cell>
          <cell r="D1179" t="str">
            <v>Fita de vedação tipo vedarosca</v>
          </cell>
          <cell r="E1179" t="str">
            <v>MAT.</v>
          </cell>
          <cell r="F1179" t="str">
            <v>un</v>
          </cell>
          <cell r="G1179">
            <v>0.56000000000000005</v>
          </cell>
          <cell r="H1179">
            <v>7.6</v>
          </cell>
          <cell r="I1179">
            <v>4.26</v>
          </cell>
        </row>
        <row r="1180">
          <cell r="C1180" t="str">
            <v>99.1021</v>
          </cell>
          <cell r="D1180" t="str">
            <v>Acabamento p/ registro linha itapema bella chrome da Docol®</v>
          </cell>
          <cell r="E1180" t="str">
            <v>MAT.</v>
          </cell>
          <cell r="F1180" t="str">
            <v>un</v>
          </cell>
          <cell r="G1180">
            <v>1</v>
          </cell>
          <cell r="H1180">
            <v>17</v>
          </cell>
          <cell r="I1180">
            <v>17</v>
          </cell>
        </row>
        <row r="1181">
          <cell r="C1181" t="str">
            <v>29.01.04.02</v>
          </cell>
          <cell r="D1181" t="str">
            <v>Chuveiros (vest. Funcionários)</v>
          </cell>
          <cell r="E1181" t="str">
            <v xml:space="preserve">SER.CG </v>
          </cell>
          <cell r="F1181" t="str">
            <v xml:space="preserve">un </v>
          </cell>
          <cell r="G1181">
            <v>2</v>
          </cell>
          <cell r="H1181">
            <v>140</v>
          </cell>
          <cell r="I1181">
            <v>280</v>
          </cell>
        </row>
        <row r="1182">
          <cell r="C1182" t="str">
            <v>2582</v>
          </cell>
          <cell r="D1182" t="str">
            <v>Chuveiros (vest. Funcionários)</v>
          </cell>
          <cell r="E1182" t="str">
            <v>MAT.</v>
          </cell>
          <cell r="F1182" t="str">
            <v>un</v>
          </cell>
          <cell r="G1182">
            <v>1</v>
          </cell>
          <cell r="H1182">
            <v>140</v>
          </cell>
          <cell r="I1182">
            <v>140</v>
          </cell>
        </row>
        <row r="1183">
          <cell r="C1183" t="str">
            <v>29.01.05.01</v>
          </cell>
          <cell r="D1183" t="str">
            <v>Barra de apoio para portadores de necessidades especiais c=0,60m</v>
          </cell>
          <cell r="E1183" t="str">
            <v xml:space="preserve">SER.CG </v>
          </cell>
          <cell r="F1183" t="str">
            <v xml:space="preserve">un </v>
          </cell>
          <cell r="G1183">
            <v>2</v>
          </cell>
          <cell r="H1183">
            <v>337.4</v>
          </cell>
          <cell r="I1183">
            <v>674.8</v>
          </cell>
        </row>
        <row r="1184">
          <cell r="C1184" t="str">
            <v>2893</v>
          </cell>
          <cell r="D1184" t="str">
            <v>Barra de apoio para deficiente físico c=60cm</v>
          </cell>
          <cell r="E1184" t="str">
            <v>MAT.</v>
          </cell>
          <cell r="F1184" t="str">
            <v>un</v>
          </cell>
          <cell r="G1184">
            <v>1</v>
          </cell>
          <cell r="H1184">
            <v>302.39999999999998</v>
          </cell>
          <cell r="I1184">
            <v>302.39999999999998</v>
          </cell>
        </row>
        <row r="1185">
          <cell r="C1185" t="str">
            <v>2894</v>
          </cell>
          <cell r="D1185" t="str">
            <v>MDO para colocação de barra para deficiente</v>
          </cell>
          <cell r="E1185" t="str">
            <v>EMPRE</v>
          </cell>
          <cell r="F1185" t="str">
            <v>un</v>
          </cell>
          <cell r="G1185">
            <v>1</v>
          </cell>
          <cell r="H1185">
            <v>35</v>
          </cell>
          <cell r="I1185">
            <v>35</v>
          </cell>
        </row>
        <row r="1186">
          <cell r="C1186" t="str">
            <v>29.01.03.01</v>
          </cell>
          <cell r="D1186" t="str">
            <v>Cuba retangular em aço inox mod 94322 da marca tramontina ou similar</v>
          </cell>
          <cell r="E1186" t="str">
            <v xml:space="preserve">SER.CG </v>
          </cell>
          <cell r="F1186" t="str">
            <v xml:space="preserve">un </v>
          </cell>
          <cell r="G1186">
            <v>1</v>
          </cell>
          <cell r="H1186">
            <v>229.95</v>
          </cell>
          <cell r="I1186">
            <v>229.95</v>
          </cell>
        </row>
        <row r="1187">
          <cell r="C1187" t="str">
            <v>2582</v>
          </cell>
          <cell r="D1187" t="str">
            <v>Fita de vedação tipo vedarosca</v>
          </cell>
          <cell r="E1187" t="str">
            <v>MAT.</v>
          </cell>
          <cell r="F1187" t="str">
            <v>un</v>
          </cell>
          <cell r="G1187">
            <v>0.22</v>
          </cell>
          <cell r="H1187">
            <v>7.6</v>
          </cell>
          <cell r="I1187">
            <v>1.67</v>
          </cell>
        </row>
        <row r="1188">
          <cell r="C1188" t="str">
            <v>3942</v>
          </cell>
          <cell r="D1188" t="str">
            <v>Sifão metálico para pia de cozinha cromado da Esteves®</v>
          </cell>
          <cell r="E1188" t="str">
            <v>MAT.</v>
          </cell>
          <cell r="F1188" t="str">
            <v>un</v>
          </cell>
          <cell r="G1188">
            <v>1</v>
          </cell>
          <cell r="H1188">
            <v>42.18</v>
          </cell>
          <cell r="I1188">
            <v>42.18</v>
          </cell>
        </row>
        <row r="1189">
          <cell r="C1189" t="str">
            <v>4640</v>
          </cell>
          <cell r="D1189" t="str">
            <v>Válvula americana de 3.1/2"</v>
          </cell>
          <cell r="E1189" t="str">
            <v>MAT.</v>
          </cell>
          <cell r="F1189" t="str">
            <v>un</v>
          </cell>
          <cell r="G1189">
            <v>1</v>
          </cell>
          <cell r="H1189">
            <v>12.5</v>
          </cell>
          <cell r="I1189">
            <v>12.5</v>
          </cell>
        </row>
        <row r="1190">
          <cell r="C1190" t="str">
            <v>99.1287</v>
          </cell>
          <cell r="D1190" t="str">
            <v>Cuba de aço inox retangular 47x30cm da Tramontina®</v>
          </cell>
          <cell r="E1190" t="str">
            <v>MAT.</v>
          </cell>
          <cell r="F1190" t="str">
            <v>un</v>
          </cell>
          <cell r="G1190">
            <v>1</v>
          </cell>
          <cell r="H1190">
            <v>173.6</v>
          </cell>
          <cell r="I1190">
            <v>173.6</v>
          </cell>
        </row>
        <row r="1191">
          <cell r="C1191" t="str">
            <v>29.02.01.01</v>
          </cell>
          <cell r="D1191" t="str">
            <v>Bancada de granito preto são gabriel em l de (1,73+3,33)m x 0,60m com espaço para 5 cubas de embutir, frontão de 6,23m h=10cm, saia de 4,46m h=10cm (san. masc. - 2º ao 12º pavtos.13º e 14º pavto.)</v>
          </cell>
          <cell r="E1191" t="str">
            <v xml:space="preserve">SER.CG </v>
          </cell>
          <cell r="F1191" t="str">
            <v xml:space="preserve">un </v>
          </cell>
          <cell r="G1191">
            <v>13</v>
          </cell>
          <cell r="H1191">
            <v>1401.82</v>
          </cell>
          <cell r="I1191">
            <v>18223.66</v>
          </cell>
        </row>
        <row r="1192">
          <cell r="C1192" t="str">
            <v>4313</v>
          </cell>
          <cell r="D1192" t="str">
            <v>Argamassa colante ferma marmore granito interna da Quartzolit® (sc 20Kg)</v>
          </cell>
          <cell r="E1192" t="str">
            <v>MAT.</v>
          </cell>
          <cell r="F1192" t="str">
            <v>sc</v>
          </cell>
          <cell r="G1192">
            <v>0.38940000000000002</v>
          </cell>
          <cell r="H1192">
            <v>17</v>
          </cell>
          <cell r="I1192">
            <v>6.62</v>
          </cell>
        </row>
        <row r="1193">
          <cell r="C1193" t="str">
            <v>99.1732</v>
          </cell>
          <cell r="D1193" t="str">
            <v>Grapas para fixação de bancadas</v>
          </cell>
          <cell r="E1193" t="str">
            <v>MAT.</v>
          </cell>
          <cell r="F1193" t="str">
            <v>un</v>
          </cell>
          <cell r="G1193">
            <v>2</v>
          </cell>
          <cell r="H1193">
            <v>15</v>
          </cell>
          <cell r="I1193">
            <v>30</v>
          </cell>
        </row>
        <row r="1194">
          <cell r="C1194" t="str">
            <v>99.2535</v>
          </cell>
          <cell r="D1194" t="str">
            <v>Bancada de granito preto são gabriel em l de (1,73+3,33)m x 0,60m com espaço para 5 cubas de embutir, frontão de 6,23m h=10cm, saia de 4,46m h=10cm (san. masc. - 2º ao 12º pavtos.)</v>
          </cell>
          <cell r="E1194" t="str">
            <v>MAT.</v>
          </cell>
          <cell r="F1194" t="str">
            <v>un</v>
          </cell>
          <cell r="G1194">
            <v>1</v>
          </cell>
          <cell r="H1194">
            <v>1365.2</v>
          </cell>
          <cell r="I1194">
            <v>1365.2</v>
          </cell>
        </row>
        <row r="1195">
          <cell r="C1195" t="str">
            <v>29.02.01.02</v>
          </cell>
          <cell r="D1195" t="str">
            <v>Bancada de granito preto são gabriel em l de (1,90+2,33)m x 0,60m com espaço para 4 cubas de embutir, frontão de 6,00m h=10cm de altura, saia de 3,63m h=10cm (san. fem. - 2º ao 12º pavtos., 13º e 14º pavtos.)</v>
          </cell>
          <cell r="E1195" t="str">
            <v xml:space="preserve">SER.CG </v>
          </cell>
          <cell r="F1195" t="str">
            <v xml:space="preserve">un </v>
          </cell>
          <cell r="G1195">
            <v>13</v>
          </cell>
          <cell r="H1195">
            <v>1201.73</v>
          </cell>
          <cell r="I1195">
            <v>15622.49</v>
          </cell>
        </row>
        <row r="1196">
          <cell r="C1196" t="str">
            <v>4313</v>
          </cell>
          <cell r="D1196" t="str">
            <v>Argamassa colante ferma marmore granito interna da Quartzolit® (sc 20Kg)</v>
          </cell>
          <cell r="E1196" t="str">
            <v>MAT.</v>
          </cell>
          <cell r="F1196" t="str">
            <v>sc</v>
          </cell>
          <cell r="G1196">
            <v>0.375</v>
          </cell>
          <cell r="H1196">
            <v>17</v>
          </cell>
          <cell r="I1196">
            <v>6.38</v>
          </cell>
        </row>
        <row r="1197">
          <cell r="C1197" t="str">
            <v>99.1732</v>
          </cell>
          <cell r="D1197" t="str">
            <v>Grapas para fixação de bancadas</v>
          </cell>
          <cell r="E1197" t="str">
            <v>MAT.</v>
          </cell>
          <cell r="F1197" t="str">
            <v>un</v>
          </cell>
          <cell r="G1197">
            <v>2</v>
          </cell>
          <cell r="H1197">
            <v>15</v>
          </cell>
          <cell r="I1197">
            <v>30</v>
          </cell>
        </row>
        <row r="1198">
          <cell r="C1198" t="str">
            <v>99.2536</v>
          </cell>
          <cell r="D1198" t="str">
            <v>Bancada de granito preto são gabriel em l de (1,90+2,33)m x 0,60m com espaço para 4 cubas de embutir, frontão de 6,00m h=10cm de altura, saia de 3,63m h=10cm (san. fem. - 2º ao 12º pavtos., 13º e 14º pavtos.)</v>
          </cell>
          <cell r="E1198" t="str">
            <v>MAT.</v>
          </cell>
          <cell r="F1198" t="str">
            <v>un</v>
          </cell>
          <cell r="G1198">
            <v>1</v>
          </cell>
          <cell r="H1198">
            <v>1165.3499999999999</v>
          </cell>
          <cell r="I1198">
            <v>1165.3499999999999</v>
          </cell>
        </row>
        <row r="1199">
          <cell r="C1199" t="str">
            <v>29.02.01.03</v>
          </cell>
          <cell r="D1199" t="str">
            <v>Bancada de granito preto são gabriel em l de (1,74+2,75)m x 0,60m com espaço para 5 cubas de embutir, frontão de 6,91m h=10cm, saia de 4,46m h=10cm (san. masc. - 15º pavto.)</v>
          </cell>
          <cell r="E1199" t="str">
            <v xml:space="preserve">SER.CG </v>
          </cell>
          <cell r="F1199" t="str">
            <v xml:space="preserve">un </v>
          </cell>
          <cell r="G1199">
            <v>1</v>
          </cell>
          <cell r="H1199">
            <v>1314.34</v>
          </cell>
          <cell r="I1199">
            <v>1314.34</v>
          </cell>
        </row>
        <row r="1200">
          <cell r="C1200" t="str">
            <v>4313</v>
          </cell>
          <cell r="D1200" t="str">
            <v>Argamassa colante ferma marmore granito interna da Quartzolit® (sc 20Kg)</v>
          </cell>
          <cell r="E1200" t="str">
            <v>MAT.</v>
          </cell>
          <cell r="F1200" t="str">
            <v>sc</v>
          </cell>
          <cell r="G1200">
            <v>0.43190000000000001</v>
          </cell>
          <cell r="H1200">
            <v>17</v>
          </cell>
          <cell r="I1200">
            <v>7.34</v>
          </cell>
        </row>
        <row r="1201">
          <cell r="C1201" t="str">
            <v>99.1732</v>
          </cell>
          <cell r="D1201" t="str">
            <v>Grapas para fixação de bancadas</v>
          </cell>
          <cell r="E1201" t="str">
            <v>MAT.</v>
          </cell>
          <cell r="F1201" t="str">
            <v>un</v>
          </cell>
          <cell r="G1201">
            <v>2</v>
          </cell>
          <cell r="H1201">
            <v>15</v>
          </cell>
          <cell r="I1201">
            <v>30</v>
          </cell>
        </row>
        <row r="1202">
          <cell r="C1202" t="str">
            <v>99.2537</v>
          </cell>
          <cell r="D1202" t="str">
            <v>Bancada de granito preto são gabriel em l de (1,74+2,75)m x 0,60m com espaço para 5 cubas de embutir, frontão de 6,91m h=10cm, saia de 4,46m h=10cm (san. masc. - 15º pavto.)</v>
          </cell>
          <cell r="E1202" t="str">
            <v>MAT.</v>
          </cell>
          <cell r="F1202" t="str">
            <v>un</v>
          </cell>
          <cell r="G1202">
            <v>1</v>
          </cell>
          <cell r="H1202">
            <v>1277</v>
          </cell>
          <cell r="I1202">
            <v>1277</v>
          </cell>
        </row>
        <row r="1203">
          <cell r="C1203" t="str">
            <v>29.02.01.04</v>
          </cell>
          <cell r="D1203" t="str">
            <v>Bancada de granito preto são gabriel em l de (1,92+2,35)m x 0,60m com espaço para 4 cubas de embutir, frontão de 6,08m h=10cm, saia de 3,63m h=10cm (san. fem. - 15º pavtos.)</v>
          </cell>
          <cell r="E1203" t="str">
            <v xml:space="preserve">SER.CG </v>
          </cell>
          <cell r="F1203" t="str">
            <v xml:space="preserve">un </v>
          </cell>
          <cell r="G1203">
            <v>1</v>
          </cell>
          <cell r="H1203">
            <v>1363.46</v>
          </cell>
          <cell r="I1203">
            <v>1363.46</v>
          </cell>
        </row>
        <row r="1204">
          <cell r="C1204" t="str">
            <v>4313</v>
          </cell>
          <cell r="D1204" t="str">
            <v>Argamassa colante ferma marmore granito interna da Quartzolit® (sc 20Kg)</v>
          </cell>
          <cell r="E1204" t="str">
            <v>MAT.</v>
          </cell>
          <cell r="F1204" t="str">
            <v>sc</v>
          </cell>
          <cell r="G1204">
            <v>0.38</v>
          </cell>
          <cell r="H1204">
            <v>17</v>
          </cell>
          <cell r="I1204">
            <v>6.46</v>
          </cell>
        </row>
        <row r="1205">
          <cell r="C1205" t="str">
            <v>99.1732</v>
          </cell>
          <cell r="D1205" t="str">
            <v>Grapas para fixação de bancadas</v>
          </cell>
          <cell r="E1205" t="str">
            <v>MAT.</v>
          </cell>
          <cell r="F1205" t="str">
            <v>un</v>
          </cell>
          <cell r="G1205">
            <v>2</v>
          </cell>
          <cell r="H1205">
            <v>15</v>
          </cell>
          <cell r="I1205">
            <v>30</v>
          </cell>
        </row>
        <row r="1206">
          <cell r="C1206" t="str">
            <v>99.2538</v>
          </cell>
          <cell r="D1206" t="str">
            <v>bancada de granito preto são gabriel em l de (1,92+2,35)m x 0,60m com espaço para 4 cubas de embutir, frontão de 6,08m h=10cm, saia de 3,63m h=10cm (san. fem. - 15º pavtos.)</v>
          </cell>
          <cell r="E1206" t="str">
            <v>MAT.</v>
          </cell>
          <cell r="F1206" t="str">
            <v>un</v>
          </cell>
          <cell r="G1206">
            <v>1</v>
          </cell>
          <cell r="H1206">
            <v>1327</v>
          </cell>
          <cell r="I1206">
            <v>1327</v>
          </cell>
        </row>
        <row r="1207">
          <cell r="C1207" t="str">
            <v>29.02.01.05</v>
          </cell>
          <cell r="D1207" t="str">
            <v>Bancada de granito preto são gabriel em l de (1,72+3,32)m x 0,63m com espaço para 5 cubas de embutir, frontão de 5,39m h=10cm, saia de 4,46m h=10cm (san. masc. - 1º pavto.)</v>
          </cell>
          <cell r="E1207" t="str">
            <v xml:space="preserve">SER.CG </v>
          </cell>
          <cell r="F1207" t="str">
            <v xml:space="preserve">un </v>
          </cell>
          <cell r="G1207">
            <v>1</v>
          </cell>
          <cell r="H1207">
            <v>2195.73</v>
          </cell>
          <cell r="I1207">
            <v>2195.73</v>
          </cell>
        </row>
        <row r="1208">
          <cell r="C1208" t="str">
            <v>4313</v>
          </cell>
          <cell r="D1208" t="str">
            <v>Argamassa colante ferma marmore granito interna da Quartzolit® (sc 20Kg)</v>
          </cell>
          <cell r="E1208" t="str">
            <v>MAT.</v>
          </cell>
          <cell r="F1208" t="str">
            <v>sc</v>
          </cell>
          <cell r="G1208">
            <v>0.33689999999999998</v>
          </cell>
          <cell r="H1208">
            <v>17</v>
          </cell>
          <cell r="I1208">
            <v>5.73</v>
          </cell>
        </row>
        <row r="1209">
          <cell r="C1209" t="str">
            <v>99.1732</v>
          </cell>
          <cell r="D1209" t="str">
            <v>Grapas para fixação de bancadas</v>
          </cell>
          <cell r="E1209" t="str">
            <v>MAT.</v>
          </cell>
          <cell r="F1209" t="str">
            <v>un</v>
          </cell>
          <cell r="G1209">
            <v>2</v>
          </cell>
          <cell r="H1209">
            <v>15</v>
          </cell>
          <cell r="I1209">
            <v>30</v>
          </cell>
        </row>
        <row r="1210">
          <cell r="C1210" t="str">
            <v>99.2539</v>
          </cell>
          <cell r="D1210" t="str">
            <v>Bancada de granito preto são gabriel em l de (1,72+3,32)m x 0,63m com espaço para 5 cubas de embutir, frontão de 5,39m h=10cm, saia de 4,46m h=10cm (san. masc. - 1º pavto.)</v>
          </cell>
          <cell r="E1210" t="str">
            <v>MAT.</v>
          </cell>
          <cell r="F1210" t="str">
            <v>un</v>
          </cell>
          <cell r="G1210">
            <v>1</v>
          </cell>
          <cell r="H1210">
            <v>2160</v>
          </cell>
          <cell r="I1210">
            <v>2160</v>
          </cell>
        </row>
        <row r="1211">
          <cell r="C1211" t="str">
            <v>29.02.01.06</v>
          </cell>
          <cell r="D1211" t="str">
            <v>Bancada de granito preto são gabriel em l de (1,89+2,32)m x 0,63m com espaço para 4 cubas de embutir, frontão de 6,02m h=10cm, saia de 3,63m h=10cm (san. fem. - 1º pavto.)</v>
          </cell>
          <cell r="E1211" t="str">
            <v xml:space="preserve">SER.CG </v>
          </cell>
          <cell r="F1211" t="str">
            <v xml:space="preserve">un </v>
          </cell>
          <cell r="G1211">
            <v>1</v>
          </cell>
          <cell r="H1211">
            <v>1361.4</v>
          </cell>
          <cell r="I1211">
            <v>1361.4</v>
          </cell>
        </row>
        <row r="1212">
          <cell r="C1212" t="str">
            <v>4313</v>
          </cell>
          <cell r="D1212" t="str">
            <v>Argamassa colante ferma marmore granito interna da Quartzolit® (sc 20Kg)</v>
          </cell>
          <cell r="E1212" t="str">
            <v>MAT.</v>
          </cell>
          <cell r="F1212" t="str">
            <v>sc</v>
          </cell>
          <cell r="G1212">
            <v>0.37630000000000002</v>
          </cell>
          <cell r="H1212">
            <v>17</v>
          </cell>
          <cell r="I1212">
            <v>6.4</v>
          </cell>
        </row>
        <row r="1213">
          <cell r="C1213" t="str">
            <v>99.1732</v>
          </cell>
          <cell r="D1213" t="str">
            <v>Grapas para fixação de bancadas</v>
          </cell>
          <cell r="E1213" t="str">
            <v>MAT.</v>
          </cell>
          <cell r="F1213" t="str">
            <v>un</v>
          </cell>
          <cell r="G1213">
            <v>2</v>
          </cell>
          <cell r="H1213">
            <v>15</v>
          </cell>
          <cell r="I1213">
            <v>30</v>
          </cell>
        </row>
        <row r="1214">
          <cell r="C1214" t="str">
            <v>99.2540</v>
          </cell>
          <cell r="D1214" t="str">
            <v>Bancada de granito preto são gabriel em l de (1,89+2,32)m x 0,63m com espaço para 4 cubas de embutir, frontão de 6,02m h=10cm, saia de 3,63m h=10cm (san. fem. - 1º pavto.)</v>
          </cell>
          <cell r="E1214" t="str">
            <v>MAT.</v>
          </cell>
          <cell r="F1214" t="str">
            <v>un</v>
          </cell>
          <cell r="G1214">
            <v>1</v>
          </cell>
          <cell r="H1214">
            <v>1325</v>
          </cell>
          <cell r="I1214">
            <v>1325</v>
          </cell>
        </row>
        <row r="1215">
          <cell r="C1215" t="str">
            <v>29.02.01.07</v>
          </cell>
          <cell r="D1215" t="str">
            <v>Bancada de granito preto são gabriel em l de (1,73+3,33)m x 0,60m com espaço para 5 cubas de embutir, frontão de 6,85m h=10cm, saia de 4,46m h=10cm (san. masc. - 16º pavto.)</v>
          </cell>
          <cell r="E1215" t="str">
            <v xml:space="preserve">SER.CG </v>
          </cell>
          <cell r="F1215" t="str">
            <v xml:space="preserve">un </v>
          </cell>
          <cell r="G1215">
            <v>1</v>
          </cell>
          <cell r="H1215">
            <v>1549.78</v>
          </cell>
          <cell r="I1215">
            <v>1549.78</v>
          </cell>
        </row>
        <row r="1216">
          <cell r="C1216" t="str">
            <v>4313</v>
          </cell>
          <cell r="D1216" t="str">
            <v>Argamassa colante ferma marmore granito interna da Quartzolit® (sc 20Kg)</v>
          </cell>
          <cell r="E1216" t="str">
            <v>MAT.</v>
          </cell>
          <cell r="F1216" t="str">
            <v>sc</v>
          </cell>
          <cell r="G1216">
            <v>0.42809999999999998</v>
          </cell>
          <cell r="H1216">
            <v>17</v>
          </cell>
          <cell r="I1216">
            <v>7.28</v>
          </cell>
        </row>
        <row r="1217">
          <cell r="C1217" t="str">
            <v>99.1732</v>
          </cell>
          <cell r="D1217" t="str">
            <v>Grapas para fixação de bancadas</v>
          </cell>
          <cell r="E1217" t="str">
            <v>MAT.</v>
          </cell>
          <cell r="F1217" t="str">
            <v>un</v>
          </cell>
          <cell r="G1217">
            <v>2</v>
          </cell>
          <cell r="H1217">
            <v>15</v>
          </cell>
          <cell r="I1217">
            <v>30</v>
          </cell>
        </row>
        <row r="1218">
          <cell r="C1218" t="str">
            <v>99.2541</v>
          </cell>
          <cell r="D1218" t="str">
            <v>Bancada de granito preto são gabriel em l de (1,73+3,33)m x 0,60m com espaço para 5 cubas de embutir, frontão de 6,85m h=10cm, saia de 4,46m h=10cm (san. masc. - 16º pavto.)</v>
          </cell>
          <cell r="E1218" t="str">
            <v>MAT.</v>
          </cell>
          <cell r="F1218" t="str">
            <v>un</v>
          </cell>
          <cell r="G1218">
            <v>1</v>
          </cell>
          <cell r="H1218">
            <v>1512.5</v>
          </cell>
          <cell r="I1218">
            <v>1512.5</v>
          </cell>
        </row>
        <row r="1219">
          <cell r="C1219" t="str">
            <v>29.02.01.08</v>
          </cell>
          <cell r="D1219" t="str">
            <v>Bancada de granito preto são gabriel em l de (1,73+2,50)m x 0,60m com espaço para 4 cubas de embutir, frontão de 6,02m h=10cm, saia 3,63m h=10cm (san. fem. - 16º pavto.)</v>
          </cell>
          <cell r="E1219" t="str">
            <v xml:space="preserve">SER.CG </v>
          </cell>
          <cell r="F1219" t="str">
            <v xml:space="preserve">un </v>
          </cell>
          <cell r="G1219">
            <v>1</v>
          </cell>
          <cell r="H1219">
            <v>1398.4</v>
          </cell>
          <cell r="I1219">
            <v>1398.4</v>
          </cell>
        </row>
        <row r="1220">
          <cell r="C1220" t="str">
            <v>4313</v>
          </cell>
          <cell r="D1220" t="str">
            <v>Argamassa colante ferma marmore granito interna da Quartzolit® (sc 20Kg)</v>
          </cell>
          <cell r="E1220" t="str">
            <v>MAT.</v>
          </cell>
          <cell r="F1220" t="str">
            <v>sc</v>
          </cell>
          <cell r="G1220">
            <v>0.37630000000000002</v>
          </cell>
          <cell r="H1220">
            <v>17</v>
          </cell>
          <cell r="I1220">
            <v>6.4</v>
          </cell>
        </row>
        <row r="1221">
          <cell r="C1221" t="str">
            <v>99.1732</v>
          </cell>
          <cell r="D1221" t="str">
            <v>Grapas para fixação de bancadas</v>
          </cell>
          <cell r="E1221" t="str">
            <v>MAT.</v>
          </cell>
          <cell r="F1221" t="str">
            <v>un</v>
          </cell>
          <cell r="G1221">
            <v>2</v>
          </cell>
          <cell r="H1221">
            <v>15</v>
          </cell>
          <cell r="I1221">
            <v>30</v>
          </cell>
        </row>
        <row r="1222">
          <cell r="C1222" t="str">
            <v>99.2542</v>
          </cell>
          <cell r="D1222" t="str">
            <v>Bancada de granito preto são gabriel em l de (1,73+2,50)m x 0,60m com espaço para 4 cubas de embutir, frontão de 6,02m h=10cm, saia 3,63m h=10cm (san. fem. - 16º pavto.)</v>
          </cell>
          <cell r="E1222" t="str">
            <v>MAT.</v>
          </cell>
          <cell r="F1222" t="str">
            <v>un</v>
          </cell>
          <cell r="G1222">
            <v>1</v>
          </cell>
          <cell r="H1222">
            <v>1362</v>
          </cell>
          <cell r="I1222">
            <v>1362</v>
          </cell>
        </row>
        <row r="1223">
          <cell r="C1223" t="str">
            <v>29.02.01.09</v>
          </cell>
          <cell r="D1223" t="str">
            <v>Bancada de granito preto são gabriel em l de (1,73+3,28)m x 0,60m com espaço para 5 cubas de embutir, frontão de 6,66m h=10cm, saia 4,46m h=10cm (san. masc. - 17º pavto.)</v>
          </cell>
          <cell r="E1223" t="str">
            <v xml:space="preserve">SER.CG </v>
          </cell>
          <cell r="F1223" t="str">
            <v xml:space="preserve">un </v>
          </cell>
          <cell r="G1223">
            <v>1</v>
          </cell>
          <cell r="H1223">
            <v>1552.08</v>
          </cell>
          <cell r="I1223">
            <v>1552.08</v>
          </cell>
        </row>
        <row r="1224">
          <cell r="C1224" t="str">
            <v>4313</v>
          </cell>
          <cell r="D1224" t="str">
            <v>Argamassa colante ferma marmore granito interna da Quartzolit® (sc 20Kg)</v>
          </cell>
          <cell r="E1224" t="str">
            <v>MAT.</v>
          </cell>
          <cell r="F1224" t="str">
            <v>sc</v>
          </cell>
          <cell r="G1224">
            <v>0.4163</v>
          </cell>
          <cell r="H1224">
            <v>17</v>
          </cell>
          <cell r="I1224">
            <v>7.08</v>
          </cell>
        </row>
        <row r="1225">
          <cell r="C1225" t="str">
            <v>99.1732</v>
          </cell>
          <cell r="D1225" t="str">
            <v>Grapas para fixação de bancadas</v>
          </cell>
          <cell r="E1225" t="str">
            <v>MAT.</v>
          </cell>
          <cell r="F1225" t="str">
            <v>un</v>
          </cell>
          <cell r="G1225">
            <v>2</v>
          </cell>
          <cell r="H1225">
            <v>15</v>
          </cell>
          <cell r="I1225">
            <v>30</v>
          </cell>
        </row>
        <row r="1226">
          <cell r="C1226" t="str">
            <v>99.2543</v>
          </cell>
          <cell r="D1226" t="str">
            <v>Bancada de granito preto são gabriel em l de (1,73+3,28)m x 0,60m com espaço para 5 cubas de embutir, frontão de 6,66m h=10cm, saia 4,46m h=10cm (san. masc. - 17º pavto.)</v>
          </cell>
          <cell r="E1226" t="str">
            <v>MAT.</v>
          </cell>
          <cell r="F1226" t="str">
            <v>un</v>
          </cell>
          <cell r="G1226">
            <v>1</v>
          </cell>
          <cell r="H1226">
            <v>1515</v>
          </cell>
          <cell r="I1226">
            <v>1515</v>
          </cell>
        </row>
        <row r="1227">
          <cell r="C1227" t="str">
            <v>29.02.01.10</v>
          </cell>
          <cell r="D1227" t="str">
            <v>Bancada de granito preto são gabriel em l de (1,90+2,33)m x 0,60m com espaço para 4 cubas de embutir, frontão de 6,03m h=10cm, saia de 3,63m h=10cm (san. fem. - 17º pavto.)</v>
          </cell>
          <cell r="E1227" t="str">
            <v xml:space="preserve">SER.CG </v>
          </cell>
          <cell r="F1227" t="str">
            <v xml:space="preserve">un </v>
          </cell>
          <cell r="G1227">
            <v>1</v>
          </cell>
          <cell r="H1227">
            <v>1361.41</v>
          </cell>
          <cell r="I1227">
            <v>1361.41</v>
          </cell>
        </row>
        <row r="1228">
          <cell r="C1228" t="str">
            <v>4313</v>
          </cell>
          <cell r="D1228" t="str">
            <v>Argamassa colante ferma marmore granito interna da Quartzolit® (sc 20Kg)</v>
          </cell>
          <cell r="E1228" t="str">
            <v>MAT.</v>
          </cell>
          <cell r="F1228" t="str">
            <v>sc</v>
          </cell>
          <cell r="G1228">
            <v>0.37690000000000001</v>
          </cell>
          <cell r="H1228">
            <v>17</v>
          </cell>
          <cell r="I1228">
            <v>6.41</v>
          </cell>
        </row>
        <row r="1229">
          <cell r="C1229" t="str">
            <v>99.1732</v>
          </cell>
          <cell r="D1229" t="str">
            <v>Grapas para fixação de bancadas</v>
          </cell>
          <cell r="E1229" t="str">
            <v>MAT.</v>
          </cell>
          <cell r="F1229" t="str">
            <v>un</v>
          </cell>
          <cell r="G1229">
            <v>2</v>
          </cell>
          <cell r="H1229">
            <v>15</v>
          </cell>
          <cell r="I1229">
            <v>30</v>
          </cell>
        </row>
        <row r="1230">
          <cell r="C1230" t="str">
            <v>99.2545</v>
          </cell>
          <cell r="D1230" t="str">
            <v>Bancada de granito preto são gabriel em l de (1,90+2,33)m x 0,60m com espaço para 4 cubas de embutir, frontão de 6,03m h=10cm, saia de 3,63m h=10cm (san. fem. - 17º pavto.)</v>
          </cell>
          <cell r="E1230" t="str">
            <v>MAT.</v>
          </cell>
          <cell r="F1230" t="str">
            <v>un</v>
          </cell>
          <cell r="G1230">
            <v>1</v>
          </cell>
          <cell r="H1230">
            <v>1325</v>
          </cell>
          <cell r="I1230">
            <v>1325</v>
          </cell>
        </row>
        <row r="1231">
          <cell r="C1231" t="str">
            <v>29.02.01.11</v>
          </cell>
          <cell r="D1231" t="str">
            <v>Bancada de granito branco dallas ou similar de (2,69x0,60)m com espaço para 1 cuba de embutir, frontão de 3,89m h=7cm (a.p.a. - 1º subsolo)</v>
          </cell>
          <cell r="E1231" t="str">
            <v xml:space="preserve">SER.CG </v>
          </cell>
          <cell r="F1231" t="str">
            <v xml:space="preserve">un </v>
          </cell>
          <cell r="G1231">
            <v>1</v>
          </cell>
          <cell r="H1231">
            <v>770.13</v>
          </cell>
          <cell r="I1231">
            <v>770.13</v>
          </cell>
        </row>
        <row r="1232">
          <cell r="C1232" t="str">
            <v>4313</v>
          </cell>
          <cell r="D1232" t="str">
            <v>Argamassa colante ferma marmore granito interna da Quartzolit® (sc 20Kg)</v>
          </cell>
          <cell r="E1232" t="str">
            <v>MAT.</v>
          </cell>
          <cell r="F1232" t="str">
            <v>sc</v>
          </cell>
          <cell r="G1232">
            <v>0.24310000000000001</v>
          </cell>
          <cell r="H1232">
            <v>17</v>
          </cell>
          <cell r="I1232">
            <v>4.13</v>
          </cell>
        </row>
        <row r="1233">
          <cell r="C1233" t="str">
            <v>99.1732</v>
          </cell>
          <cell r="D1233" t="str">
            <v>Grapas para fixação de bancadas</v>
          </cell>
          <cell r="E1233" t="str">
            <v>MAT.</v>
          </cell>
          <cell r="F1233" t="str">
            <v>un</v>
          </cell>
          <cell r="G1233">
            <v>2</v>
          </cell>
          <cell r="H1233">
            <v>15</v>
          </cell>
          <cell r="I1233">
            <v>30</v>
          </cell>
        </row>
        <row r="1234">
          <cell r="C1234" t="str">
            <v>99.2546</v>
          </cell>
          <cell r="D1234" t="str">
            <v>Bancada de granito branco dallas ou similar de (2,69x0,60)m com espaço para 1 cuba de embutir, frontão de 3,89m h=7cm (a.p.a. - 1º subsolo)</v>
          </cell>
          <cell r="E1234" t="str">
            <v>MAT.</v>
          </cell>
          <cell r="F1234" t="str">
            <v>un</v>
          </cell>
          <cell r="G1234">
            <v>1</v>
          </cell>
          <cell r="H1234">
            <v>736</v>
          </cell>
          <cell r="I1234">
            <v>736</v>
          </cell>
        </row>
        <row r="1235">
          <cell r="C1235" t="str">
            <v>29.02.01.12</v>
          </cell>
          <cell r="D1235" t="str">
            <v>Bancada de granito branco itaunas de (2,79x0,50)m com espaço para 3 cubas de embutir, frontão de 3,29m h=10cm, saia 2,79m h=10cm (san. Fem.. - mezanino)</v>
          </cell>
          <cell r="E1235" t="str">
            <v xml:space="preserve">SER.CG </v>
          </cell>
          <cell r="F1235" t="str">
            <v xml:space="preserve">un </v>
          </cell>
          <cell r="G1235">
            <v>1</v>
          </cell>
          <cell r="H1235">
            <v>788.5</v>
          </cell>
          <cell r="I1235">
            <v>788.5</v>
          </cell>
        </row>
        <row r="1236">
          <cell r="C1236" t="str">
            <v>4313</v>
          </cell>
          <cell r="D1236" t="str">
            <v>Argamassa colante ferma marmore granito interna da Quartzolit® (sc 20Kg)</v>
          </cell>
          <cell r="E1236" t="str">
            <v>MAT.</v>
          </cell>
          <cell r="F1236" t="str">
            <v>sc</v>
          </cell>
          <cell r="G1236">
            <v>0.2056</v>
          </cell>
          <cell r="H1236">
            <v>17</v>
          </cell>
          <cell r="I1236">
            <v>3.5</v>
          </cell>
        </row>
        <row r="1237">
          <cell r="C1237" t="str">
            <v>99.1732</v>
          </cell>
          <cell r="D1237" t="str">
            <v>Grapas para fixação de bancadas</v>
          </cell>
          <cell r="E1237" t="str">
            <v>MAT.</v>
          </cell>
          <cell r="F1237" t="str">
            <v>un</v>
          </cell>
          <cell r="G1237">
            <v>2</v>
          </cell>
          <cell r="H1237">
            <v>15</v>
          </cell>
          <cell r="I1237">
            <v>30</v>
          </cell>
        </row>
        <row r="1238">
          <cell r="C1238" t="str">
            <v>99.2547</v>
          </cell>
          <cell r="D1238" t="str">
            <v>Bancada de granito branco itaunas de (2,79x0,50)m com espaço para 3 cubas de embutir, frontão de 3,29m h=10cm, saia 2,79m h=10cm (san. masc. - mezanino)</v>
          </cell>
          <cell r="E1238" t="str">
            <v>MAT.</v>
          </cell>
          <cell r="F1238" t="str">
            <v>un</v>
          </cell>
          <cell r="G1238">
            <v>1</v>
          </cell>
          <cell r="H1238">
            <v>755</v>
          </cell>
          <cell r="I1238">
            <v>755</v>
          </cell>
        </row>
        <row r="1239">
          <cell r="C1239" t="str">
            <v>29.02.01.13</v>
          </cell>
          <cell r="D1239" t="str">
            <v>Bancada de granito branco itaunas de (2,64x0,50)m com espaço para 3 cubas de embutir, frontão de 3,15m h=10cm, saia 2,64m h=10cm (san. masc. - mezanino)</v>
          </cell>
          <cell r="E1239" t="str">
            <v xml:space="preserve">SER.CG </v>
          </cell>
          <cell r="F1239" t="str">
            <v xml:space="preserve">un </v>
          </cell>
          <cell r="G1239">
            <v>1</v>
          </cell>
          <cell r="H1239">
            <v>755.35</v>
          </cell>
          <cell r="I1239">
            <v>755.35</v>
          </cell>
        </row>
        <row r="1240">
          <cell r="C1240" t="str">
            <v>4313</v>
          </cell>
          <cell r="D1240" t="str">
            <v>Argamassa colante ferma marmore granito interna da Quartzolit® (sc 20Kg)</v>
          </cell>
          <cell r="E1240" t="str">
            <v>MAT.</v>
          </cell>
          <cell r="F1240" t="str">
            <v>sc</v>
          </cell>
          <cell r="G1240">
            <v>0.19689999999999999</v>
          </cell>
          <cell r="H1240">
            <v>17</v>
          </cell>
          <cell r="I1240">
            <v>3.35</v>
          </cell>
        </row>
        <row r="1241">
          <cell r="C1241" t="str">
            <v>99.1732</v>
          </cell>
          <cell r="D1241" t="str">
            <v>Grapas para fixação de bancadas</v>
          </cell>
          <cell r="E1241" t="str">
            <v>MAT.</v>
          </cell>
          <cell r="F1241" t="str">
            <v>un</v>
          </cell>
          <cell r="G1241">
            <v>2</v>
          </cell>
          <cell r="H1241">
            <v>15</v>
          </cell>
          <cell r="I1241">
            <v>30</v>
          </cell>
        </row>
        <row r="1242">
          <cell r="C1242" t="str">
            <v>99.2548</v>
          </cell>
          <cell r="D1242" t="str">
            <v>Bancada de granito branco itaunas de (2,64x0,50)m com espaço para 3 cubas de embutir, frontão de 3,15m h=10cm, saia 2,64m h=10cm (san. masc. - mezanino)</v>
          </cell>
          <cell r="E1242" t="str">
            <v>MAT.</v>
          </cell>
          <cell r="F1242" t="str">
            <v>un</v>
          </cell>
          <cell r="G1242">
            <v>1</v>
          </cell>
          <cell r="H1242">
            <v>722</v>
          </cell>
          <cell r="I1242">
            <v>722</v>
          </cell>
        </row>
        <row r="1243">
          <cell r="C1243" t="str">
            <v>30.01.01.01</v>
          </cell>
          <cell r="D1243" t="str">
            <v>Infra estrutura para instalações de ar condicionado (salas comerciais)</v>
          </cell>
          <cell r="E1243" t="str">
            <v xml:space="preserve">SER.CG </v>
          </cell>
          <cell r="F1243" t="str">
            <v xml:space="preserve">un </v>
          </cell>
          <cell r="G1243">
            <v>1</v>
          </cell>
          <cell r="H1243">
            <v>282211</v>
          </cell>
          <cell r="I1243">
            <v>282211</v>
          </cell>
        </row>
        <row r="1244">
          <cell r="C1244" t="str">
            <v>99.2291</v>
          </cell>
          <cell r="D1244" t="str">
            <v>Infra estrutura para instalações de ar condicionado (salas comerciais)</v>
          </cell>
          <cell r="E1244" t="str">
            <v>EMPRE</v>
          </cell>
          <cell r="F1244" t="str">
            <v>Vb</v>
          </cell>
          <cell r="G1244">
            <v>1</v>
          </cell>
          <cell r="H1244">
            <v>282211</v>
          </cell>
          <cell r="I1244">
            <v>282211</v>
          </cell>
        </row>
        <row r="1245">
          <cell r="C1245" t="str">
            <v>30.02.01.01</v>
          </cell>
          <cell r="D1245" t="str">
            <v>Pressurização de escadas</v>
          </cell>
          <cell r="E1245" t="str">
            <v xml:space="preserve">SER.CG </v>
          </cell>
          <cell r="F1245" t="str">
            <v xml:space="preserve">un </v>
          </cell>
          <cell r="G1245">
            <v>1</v>
          </cell>
          <cell r="H1245">
            <v>37921.199999999997</v>
          </cell>
          <cell r="I1245">
            <v>37921.199999999997</v>
          </cell>
        </row>
        <row r="1246">
          <cell r="C1246" t="str">
            <v>828</v>
          </cell>
          <cell r="D1246" t="str">
            <v>Pressurização de escada (edifício comercial)</v>
          </cell>
          <cell r="E1246" t="str">
            <v>EMPRE</v>
          </cell>
          <cell r="F1246" t="str">
            <v>Vb</v>
          </cell>
          <cell r="G1246">
            <v>1</v>
          </cell>
          <cell r="H1246">
            <v>37921.199999999997</v>
          </cell>
          <cell r="I1246">
            <v>37921.199999999997</v>
          </cell>
        </row>
        <row r="1247">
          <cell r="C1247" t="str">
            <v>30.03.01.01</v>
          </cell>
          <cell r="D1247" t="str">
            <v>Exaustão mecânica</v>
          </cell>
          <cell r="E1247" t="str">
            <v xml:space="preserve">SER.CG </v>
          </cell>
          <cell r="F1247" t="str">
            <v xml:space="preserve">Vb </v>
          </cell>
          <cell r="G1247">
            <v>1</v>
          </cell>
          <cell r="H1247">
            <v>48925</v>
          </cell>
          <cell r="I1247">
            <v>48925</v>
          </cell>
        </row>
        <row r="1248">
          <cell r="C1248" t="str">
            <v>2606</v>
          </cell>
          <cell r="D1248" t="str">
            <v>Exaustão mecânica</v>
          </cell>
          <cell r="E1248" t="str">
            <v>EMPRE</v>
          </cell>
          <cell r="F1248" t="str">
            <v>Vb</v>
          </cell>
          <cell r="G1248">
            <v>1</v>
          </cell>
          <cell r="H1248">
            <v>48925</v>
          </cell>
          <cell r="I1248">
            <v>48925</v>
          </cell>
        </row>
        <row r="1249">
          <cell r="C1249" t="str">
            <v>30.04.01.01</v>
          </cell>
          <cell r="D1249" t="str">
            <v>Obras civis para instalações de ar condicionado</v>
          </cell>
          <cell r="E1249" t="str">
            <v xml:space="preserve">SER.CG </v>
          </cell>
          <cell r="F1249" t="str">
            <v xml:space="preserve">un </v>
          </cell>
          <cell r="G1249">
            <v>1</v>
          </cell>
          <cell r="H1249">
            <v>10000</v>
          </cell>
          <cell r="I1249">
            <v>10000</v>
          </cell>
        </row>
        <row r="1250">
          <cell r="C1250" t="str">
            <v>3614</v>
          </cell>
          <cell r="D1250" t="str">
            <v>MDO civil de apoio para instalação de elevadores</v>
          </cell>
          <cell r="E1250" t="str">
            <v>M.O.</v>
          </cell>
          <cell r="F1250" t="str">
            <v>Vb</v>
          </cell>
          <cell r="G1250">
            <v>1</v>
          </cell>
          <cell r="H1250">
            <v>10000</v>
          </cell>
          <cell r="I1250">
            <v>10000</v>
          </cell>
        </row>
        <row r="1251">
          <cell r="C1251" t="str">
            <v>30.04.01.02</v>
          </cell>
          <cell r="D1251" t="str">
            <v>Obras civis para instalações de pressurização de escadas</v>
          </cell>
          <cell r="E1251" t="str">
            <v xml:space="preserve">SER.CG </v>
          </cell>
          <cell r="F1251" t="str">
            <v xml:space="preserve">un </v>
          </cell>
          <cell r="G1251">
            <v>1</v>
          </cell>
          <cell r="H1251">
            <v>5000</v>
          </cell>
          <cell r="I1251">
            <v>5000</v>
          </cell>
        </row>
        <row r="1252">
          <cell r="C1252" t="str">
            <v>3614</v>
          </cell>
          <cell r="D1252" t="str">
            <v>MDO civil de apoio para instalação de elevadores</v>
          </cell>
          <cell r="E1252" t="str">
            <v>M.O.</v>
          </cell>
          <cell r="F1252" t="str">
            <v>Vb</v>
          </cell>
          <cell r="G1252">
            <v>1</v>
          </cell>
          <cell r="H1252">
            <v>5000</v>
          </cell>
          <cell r="I1252">
            <v>5000</v>
          </cell>
        </row>
        <row r="1253">
          <cell r="C1253" t="str">
            <v>30.04.01.03</v>
          </cell>
          <cell r="D1253" t="str">
            <v>Obras civis para instalações de exaustão</v>
          </cell>
          <cell r="E1253" t="str">
            <v xml:space="preserve">SER.CG </v>
          </cell>
          <cell r="F1253" t="str">
            <v xml:space="preserve">un </v>
          </cell>
          <cell r="G1253">
            <v>1</v>
          </cell>
          <cell r="H1253">
            <v>5000</v>
          </cell>
          <cell r="I1253">
            <v>5000</v>
          </cell>
        </row>
        <row r="1254">
          <cell r="C1254" t="str">
            <v>3614</v>
          </cell>
          <cell r="D1254" t="str">
            <v>MDO civil de apoio para instalação de elevadores</v>
          </cell>
          <cell r="E1254" t="str">
            <v>M.O.</v>
          </cell>
          <cell r="F1254" t="str">
            <v>Vb</v>
          </cell>
          <cell r="G1254">
            <v>1</v>
          </cell>
          <cell r="H1254">
            <v>5000</v>
          </cell>
          <cell r="I1254">
            <v>5000</v>
          </cell>
        </row>
        <row r="1255">
          <cell r="C1255" t="str">
            <v>31.01.01.01</v>
          </cell>
          <cell r="D1255" t="str">
            <v>Elevador  2,30x2,71m com 5 paradas V=1,0m/s (social)</v>
          </cell>
          <cell r="E1255" t="str">
            <v xml:space="preserve">SER.CG </v>
          </cell>
          <cell r="F1255" t="str">
            <v xml:space="preserve">un </v>
          </cell>
          <cell r="G1255">
            <v>2</v>
          </cell>
          <cell r="H1255">
            <v>65000</v>
          </cell>
          <cell r="I1255">
            <v>130000</v>
          </cell>
        </row>
        <row r="1256">
          <cell r="C1256" t="str">
            <v>5933</v>
          </cell>
          <cell r="D1256" t="str">
            <v>Elevador  2,30x2,71m com 5 paradas V=2,5m/s (social)</v>
          </cell>
          <cell r="E1256" t="str">
            <v>MAT.</v>
          </cell>
          <cell r="F1256" t="str">
            <v>un</v>
          </cell>
          <cell r="G1256">
            <v>1</v>
          </cell>
          <cell r="H1256">
            <v>65000</v>
          </cell>
          <cell r="I1256">
            <v>65000</v>
          </cell>
        </row>
        <row r="1257">
          <cell r="C1257" t="str">
            <v>31.01.01.02</v>
          </cell>
          <cell r="D1257" t="str">
            <v>Elevador  2,42x2,48m com 13 paradas V=2,5m/s (social)</v>
          </cell>
          <cell r="E1257" t="str">
            <v xml:space="preserve">SER.CG </v>
          </cell>
          <cell r="F1257" t="str">
            <v xml:space="preserve">un </v>
          </cell>
          <cell r="G1257">
            <v>3</v>
          </cell>
          <cell r="H1257">
            <v>255000</v>
          </cell>
          <cell r="I1257">
            <v>765000</v>
          </cell>
        </row>
        <row r="1258">
          <cell r="C1258" t="str">
            <v>5933</v>
          </cell>
          <cell r="D1258" t="str">
            <v>Elevador  2,42x2,48m com 13 paradas V=3,4m/s (social)</v>
          </cell>
          <cell r="E1258" t="str">
            <v>MAT.</v>
          </cell>
          <cell r="F1258" t="str">
            <v>un</v>
          </cell>
          <cell r="G1258">
            <v>1</v>
          </cell>
          <cell r="H1258">
            <v>255000</v>
          </cell>
          <cell r="I1258">
            <v>255000</v>
          </cell>
        </row>
        <row r="1259">
          <cell r="C1259" t="str">
            <v>31.01.01.03</v>
          </cell>
          <cell r="D1259" t="str">
            <v>Elevador  2,42x2,48m com 12 paradas V=2,5m/s (social)</v>
          </cell>
          <cell r="E1259" t="str">
            <v xml:space="preserve">SER.CG </v>
          </cell>
          <cell r="F1259" t="str">
            <v xml:space="preserve">un </v>
          </cell>
          <cell r="G1259">
            <v>3</v>
          </cell>
          <cell r="H1259">
            <v>255000</v>
          </cell>
          <cell r="I1259">
            <v>765000</v>
          </cell>
        </row>
        <row r="1260">
          <cell r="C1260" t="str">
            <v>5933</v>
          </cell>
          <cell r="D1260" t="str">
            <v>Elevador  2,42x2,48m com 12 paradas V=2,5m/s (social)</v>
          </cell>
          <cell r="E1260" t="str">
            <v>MAT.</v>
          </cell>
          <cell r="F1260" t="str">
            <v>un</v>
          </cell>
          <cell r="G1260">
            <v>1</v>
          </cell>
          <cell r="H1260">
            <v>255000</v>
          </cell>
          <cell r="I1260">
            <v>255000</v>
          </cell>
        </row>
        <row r="1261">
          <cell r="C1261" t="str">
            <v>31.01.01.04</v>
          </cell>
          <cell r="D1261" t="str">
            <v>Chumbamento de batentes dos elevadores</v>
          </cell>
          <cell r="E1261" t="str">
            <v xml:space="preserve">SER.CG </v>
          </cell>
          <cell r="F1261" t="str">
            <v xml:space="preserve">un </v>
          </cell>
          <cell r="G1261">
            <v>85</v>
          </cell>
          <cell r="H1261">
            <v>60</v>
          </cell>
          <cell r="I1261">
            <v>5100</v>
          </cell>
        </row>
        <row r="1262">
          <cell r="C1262" t="str">
            <v>5426</v>
          </cell>
          <cell r="D1262" t="str">
            <v>MDO para chumbamento de Batentes</v>
          </cell>
          <cell r="E1262" t="str">
            <v>EMPRE</v>
          </cell>
          <cell r="F1262" t="str">
            <v>um</v>
          </cell>
          <cell r="G1262">
            <v>1</v>
          </cell>
          <cell r="H1262">
            <v>60</v>
          </cell>
          <cell r="I1262">
            <v>60</v>
          </cell>
        </row>
        <row r="1263">
          <cell r="C1263" t="str">
            <v>31.02.01.01</v>
          </cell>
          <cell r="D1263" t="str">
            <v>Obras civis para instalações de elevadores</v>
          </cell>
          <cell r="E1263" t="str">
            <v xml:space="preserve">SER.CG </v>
          </cell>
          <cell r="F1263" t="str">
            <v xml:space="preserve">un </v>
          </cell>
          <cell r="G1263">
            <v>1</v>
          </cell>
          <cell r="H1263">
            <v>10000</v>
          </cell>
          <cell r="I1263">
            <v>10000</v>
          </cell>
        </row>
        <row r="1264">
          <cell r="C1264" t="str">
            <v>3614</v>
          </cell>
          <cell r="D1264" t="str">
            <v>MDO civil de apoio para instalação de elevadores</v>
          </cell>
          <cell r="E1264" t="str">
            <v>M.O.</v>
          </cell>
          <cell r="F1264" t="str">
            <v>Vb</v>
          </cell>
          <cell r="G1264">
            <v>1</v>
          </cell>
          <cell r="H1264">
            <v>10000</v>
          </cell>
          <cell r="I1264">
            <v>10000</v>
          </cell>
        </row>
        <row r="1265">
          <cell r="C1265" t="str">
            <v>32.01.01.01</v>
          </cell>
          <cell r="D1265" t="str">
            <v>Sistema de supervisão predial</v>
          </cell>
          <cell r="E1265" t="str">
            <v xml:space="preserve">SER.CG </v>
          </cell>
          <cell r="F1265" t="str">
            <v xml:space="preserve">Vb </v>
          </cell>
          <cell r="G1265">
            <v>1</v>
          </cell>
          <cell r="H1265">
            <v>98000</v>
          </cell>
          <cell r="I1265">
            <v>98000</v>
          </cell>
        </row>
        <row r="1266">
          <cell r="C1266" t="str">
            <v>3576</v>
          </cell>
          <cell r="D1266" t="str">
            <v>Sistema de supervisão predial</v>
          </cell>
          <cell r="E1266" t="str">
            <v>EMPRE</v>
          </cell>
          <cell r="F1266" t="str">
            <v>Vb</v>
          </cell>
          <cell r="G1266">
            <v>1</v>
          </cell>
          <cell r="H1266">
            <v>98000</v>
          </cell>
          <cell r="I1266">
            <v>98000</v>
          </cell>
        </row>
        <row r="1267">
          <cell r="C1267" t="str">
            <v>32.01.02.01</v>
          </cell>
          <cell r="D1267" t="str">
            <v>Catracas</v>
          </cell>
          <cell r="E1267" t="str">
            <v xml:space="preserve">SER.CG </v>
          </cell>
          <cell r="F1267" t="str">
            <v xml:space="preserve">Vb </v>
          </cell>
          <cell r="G1267">
            <v>1</v>
          </cell>
          <cell r="H1267">
            <v>75601</v>
          </cell>
          <cell r="I1267">
            <v>75601</v>
          </cell>
        </row>
        <row r="1268">
          <cell r="C1268" t="str">
            <v>3576</v>
          </cell>
          <cell r="D1268" t="str">
            <v>Catracas eletrônicas</v>
          </cell>
          <cell r="E1268" t="str">
            <v>EMPRE</v>
          </cell>
          <cell r="F1268" t="str">
            <v>Vb</v>
          </cell>
          <cell r="G1268">
            <v>1</v>
          </cell>
          <cell r="H1268">
            <v>75601</v>
          </cell>
          <cell r="I1268">
            <v>75601</v>
          </cell>
        </row>
        <row r="1269">
          <cell r="C1269" t="str">
            <v>32.01.03.01</v>
          </cell>
          <cell r="D1269" t="str">
            <v>CFTV</v>
          </cell>
          <cell r="E1269" t="str">
            <v xml:space="preserve">SER.CG </v>
          </cell>
          <cell r="F1269" t="str">
            <v xml:space="preserve">Vb </v>
          </cell>
          <cell r="G1269">
            <v>1</v>
          </cell>
          <cell r="H1269">
            <v>86000</v>
          </cell>
          <cell r="I1269">
            <v>86000</v>
          </cell>
        </row>
        <row r="1270">
          <cell r="C1270" t="str">
            <v>3576</v>
          </cell>
          <cell r="D1270" t="str">
            <v>CFTV</v>
          </cell>
          <cell r="E1270" t="str">
            <v>EMPRE</v>
          </cell>
          <cell r="F1270" t="str">
            <v>Vb</v>
          </cell>
          <cell r="G1270">
            <v>1</v>
          </cell>
          <cell r="H1270">
            <v>86000</v>
          </cell>
          <cell r="I1270">
            <v>86000</v>
          </cell>
        </row>
        <row r="1271">
          <cell r="C1271" t="str">
            <v>32.01.04.01</v>
          </cell>
          <cell r="D1271" t="str">
            <v>Detecção e alarme de incêndio</v>
          </cell>
          <cell r="E1271" t="str">
            <v xml:space="preserve">SER.CG </v>
          </cell>
          <cell r="F1271" t="str">
            <v xml:space="preserve">Vb </v>
          </cell>
          <cell r="G1271">
            <v>1</v>
          </cell>
          <cell r="H1271">
            <v>119000</v>
          </cell>
          <cell r="I1271">
            <v>119000</v>
          </cell>
        </row>
        <row r="1272">
          <cell r="C1272" t="str">
            <v>3576</v>
          </cell>
          <cell r="D1272" t="str">
            <v>Detecção e alarme de incêndio</v>
          </cell>
          <cell r="E1272" t="str">
            <v>EMPRE</v>
          </cell>
          <cell r="F1272" t="str">
            <v>Vb</v>
          </cell>
          <cell r="G1272">
            <v>1</v>
          </cell>
          <cell r="H1272">
            <v>119000</v>
          </cell>
          <cell r="I1272">
            <v>119000</v>
          </cell>
        </row>
        <row r="1273">
          <cell r="C1273" t="str">
            <v>32.01.05.01</v>
          </cell>
          <cell r="D1273" t="str">
            <v>Sistema de alarme</v>
          </cell>
          <cell r="E1273" t="str">
            <v xml:space="preserve">SER.CG </v>
          </cell>
          <cell r="F1273" t="str">
            <v xml:space="preserve">Vb </v>
          </cell>
          <cell r="G1273">
            <v>1</v>
          </cell>
          <cell r="H1273">
            <v>22000</v>
          </cell>
          <cell r="I1273">
            <v>22000</v>
          </cell>
        </row>
        <row r="1274">
          <cell r="C1274" t="str">
            <v>3576</v>
          </cell>
          <cell r="D1274" t="str">
            <v>Sistema de alarme perimetral</v>
          </cell>
          <cell r="E1274" t="str">
            <v>EMPRE</v>
          </cell>
          <cell r="F1274" t="str">
            <v>Vb</v>
          </cell>
          <cell r="G1274">
            <v>1</v>
          </cell>
          <cell r="H1274">
            <v>22000</v>
          </cell>
          <cell r="I1274">
            <v>22000</v>
          </cell>
        </row>
        <row r="1275">
          <cell r="C1275" t="str">
            <v>32.02.01.01</v>
          </cell>
          <cell r="D1275" t="str">
            <v>Telefonia - Rede Interna</v>
          </cell>
          <cell r="E1275" t="str">
            <v xml:space="preserve">SER.CG </v>
          </cell>
          <cell r="F1275" t="str">
            <v xml:space="preserve">un </v>
          </cell>
          <cell r="G1275">
            <v>1</v>
          </cell>
          <cell r="H1275">
            <v>20000</v>
          </cell>
          <cell r="I1275">
            <v>20000</v>
          </cell>
        </row>
        <row r="1276">
          <cell r="C1276" t="str">
            <v>829</v>
          </cell>
          <cell r="D1276" t="str">
            <v>Telefonia (rede interna)</v>
          </cell>
          <cell r="E1276" t="str">
            <v>EMPRE</v>
          </cell>
          <cell r="F1276" t="str">
            <v>Vb</v>
          </cell>
          <cell r="G1276">
            <v>1</v>
          </cell>
          <cell r="H1276">
            <v>20000</v>
          </cell>
          <cell r="I1276">
            <v>20000</v>
          </cell>
        </row>
        <row r="1277">
          <cell r="C1277" t="str">
            <v>32.02.02.01</v>
          </cell>
          <cell r="D1277" t="str">
            <v>Telefonia - Rede Externa</v>
          </cell>
          <cell r="E1277" t="str">
            <v xml:space="preserve">SER.CG </v>
          </cell>
          <cell r="F1277" t="str">
            <v xml:space="preserve">un </v>
          </cell>
          <cell r="G1277">
            <v>1</v>
          </cell>
          <cell r="H1277">
            <v>18000</v>
          </cell>
          <cell r="I1277">
            <v>18000</v>
          </cell>
        </row>
        <row r="1278">
          <cell r="C1278" t="str">
            <v>830</v>
          </cell>
          <cell r="D1278" t="str">
            <v>Telefonia (rede externa)</v>
          </cell>
          <cell r="E1278" t="str">
            <v>EMPRE</v>
          </cell>
          <cell r="F1278" t="str">
            <v>Vb</v>
          </cell>
          <cell r="G1278">
            <v>1</v>
          </cell>
          <cell r="H1278">
            <v>18000</v>
          </cell>
          <cell r="I1278">
            <v>18000</v>
          </cell>
        </row>
        <row r="1279">
          <cell r="C1279" t="str">
            <v>32.03.01.01</v>
          </cell>
          <cell r="D1279" t="str">
            <v>Interfone</v>
          </cell>
          <cell r="E1279" t="str">
            <v xml:space="preserve">SER.CG </v>
          </cell>
          <cell r="F1279" t="str">
            <v xml:space="preserve">un </v>
          </cell>
          <cell r="G1279">
            <v>1</v>
          </cell>
          <cell r="H1279">
            <v>15000</v>
          </cell>
          <cell r="I1279">
            <v>15000</v>
          </cell>
        </row>
        <row r="1280">
          <cell r="C1280" t="str">
            <v>824</v>
          </cell>
          <cell r="D1280" t="str">
            <v>Intercomunicação</v>
          </cell>
          <cell r="E1280" t="str">
            <v>EMPRE</v>
          </cell>
          <cell r="F1280" t="str">
            <v>Vb</v>
          </cell>
          <cell r="G1280">
            <v>1</v>
          </cell>
          <cell r="H1280">
            <v>15000</v>
          </cell>
          <cell r="I1280">
            <v>15000</v>
          </cell>
        </row>
        <row r="1281">
          <cell r="C1281" t="str">
            <v>32.03.02.01</v>
          </cell>
          <cell r="D1281" t="str">
            <v>Porteiro eletrônico</v>
          </cell>
          <cell r="E1281" t="str">
            <v xml:space="preserve">SER.CG </v>
          </cell>
          <cell r="F1281" t="str">
            <v xml:space="preserve">un </v>
          </cell>
          <cell r="G1281">
            <v>1</v>
          </cell>
          <cell r="H1281">
            <v>3000</v>
          </cell>
          <cell r="I1281">
            <v>3000</v>
          </cell>
        </row>
        <row r="1282">
          <cell r="C1282" t="str">
            <v>827</v>
          </cell>
          <cell r="D1282" t="str">
            <v>Porteiro eletrônico</v>
          </cell>
          <cell r="E1282" t="str">
            <v>EMPRE</v>
          </cell>
          <cell r="F1282" t="str">
            <v>Vb</v>
          </cell>
          <cell r="G1282">
            <v>1</v>
          </cell>
          <cell r="H1282">
            <v>3000</v>
          </cell>
          <cell r="I1282">
            <v>3000</v>
          </cell>
        </row>
        <row r="1283">
          <cell r="C1283" t="str">
            <v>33.01.01.01</v>
          </cell>
          <cell r="D1283" t="str">
            <v>Paisagismo</v>
          </cell>
          <cell r="E1283" t="str">
            <v xml:space="preserve">SER.CG </v>
          </cell>
          <cell r="F1283" t="str">
            <v xml:space="preserve">m2 </v>
          </cell>
          <cell r="G1283">
            <v>1215</v>
          </cell>
          <cell r="H1283">
            <v>85.57</v>
          </cell>
          <cell r="I1283">
            <v>103967.55</v>
          </cell>
        </row>
        <row r="1284">
          <cell r="C1284" t="str">
            <v>2610</v>
          </cell>
          <cell r="D1284" t="str">
            <v>Paisagismo</v>
          </cell>
          <cell r="E1284" t="str">
            <v>EMPRE</v>
          </cell>
          <cell r="F1284" t="str">
            <v>m2</v>
          </cell>
          <cell r="G1284">
            <v>1</v>
          </cell>
          <cell r="H1284">
            <v>85.57</v>
          </cell>
          <cell r="I1284">
            <v>85.57</v>
          </cell>
        </row>
        <row r="1285">
          <cell r="C1285" t="str">
            <v>34.01.01.01</v>
          </cell>
          <cell r="D1285" t="str">
            <v>Limpeza final para entrega da obra</v>
          </cell>
          <cell r="E1285" t="str">
            <v xml:space="preserve">SER.CG </v>
          </cell>
          <cell r="F1285" t="str">
            <v xml:space="preserve">m2 </v>
          </cell>
          <cell r="G1285">
            <v>35419.25</v>
          </cell>
          <cell r="H1285">
            <v>2.2000000000000002</v>
          </cell>
          <cell r="I1285">
            <v>77922.350000000006</v>
          </cell>
        </row>
        <row r="1286">
          <cell r="C1286" t="str">
            <v>2611</v>
          </cell>
          <cell r="D1286" t="str">
            <v>Limpeza final para entrega da obra</v>
          </cell>
          <cell r="E1286" t="str">
            <v>EMPRE</v>
          </cell>
          <cell r="F1286" t="str">
            <v>m2</v>
          </cell>
          <cell r="G1286">
            <v>1</v>
          </cell>
          <cell r="H1286">
            <v>2.2000000000000002</v>
          </cell>
          <cell r="I1286">
            <v>2.2000000000000002</v>
          </cell>
        </row>
        <row r="1287">
          <cell r="C1287" t="str">
            <v>34.02.01.01</v>
          </cell>
          <cell r="D1287" t="str">
            <v>Desmobilização final</v>
          </cell>
          <cell r="E1287" t="str">
            <v xml:space="preserve">SER.CG </v>
          </cell>
          <cell r="F1287" t="str">
            <v xml:space="preserve">un </v>
          </cell>
          <cell r="G1287">
            <v>1</v>
          </cell>
          <cell r="H1287">
            <v>10000</v>
          </cell>
          <cell r="I1287">
            <v>10000</v>
          </cell>
        </row>
        <row r="1288">
          <cell r="C1288" t="str">
            <v>466</v>
          </cell>
          <cell r="D1288" t="str">
            <v>MDO para desmobilização final</v>
          </cell>
          <cell r="E1288" t="str">
            <v>M.O.</v>
          </cell>
          <cell r="F1288" t="str">
            <v>Vb</v>
          </cell>
          <cell r="G1288">
            <v>1</v>
          </cell>
          <cell r="H1288">
            <v>10000</v>
          </cell>
          <cell r="I1288">
            <v>10000</v>
          </cell>
        </row>
        <row r="1289">
          <cell r="C1289" t="str">
            <v>34.03.01.01</v>
          </cell>
          <cell r="D1289" t="str">
            <v>Arremates Finais</v>
          </cell>
          <cell r="E1289" t="str">
            <v xml:space="preserve">SER.CG </v>
          </cell>
          <cell r="F1289" t="str">
            <v xml:space="preserve">mês </v>
          </cell>
          <cell r="G1289">
            <v>1</v>
          </cell>
          <cell r="H1289">
            <v>14520</v>
          </cell>
          <cell r="I1289">
            <v>14520</v>
          </cell>
        </row>
        <row r="1290">
          <cell r="C1290" t="str">
            <v>2613</v>
          </cell>
          <cell r="D1290" t="str">
            <v>Ajudante</v>
          </cell>
          <cell r="E1290" t="str">
            <v>M.O.</v>
          </cell>
          <cell r="F1290" t="str">
            <v>h</v>
          </cell>
          <cell r="G1290">
            <v>660</v>
          </cell>
          <cell r="H1290">
            <v>10</v>
          </cell>
          <cell r="I1290">
            <v>6600</v>
          </cell>
        </row>
        <row r="1291">
          <cell r="C1291" t="str">
            <v>2943</v>
          </cell>
          <cell r="D1291" t="str">
            <v>Oficial</v>
          </cell>
          <cell r="E1291" t="str">
            <v>M.O.</v>
          </cell>
          <cell r="F1291" t="str">
            <v>h</v>
          </cell>
          <cell r="G1291">
            <v>660</v>
          </cell>
          <cell r="H1291">
            <v>12</v>
          </cell>
          <cell r="I1291">
            <v>7920</v>
          </cell>
        </row>
        <row r="1292">
          <cell r="C1292" t="str">
            <v>34.04.01.01</v>
          </cell>
          <cell r="D1292" t="str">
            <v>Comunicação visual</v>
          </cell>
          <cell r="E1292" t="str">
            <v xml:space="preserve">SER.CG </v>
          </cell>
          <cell r="F1292" t="str">
            <v xml:space="preserve">Vb </v>
          </cell>
          <cell r="G1292">
            <v>1</v>
          </cell>
          <cell r="H1292">
            <v>5000</v>
          </cell>
          <cell r="I1292">
            <v>5000</v>
          </cell>
        </row>
        <row r="1293">
          <cell r="C1293" t="str">
            <v>211</v>
          </cell>
          <cell r="D1293" t="str">
            <v>Comunicação visual</v>
          </cell>
          <cell r="E1293" t="str">
            <v>MAT.</v>
          </cell>
          <cell r="F1293" t="str">
            <v>Vb</v>
          </cell>
          <cell r="G1293">
            <v>1</v>
          </cell>
          <cell r="H1293">
            <v>5000</v>
          </cell>
          <cell r="I1293">
            <v>5000</v>
          </cell>
        </row>
        <row r="1294">
          <cell r="C1294" t="str">
            <v>34.07.01.01</v>
          </cell>
          <cell r="D1294" t="str">
            <v>Manual do Proprietário</v>
          </cell>
          <cell r="E1294" t="str">
            <v xml:space="preserve">SER.CG </v>
          </cell>
          <cell r="F1294" t="str">
            <v>vb</v>
          </cell>
          <cell r="G1294">
            <v>1</v>
          </cell>
          <cell r="H1294">
            <v>12000</v>
          </cell>
          <cell r="I1294">
            <v>12000</v>
          </cell>
        </row>
        <row r="1295">
          <cell r="C1295" t="str">
            <v>1967</v>
          </cell>
          <cell r="D1295" t="str">
            <v>Manual do proprietário</v>
          </cell>
          <cell r="E1295" t="str">
            <v>EMPRE</v>
          </cell>
          <cell r="F1295" t="str">
            <v>Vb</v>
          </cell>
          <cell r="G1295">
            <v>1</v>
          </cell>
          <cell r="H1295">
            <v>12000</v>
          </cell>
          <cell r="I1295">
            <v>12000</v>
          </cell>
        </row>
        <row r="1296">
          <cell r="C1296" t="str">
            <v>34.07.03.01</v>
          </cell>
          <cell r="D1296" t="str">
            <v>Caderno de detalhamento</v>
          </cell>
          <cell r="E1296" t="str">
            <v xml:space="preserve">SER.CG </v>
          </cell>
          <cell r="F1296" t="str">
            <v xml:space="preserve">Vb </v>
          </cell>
          <cell r="G1296">
            <v>1</v>
          </cell>
          <cell r="H1296">
            <v>14000</v>
          </cell>
          <cell r="I1296">
            <v>14000</v>
          </cell>
        </row>
        <row r="1297">
          <cell r="C1297" t="str">
            <v>5663</v>
          </cell>
          <cell r="D1297" t="str">
            <v>Caderno de detalhamento</v>
          </cell>
          <cell r="E1297" t="str">
            <v>MAT.</v>
          </cell>
          <cell r="F1297" t="str">
            <v>un</v>
          </cell>
          <cell r="G1297">
            <v>1</v>
          </cell>
          <cell r="H1297">
            <v>14000</v>
          </cell>
          <cell r="I1297">
            <v>14000</v>
          </cell>
        </row>
        <row r="1298">
          <cell r="C1298" t="str">
            <v>34.08.07.01</v>
          </cell>
          <cell r="D1298" t="str">
            <v>Espelho d`água - conforme projeto de paisagismo</v>
          </cell>
          <cell r="E1298" t="str">
            <v xml:space="preserve">SER.CG </v>
          </cell>
          <cell r="F1298" t="str">
            <v>vb</v>
          </cell>
          <cell r="G1298">
            <v>1</v>
          </cell>
          <cell r="H1298">
            <v>25340</v>
          </cell>
          <cell r="I1298">
            <v>25340</v>
          </cell>
        </row>
        <row r="1299">
          <cell r="C1299" t="str">
            <v>99.1295</v>
          </cell>
          <cell r="D1299" t="str">
            <v>Espelho d`água</v>
          </cell>
          <cell r="E1299" t="str">
            <v>VERBA</v>
          </cell>
          <cell r="F1299" t="str">
            <v>Vb</v>
          </cell>
          <cell r="G1299">
            <v>1</v>
          </cell>
          <cell r="H1299">
            <v>25340</v>
          </cell>
          <cell r="I1299">
            <v>25340</v>
          </cell>
        </row>
        <row r="1300">
          <cell r="C1300" t="str">
            <v>50.01.01.01</v>
          </cell>
          <cell r="D1300" t="str">
            <v>Taxa de administração (10%)</v>
          </cell>
          <cell r="E1300" t="str">
            <v xml:space="preserve">SER.CG </v>
          </cell>
          <cell r="F1300" t="str">
            <v xml:space="preserve">Vb </v>
          </cell>
          <cell r="G1300">
            <v>1</v>
          </cell>
          <cell r="H1300">
            <v>2035221.25</v>
          </cell>
          <cell r="I1300">
            <v>2035221.25</v>
          </cell>
        </row>
        <row r="1301">
          <cell r="C1301" t="str">
            <v>4771</v>
          </cell>
          <cell r="D1301" t="str">
            <v>Taxa de administração</v>
          </cell>
          <cell r="E1301" t="str">
            <v>MAT.</v>
          </cell>
          <cell r="F1301" t="str">
            <v>Vb</v>
          </cell>
          <cell r="G1301">
            <v>1</v>
          </cell>
          <cell r="H1301">
            <v>2035221.25</v>
          </cell>
          <cell r="I1301">
            <v>2035221.25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O"/>
      <sheetName val="Planilha"/>
      <sheetName val="cpu"/>
      <sheetName val="ABC-ETAPAS"/>
      <sheetName val="ABC-SERVIÇOS"/>
      <sheetName val="BCO INSUMOS"/>
      <sheetName val="ABC-Insumos"/>
    </sheetNames>
    <sheetDataSet>
      <sheetData sheetId="0"/>
      <sheetData sheetId="1"/>
      <sheetData sheetId="2" refreshError="1">
        <row r="3">
          <cell r="C3" t="str">
            <v>BUENO NETTO GESTÃO IMOBILIÁRIA LTDA</v>
          </cell>
        </row>
        <row r="4">
          <cell r="C4" t="str">
            <v>OrçamentoAnalítico</v>
          </cell>
        </row>
        <row r="7">
          <cell r="C7" t="str">
            <v>OBRA:</v>
          </cell>
          <cell r="D7" t="str">
            <v>ED AHEAD FARIA LIMA</v>
          </cell>
          <cell r="I7" t="str">
            <v>Data: 15/08/2008</v>
          </cell>
        </row>
        <row r="8">
          <cell r="C8" t="str">
            <v>ORÇAMENTO:</v>
          </cell>
          <cell r="D8" t="str">
            <v>Orçamento Executivo (Operacional) - Revisão 08</v>
          </cell>
          <cell r="I8" t="str">
            <v>Data base - Abril/2008</v>
          </cell>
        </row>
        <row r="9">
          <cell r="C9" t="str">
            <v>LOCAL:</v>
          </cell>
          <cell r="D9" t="str">
            <v>Rua Claúdio Soares</v>
          </cell>
          <cell r="I9">
            <v>35419.25</v>
          </cell>
        </row>
        <row r="11">
          <cell r="C11" t="str">
            <v>CÓDIGO</v>
          </cell>
          <cell r="D11" t="str">
            <v>DESCRIÇÃO</v>
          </cell>
          <cell r="F11" t="str">
            <v>UNIDADE</v>
          </cell>
          <cell r="G11" t="str">
            <v>QUANT./COEF.</v>
          </cell>
          <cell r="H11" t="str">
            <v>PREÇO(R$)</v>
          </cell>
          <cell r="I11" t="str">
            <v>PREÇO TOTAL (R$)</v>
          </cell>
        </row>
        <row r="12">
          <cell r="C12" t="str">
            <v>06.01.01.01</v>
          </cell>
          <cell r="D12" t="str">
            <v>Despesas com expediente</v>
          </cell>
          <cell r="F12" t="str">
            <v xml:space="preserve">mês </v>
          </cell>
          <cell r="G12">
            <v>26</v>
          </cell>
          <cell r="H12">
            <v>1100</v>
          </cell>
          <cell r="I12">
            <v>28600</v>
          </cell>
        </row>
        <row r="13">
          <cell r="C13">
            <v>1</v>
          </cell>
          <cell r="D13" t="str">
            <v>Despesas com expediente</v>
          </cell>
          <cell r="F13" t="str">
            <v>Vb</v>
          </cell>
          <cell r="G13">
            <v>1</v>
          </cell>
          <cell r="H13">
            <v>1100</v>
          </cell>
          <cell r="I13">
            <v>1100</v>
          </cell>
        </row>
        <row r="14">
          <cell r="C14" t="str">
            <v>06.01.03.01</v>
          </cell>
          <cell r="D14" t="str">
            <v>Caixa de Obra</v>
          </cell>
          <cell r="F14" t="str">
            <v xml:space="preserve">mês </v>
          </cell>
          <cell r="G14">
            <v>26</v>
          </cell>
          <cell r="H14">
            <v>1100</v>
          </cell>
          <cell r="I14">
            <v>28600</v>
          </cell>
        </row>
        <row r="15">
          <cell r="C15">
            <v>2</v>
          </cell>
          <cell r="D15" t="str">
            <v>Caixa de obra</v>
          </cell>
          <cell r="F15" t="str">
            <v>Vb</v>
          </cell>
          <cell r="G15">
            <v>1</v>
          </cell>
          <cell r="H15">
            <v>1100</v>
          </cell>
          <cell r="I15">
            <v>1100</v>
          </cell>
        </row>
        <row r="16">
          <cell r="C16" t="str">
            <v>06.01.04.01</v>
          </cell>
          <cell r="D16" t="str">
            <v>Cópias e Plotagens</v>
          </cell>
          <cell r="F16" t="str">
            <v xml:space="preserve">mês </v>
          </cell>
          <cell r="G16">
            <v>26</v>
          </cell>
          <cell r="H16">
            <v>2200</v>
          </cell>
          <cell r="I16">
            <v>57200</v>
          </cell>
        </row>
        <row r="17">
          <cell r="C17">
            <v>3</v>
          </cell>
          <cell r="D17" t="str">
            <v>Cópias de projetos e documentos</v>
          </cell>
          <cell r="F17" t="str">
            <v>Vb</v>
          </cell>
          <cell r="G17">
            <v>1</v>
          </cell>
          <cell r="H17">
            <v>2200</v>
          </cell>
          <cell r="I17">
            <v>2200</v>
          </cell>
        </row>
        <row r="18">
          <cell r="C18" t="str">
            <v>06.02.01.01</v>
          </cell>
          <cell r="D18" t="str">
            <v>Equipe de campo</v>
          </cell>
          <cell r="F18" t="str">
            <v xml:space="preserve">mês </v>
          </cell>
          <cell r="G18">
            <v>26</v>
          </cell>
          <cell r="H18">
            <v>45544.618999999999</v>
          </cell>
          <cell r="I18">
            <v>1184160.0900000001</v>
          </cell>
        </row>
        <row r="19">
          <cell r="C19">
            <v>4</v>
          </cell>
          <cell r="D19" t="str">
            <v>Coordenador PJ</v>
          </cell>
          <cell r="F19" t="str">
            <v>mês</v>
          </cell>
          <cell r="G19">
            <v>0.2</v>
          </cell>
          <cell r="H19">
            <v>19435</v>
          </cell>
          <cell r="I19">
            <v>3887</v>
          </cell>
        </row>
        <row r="20">
          <cell r="C20">
            <v>5</v>
          </cell>
          <cell r="D20" t="str">
            <v>Engenheiro civil</v>
          </cell>
          <cell r="F20" t="str">
            <v>mês</v>
          </cell>
          <cell r="G20">
            <v>1</v>
          </cell>
          <cell r="H20">
            <v>12595</v>
          </cell>
          <cell r="I20">
            <v>12595</v>
          </cell>
        </row>
        <row r="21">
          <cell r="C21">
            <v>6</v>
          </cell>
          <cell r="D21" t="str">
            <v>Encarregado civil</v>
          </cell>
          <cell r="F21" t="str">
            <v>mês</v>
          </cell>
          <cell r="G21">
            <v>1</v>
          </cell>
          <cell r="H21">
            <v>4351</v>
          </cell>
          <cell r="I21">
            <v>4351</v>
          </cell>
        </row>
        <row r="22">
          <cell r="C22">
            <v>7</v>
          </cell>
          <cell r="D22" t="str">
            <v>Mestre de obras</v>
          </cell>
          <cell r="F22" t="str">
            <v>mês</v>
          </cell>
          <cell r="G22">
            <v>1</v>
          </cell>
          <cell r="H22">
            <v>11450</v>
          </cell>
          <cell r="I22">
            <v>11450</v>
          </cell>
        </row>
        <row r="23">
          <cell r="C23">
            <v>8</v>
          </cell>
          <cell r="D23" t="str">
            <v>Estagiário obras</v>
          </cell>
          <cell r="F23" t="str">
            <v>mês</v>
          </cell>
          <cell r="G23">
            <v>1.7</v>
          </cell>
          <cell r="H23">
            <v>3625.07</v>
          </cell>
          <cell r="I23">
            <v>6162.6189999999997</v>
          </cell>
        </row>
        <row r="24">
          <cell r="C24">
            <v>9</v>
          </cell>
          <cell r="D24" t="str">
            <v>Encarregado Administrativo</v>
          </cell>
          <cell r="F24" t="str">
            <v>mês</v>
          </cell>
          <cell r="G24">
            <v>1</v>
          </cell>
          <cell r="H24">
            <v>4351</v>
          </cell>
          <cell r="I24">
            <v>4351</v>
          </cell>
        </row>
        <row r="25">
          <cell r="C25">
            <v>10</v>
          </cell>
          <cell r="D25" t="str">
            <v>Auxiliar Administrativo</v>
          </cell>
          <cell r="F25" t="str">
            <v>mês</v>
          </cell>
          <cell r="G25">
            <v>0.8</v>
          </cell>
          <cell r="H25">
            <v>3435</v>
          </cell>
          <cell r="I25">
            <v>2748</v>
          </cell>
        </row>
        <row r="26">
          <cell r="C26" t="str">
            <v>06.04.02.01</v>
          </cell>
          <cell r="D26" t="str">
            <v>Seguro de risco de engenharia</v>
          </cell>
          <cell r="F26" t="str">
            <v xml:space="preserve">mês </v>
          </cell>
          <cell r="G26">
            <v>10</v>
          </cell>
          <cell r="H26">
            <v>3727.92</v>
          </cell>
          <cell r="I26">
            <v>37279.199999999997</v>
          </cell>
        </row>
        <row r="27">
          <cell r="C27">
            <v>11</v>
          </cell>
          <cell r="D27" t="str">
            <v>Seguros (riscos de engenharia)</v>
          </cell>
          <cell r="F27" t="str">
            <v>mês</v>
          </cell>
          <cell r="G27">
            <v>1</v>
          </cell>
          <cell r="H27">
            <v>3727.92</v>
          </cell>
          <cell r="I27">
            <v>3727.92</v>
          </cell>
        </row>
        <row r="28">
          <cell r="C28" t="str">
            <v>07.02.02.01</v>
          </cell>
          <cell r="D28" t="str">
            <v>Orçamento e Programação</v>
          </cell>
          <cell r="F28" t="str">
            <v xml:space="preserve">Vb </v>
          </cell>
          <cell r="G28">
            <v>1</v>
          </cell>
          <cell r="H28">
            <v>10300</v>
          </cell>
          <cell r="I28">
            <v>10300</v>
          </cell>
        </row>
        <row r="29">
          <cell r="C29">
            <v>14</v>
          </cell>
          <cell r="D29" t="str">
            <v>Orçamento da obra</v>
          </cell>
          <cell r="F29" t="str">
            <v>Vb</v>
          </cell>
          <cell r="G29">
            <v>1</v>
          </cell>
          <cell r="H29">
            <v>10300</v>
          </cell>
          <cell r="I29">
            <v>10300</v>
          </cell>
        </row>
        <row r="30">
          <cell r="C30" t="str">
            <v>07.02.03.01</v>
          </cell>
          <cell r="D30" t="str">
            <v>Técnico de Segurança do Trabalho</v>
          </cell>
          <cell r="F30" t="str">
            <v xml:space="preserve">mês </v>
          </cell>
          <cell r="G30">
            <v>26</v>
          </cell>
          <cell r="H30">
            <v>2300</v>
          </cell>
          <cell r="I30">
            <v>59800</v>
          </cell>
        </row>
        <row r="31">
          <cell r="C31">
            <v>15</v>
          </cell>
          <cell r="D31" t="str">
            <v>Técnico de segurança do trabalho</v>
          </cell>
          <cell r="F31" t="str">
            <v>mês</v>
          </cell>
          <cell r="G31">
            <v>1</v>
          </cell>
          <cell r="H31">
            <v>2300</v>
          </cell>
          <cell r="I31">
            <v>2300</v>
          </cell>
        </row>
        <row r="32">
          <cell r="C32" t="str">
            <v>07.02.04.01</v>
          </cell>
          <cell r="D32" t="str">
            <v>Assessoria de Bombeiro</v>
          </cell>
          <cell r="F32" t="str">
            <v xml:space="preserve">Vb </v>
          </cell>
          <cell r="G32">
            <v>1</v>
          </cell>
          <cell r="H32">
            <v>5000</v>
          </cell>
          <cell r="I32">
            <v>5000</v>
          </cell>
        </row>
        <row r="33">
          <cell r="C33">
            <v>16</v>
          </cell>
          <cell r="D33" t="str">
            <v>Assessoria bombeiro</v>
          </cell>
          <cell r="F33" t="str">
            <v>Vb</v>
          </cell>
          <cell r="G33">
            <v>1</v>
          </cell>
          <cell r="H33">
            <v>5000</v>
          </cell>
          <cell r="I33">
            <v>5000</v>
          </cell>
        </row>
        <row r="34">
          <cell r="C34" t="str">
            <v>07.02.05.01</v>
          </cell>
          <cell r="D34" t="str">
            <v>Levantamento Topográfico</v>
          </cell>
          <cell r="F34" t="str">
            <v xml:space="preserve">Vb </v>
          </cell>
          <cell r="G34">
            <v>1</v>
          </cell>
          <cell r="H34">
            <v>2000</v>
          </cell>
          <cell r="I34">
            <v>2000</v>
          </cell>
        </row>
        <row r="35">
          <cell r="C35">
            <v>17</v>
          </cell>
          <cell r="D35" t="str">
            <v>Projeto planialtimétrico</v>
          </cell>
          <cell r="F35" t="str">
            <v>Vb</v>
          </cell>
          <cell r="G35">
            <v>1</v>
          </cell>
          <cell r="H35">
            <v>2000</v>
          </cell>
          <cell r="I35">
            <v>2000</v>
          </cell>
        </row>
        <row r="36">
          <cell r="C36" t="str">
            <v>07.02.05.02</v>
          </cell>
          <cell r="D36" t="str">
            <v>Serviços Topográficos</v>
          </cell>
          <cell r="F36" t="str">
            <v xml:space="preserve">Vb </v>
          </cell>
          <cell r="G36">
            <v>1</v>
          </cell>
          <cell r="H36">
            <v>14000</v>
          </cell>
          <cell r="I36">
            <v>14000</v>
          </cell>
        </row>
        <row r="37">
          <cell r="C37">
            <v>18</v>
          </cell>
          <cell r="D37" t="str">
            <v>Serviços topográficos</v>
          </cell>
          <cell r="F37" t="str">
            <v>Vb</v>
          </cell>
          <cell r="G37">
            <v>1</v>
          </cell>
          <cell r="H37">
            <v>14000</v>
          </cell>
          <cell r="I37">
            <v>14000</v>
          </cell>
        </row>
        <row r="38">
          <cell r="C38" t="str">
            <v>07.02.07.01</v>
          </cell>
          <cell r="D38" t="str">
            <v>Perícias</v>
          </cell>
          <cell r="F38" t="str">
            <v xml:space="preserve">Vb </v>
          </cell>
          <cell r="G38">
            <v>1</v>
          </cell>
          <cell r="H38">
            <v>8500</v>
          </cell>
          <cell r="I38">
            <v>8500</v>
          </cell>
        </row>
        <row r="39">
          <cell r="C39">
            <v>19</v>
          </cell>
          <cell r="D39" t="str">
            <v>Perícias</v>
          </cell>
          <cell r="F39" t="str">
            <v>Vb</v>
          </cell>
          <cell r="G39">
            <v>1</v>
          </cell>
          <cell r="H39">
            <v>8500</v>
          </cell>
          <cell r="I39">
            <v>8500</v>
          </cell>
        </row>
        <row r="40">
          <cell r="C40" t="str">
            <v>07.02.15.01</v>
          </cell>
          <cell r="D40" t="str">
            <v>Sondagem (SPT)</v>
          </cell>
          <cell r="F40" t="str">
            <v xml:space="preserve">m </v>
          </cell>
          <cell r="G40">
            <v>258</v>
          </cell>
          <cell r="H40">
            <v>65</v>
          </cell>
          <cell r="I40">
            <v>16770</v>
          </cell>
        </row>
        <row r="41">
          <cell r="C41">
            <v>20</v>
          </cell>
          <cell r="D41" t="str">
            <v>Sondagem a percussão SPT</v>
          </cell>
          <cell r="F41" t="str">
            <v>m</v>
          </cell>
          <cell r="G41">
            <v>1</v>
          </cell>
          <cell r="H41">
            <v>65</v>
          </cell>
          <cell r="I41">
            <v>65</v>
          </cell>
        </row>
        <row r="42">
          <cell r="C42" t="str">
            <v>07.03.01.01</v>
          </cell>
          <cell r="D42" t="str">
            <v>Alvará de Bombeiro</v>
          </cell>
          <cell r="F42" t="str">
            <v xml:space="preserve">Vb </v>
          </cell>
          <cell r="G42">
            <v>1</v>
          </cell>
          <cell r="H42">
            <v>5000</v>
          </cell>
          <cell r="I42">
            <v>5000</v>
          </cell>
        </row>
        <row r="43">
          <cell r="C43">
            <v>21</v>
          </cell>
          <cell r="D43" t="str">
            <v>Alvará de bombeiro</v>
          </cell>
          <cell r="F43" t="str">
            <v>Vb</v>
          </cell>
          <cell r="G43">
            <v>1</v>
          </cell>
          <cell r="H43">
            <v>5000</v>
          </cell>
          <cell r="I43">
            <v>5000</v>
          </cell>
        </row>
        <row r="44">
          <cell r="C44" t="str">
            <v>07.03.03.01</v>
          </cell>
          <cell r="D44" t="str">
            <v>Alvará de Elevadores</v>
          </cell>
          <cell r="F44" t="str">
            <v xml:space="preserve">Vb </v>
          </cell>
          <cell r="G44">
            <v>1</v>
          </cell>
          <cell r="H44">
            <v>5000</v>
          </cell>
          <cell r="I44">
            <v>5000</v>
          </cell>
        </row>
        <row r="45">
          <cell r="C45">
            <v>22</v>
          </cell>
          <cell r="D45" t="str">
            <v>Alvará de elevadores</v>
          </cell>
          <cell r="F45" t="str">
            <v>Vb</v>
          </cell>
          <cell r="G45">
            <v>1</v>
          </cell>
          <cell r="H45">
            <v>5000</v>
          </cell>
          <cell r="I45">
            <v>5000</v>
          </cell>
        </row>
        <row r="46">
          <cell r="C46" t="str">
            <v>07.03.04.01</v>
          </cell>
          <cell r="D46" t="str">
            <v>Habite-se</v>
          </cell>
          <cell r="F46" t="str">
            <v xml:space="preserve">Vb </v>
          </cell>
          <cell r="G46">
            <v>1</v>
          </cell>
          <cell r="H46">
            <v>80000</v>
          </cell>
          <cell r="I46">
            <v>80000</v>
          </cell>
        </row>
        <row r="47">
          <cell r="C47">
            <v>23</v>
          </cell>
          <cell r="D47" t="str">
            <v>Habite-se</v>
          </cell>
          <cell r="F47" t="str">
            <v>Vb</v>
          </cell>
          <cell r="G47">
            <v>1</v>
          </cell>
          <cell r="H47">
            <v>80000</v>
          </cell>
          <cell r="I47">
            <v>80000</v>
          </cell>
        </row>
        <row r="48">
          <cell r="C48" t="str">
            <v>08.01.01.01</v>
          </cell>
          <cell r="D48" t="str">
            <v>Ligações Provisórias de Água e Energia</v>
          </cell>
          <cell r="F48" t="str">
            <v xml:space="preserve">Vb </v>
          </cell>
          <cell r="G48">
            <v>1</v>
          </cell>
          <cell r="H48">
            <v>24417</v>
          </cell>
          <cell r="I48">
            <v>24417</v>
          </cell>
        </row>
        <row r="49">
          <cell r="C49">
            <v>24</v>
          </cell>
          <cell r="D49" t="str">
            <v>Ligações provisórias</v>
          </cell>
          <cell r="F49" t="str">
            <v>Vb</v>
          </cell>
          <cell r="G49">
            <v>1</v>
          </cell>
          <cell r="H49">
            <v>24417</v>
          </cell>
          <cell r="I49">
            <v>24417</v>
          </cell>
        </row>
        <row r="50">
          <cell r="C50" t="str">
            <v>08.01.02.01</v>
          </cell>
          <cell r="D50" t="str">
            <v>Tapume Padrão BNG</v>
          </cell>
          <cell r="F50" t="str">
            <v xml:space="preserve">m2 </v>
          </cell>
          <cell r="G50">
            <v>355</v>
          </cell>
          <cell r="H50">
            <v>112.68370480000002</v>
          </cell>
          <cell r="I50">
            <v>40002.720000000001</v>
          </cell>
        </row>
        <row r="51">
          <cell r="C51">
            <v>25</v>
          </cell>
          <cell r="D51" t="str">
            <v>Mobilização e desmobilizaçao</v>
          </cell>
          <cell r="F51" t="str">
            <v>m2</v>
          </cell>
          <cell r="G51">
            <v>1</v>
          </cell>
          <cell r="H51">
            <v>1.65</v>
          </cell>
          <cell r="I51">
            <v>1.65</v>
          </cell>
        </row>
        <row r="52">
          <cell r="C52">
            <v>26</v>
          </cell>
          <cell r="D52" t="str">
            <v>Fornecimento painés OSB, inclusive estrutura</v>
          </cell>
          <cell r="F52" t="str">
            <v>m2</v>
          </cell>
          <cell r="G52">
            <v>0.76</v>
          </cell>
          <cell r="H52">
            <v>83.2</v>
          </cell>
          <cell r="I52">
            <v>63.231999999999999</v>
          </cell>
        </row>
        <row r="53">
          <cell r="C53">
            <v>27</v>
          </cell>
          <cell r="D53" t="str">
            <v>Fornecimento de painéis OSB para aquário</v>
          </cell>
          <cell r="F53" t="str">
            <v>m2</v>
          </cell>
          <cell r="G53">
            <v>0.13800000000000001</v>
          </cell>
          <cell r="H53">
            <v>58</v>
          </cell>
          <cell r="I53">
            <v>8.0039999999999996</v>
          </cell>
        </row>
        <row r="54">
          <cell r="C54">
            <v>28</v>
          </cell>
          <cell r="D54" t="str">
            <v>Fornecimento e instalação de vidros</v>
          </cell>
          <cell r="F54" t="str">
            <v>m2</v>
          </cell>
          <cell r="G54">
            <v>0.1014</v>
          </cell>
          <cell r="H54">
            <v>300</v>
          </cell>
          <cell r="I54">
            <v>30.42</v>
          </cell>
        </row>
        <row r="55">
          <cell r="C55">
            <v>29</v>
          </cell>
          <cell r="D55" t="str">
            <v>Pintura em 3 demãos</v>
          </cell>
          <cell r="F55" t="str">
            <v>m2</v>
          </cell>
          <cell r="G55">
            <v>0.76056000000000001</v>
          </cell>
          <cell r="H55">
            <v>12.33</v>
          </cell>
          <cell r="I55">
            <v>9.3777048000000001</v>
          </cell>
        </row>
        <row r="56">
          <cell r="C56" t="str">
            <v>08.01.03.01</v>
          </cell>
          <cell r="D56" t="str">
            <v>Canteiro de Obras</v>
          </cell>
          <cell r="F56" t="str">
            <v xml:space="preserve">m2 </v>
          </cell>
          <cell r="G56">
            <v>200</v>
          </cell>
          <cell r="H56">
            <v>430</v>
          </cell>
          <cell r="I56">
            <v>86000</v>
          </cell>
        </row>
        <row r="57">
          <cell r="C57">
            <v>30</v>
          </cell>
          <cell r="D57" t="str">
            <v>Canteiro / barracão de obra</v>
          </cell>
          <cell r="F57" t="str">
            <v>m2</v>
          </cell>
          <cell r="G57">
            <v>1</v>
          </cell>
          <cell r="H57">
            <v>380</v>
          </cell>
          <cell r="I57">
            <v>380</v>
          </cell>
        </row>
        <row r="58">
          <cell r="C58">
            <v>31</v>
          </cell>
          <cell r="D58" t="str">
            <v>Reforma e/ou mudança do canteiro de obras</v>
          </cell>
          <cell r="F58" t="str">
            <v>m2</v>
          </cell>
          <cell r="G58">
            <v>1</v>
          </cell>
          <cell r="H58">
            <v>50</v>
          </cell>
          <cell r="I58">
            <v>50</v>
          </cell>
        </row>
        <row r="59">
          <cell r="C59" t="str">
            <v>08.01.03.02</v>
          </cell>
          <cell r="D59" t="str">
            <v>Equipamentos para Canteiro de Obras</v>
          </cell>
          <cell r="F59" t="str">
            <v xml:space="preserve">Vb </v>
          </cell>
          <cell r="G59">
            <v>1</v>
          </cell>
          <cell r="H59">
            <v>18517.32</v>
          </cell>
          <cell r="I59">
            <v>18517.32</v>
          </cell>
        </row>
        <row r="60">
          <cell r="C60">
            <v>32</v>
          </cell>
          <cell r="D60" t="str">
            <v>Cadeira</v>
          </cell>
          <cell r="F60" t="str">
            <v>un</v>
          </cell>
          <cell r="G60">
            <v>13</v>
          </cell>
          <cell r="H60">
            <v>120</v>
          </cell>
          <cell r="I60">
            <v>1560</v>
          </cell>
        </row>
        <row r="61">
          <cell r="C61">
            <v>33</v>
          </cell>
          <cell r="D61" t="str">
            <v>Impressora</v>
          </cell>
          <cell r="F61" t="str">
            <v>un</v>
          </cell>
          <cell r="G61">
            <v>2</v>
          </cell>
          <cell r="H61">
            <v>263.36</v>
          </cell>
          <cell r="I61">
            <v>526.72</v>
          </cell>
        </row>
        <row r="62">
          <cell r="C62">
            <v>34</v>
          </cell>
          <cell r="D62" t="str">
            <v>Mesa 0,70x1,40m com 3 gavetas</v>
          </cell>
          <cell r="F62" t="str">
            <v>un</v>
          </cell>
          <cell r="G62">
            <v>5</v>
          </cell>
          <cell r="H62">
            <v>250</v>
          </cell>
          <cell r="I62">
            <v>1250</v>
          </cell>
        </row>
        <row r="63">
          <cell r="C63">
            <v>35</v>
          </cell>
          <cell r="D63" t="str">
            <v>Mesa para computador</v>
          </cell>
          <cell r="F63" t="str">
            <v>un</v>
          </cell>
          <cell r="G63">
            <v>3</v>
          </cell>
          <cell r="H63">
            <v>250</v>
          </cell>
          <cell r="I63">
            <v>750</v>
          </cell>
        </row>
        <row r="64">
          <cell r="C64">
            <v>36</v>
          </cell>
          <cell r="D64" t="str">
            <v>Micro computador</v>
          </cell>
          <cell r="F64" t="str">
            <v>un</v>
          </cell>
          <cell r="G64">
            <v>4</v>
          </cell>
          <cell r="H64">
            <v>2395.15</v>
          </cell>
          <cell r="I64">
            <v>9580.6</v>
          </cell>
        </row>
        <row r="65">
          <cell r="C65">
            <v>37</v>
          </cell>
          <cell r="D65" t="str">
            <v>Aparelho telefone</v>
          </cell>
          <cell r="F65" t="str">
            <v>un</v>
          </cell>
          <cell r="G65">
            <v>6</v>
          </cell>
          <cell r="H65">
            <v>50</v>
          </cell>
          <cell r="I65">
            <v>300</v>
          </cell>
        </row>
        <row r="66">
          <cell r="C66">
            <v>38</v>
          </cell>
          <cell r="D66" t="str">
            <v>Aparelho de fax 110/220V</v>
          </cell>
          <cell r="F66" t="str">
            <v>un</v>
          </cell>
          <cell r="G66">
            <v>1</v>
          </cell>
          <cell r="H66">
            <v>350</v>
          </cell>
          <cell r="I66">
            <v>350</v>
          </cell>
        </row>
        <row r="67">
          <cell r="C67">
            <v>39</v>
          </cell>
          <cell r="D67" t="str">
            <v>Ar condicionado</v>
          </cell>
          <cell r="F67" t="str">
            <v>un</v>
          </cell>
          <cell r="G67">
            <v>2</v>
          </cell>
          <cell r="H67">
            <v>800</v>
          </cell>
          <cell r="I67">
            <v>1600</v>
          </cell>
        </row>
        <row r="68">
          <cell r="C68">
            <v>40</v>
          </cell>
          <cell r="D68" t="str">
            <v>Central telefônica</v>
          </cell>
          <cell r="F68" t="str">
            <v>un</v>
          </cell>
          <cell r="G68">
            <v>1</v>
          </cell>
          <cell r="H68">
            <v>2000</v>
          </cell>
          <cell r="I68">
            <v>2000</v>
          </cell>
        </row>
        <row r="69">
          <cell r="C69">
            <v>41</v>
          </cell>
          <cell r="D69" t="str">
            <v>Frigobar</v>
          </cell>
          <cell r="F69" t="str">
            <v>un</v>
          </cell>
          <cell r="G69">
            <v>1</v>
          </cell>
          <cell r="H69">
            <v>600</v>
          </cell>
          <cell r="I69">
            <v>600</v>
          </cell>
        </row>
        <row r="70">
          <cell r="C70" t="str">
            <v>08.01.04.01</v>
          </cell>
          <cell r="D70" t="str">
            <v>Placa de Obra Padrão BNG</v>
          </cell>
          <cell r="F70" t="str">
            <v xml:space="preserve">un </v>
          </cell>
          <cell r="G70">
            <v>1</v>
          </cell>
          <cell r="H70">
            <v>8000</v>
          </cell>
          <cell r="I70">
            <v>8000</v>
          </cell>
        </row>
        <row r="71">
          <cell r="C71">
            <v>42</v>
          </cell>
          <cell r="D71" t="str">
            <v>Placa de obra</v>
          </cell>
          <cell r="F71" t="str">
            <v>Vb</v>
          </cell>
          <cell r="G71">
            <v>1</v>
          </cell>
          <cell r="H71">
            <v>8000</v>
          </cell>
          <cell r="I71">
            <v>8000</v>
          </cell>
        </row>
        <row r="72">
          <cell r="C72" t="str">
            <v>08.01.06.01</v>
          </cell>
          <cell r="D72" t="str">
            <v>Limpeza do Terreno</v>
          </cell>
          <cell r="F72" t="str">
            <v xml:space="preserve">m2 </v>
          </cell>
          <cell r="G72">
            <v>4596</v>
          </cell>
          <cell r="H72">
            <v>0.8</v>
          </cell>
          <cell r="I72">
            <v>3676.8</v>
          </cell>
        </row>
        <row r="73">
          <cell r="C73">
            <v>43</v>
          </cell>
          <cell r="D73" t="str">
            <v>Limpeza de terreno</v>
          </cell>
          <cell r="F73" t="str">
            <v>m2</v>
          </cell>
          <cell r="G73">
            <v>1</v>
          </cell>
          <cell r="H73">
            <v>0.8</v>
          </cell>
          <cell r="I73">
            <v>0.8</v>
          </cell>
        </row>
        <row r="74">
          <cell r="C74" t="str">
            <v>08.01.07.01</v>
          </cell>
          <cell r="D74" t="str">
            <v>Gabarito da Obra</v>
          </cell>
          <cell r="F74" t="str">
            <v>ml</v>
          </cell>
          <cell r="G74">
            <v>300</v>
          </cell>
          <cell r="H74">
            <v>15</v>
          </cell>
          <cell r="I74">
            <v>4500</v>
          </cell>
        </row>
        <row r="75">
          <cell r="C75">
            <v>44</v>
          </cell>
          <cell r="D75" t="str">
            <v>Sarrafo 1"x3" - cedrinho aparelhado</v>
          </cell>
          <cell r="F75" t="str">
            <v>m</v>
          </cell>
          <cell r="G75">
            <v>1</v>
          </cell>
          <cell r="H75">
            <v>4.5</v>
          </cell>
          <cell r="I75">
            <v>4.5</v>
          </cell>
        </row>
        <row r="76">
          <cell r="C76">
            <v>45</v>
          </cell>
          <cell r="D76" t="str">
            <v>Pontalete 3"x3" - cedrinho aparelhado</v>
          </cell>
          <cell r="F76" t="str">
            <v>m</v>
          </cell>
          <cell r="G76">
            <v>1</v>
          </cell>
          <cell r="H76">
            <v>5.54</v>
          </cell>
          <cell r="I76">
            <v>5.54</v>
          </cell>
        </row>
        <row r="77">
          <cell r="C77">
            <v>46</v>
          </cell>
          <cell r="D77" t="str">
            <v>Arame recozido nº18</v>
          </cell>
          <cell r="F77" t="str">
            <v>kg</v>
          </cell>
          <cell r="G77">
            <v>0.1</v>
          </cell>
          <cell r="H77">
            <v>4.5999999999999996</v>
          </cell>
          <cell r="I77">
            <v>0.46</v>
          </cell>
        </row>
        <row r="78">
          <cell r="C78">
            <v>47</v>
          </cell>
          <cell r="D78" t="str">
            <v>MDO para execução de gabarito</v>
          </cell>
          <cell r="F78" t="str">
            <v>ml</v>
          </cell>
          <cell r="G78">
            <v>1</v>
          </cell>
          <cell r="H78">
            <v>4.5</v>
          </cell>
          <cell r="I78">
            <v>4.5</v>
          </cell>
        </row>
        <row r="79">
          <cell r="C79" t="str">
            <v>09.01.01.01</v>
          </cell>
          <cell r="D79" t="str">
            <v>Consumo de Água</v>
          </cell>
          <cell r="F79" t="str">
            <v xml:space="preserve">mês </v>
          </cell>
          <cell r="G79">
            <v>26</v>
          </cell>
          <cell r="H79">
            <v>2800</v>
          </cell>
          <cell r="I79">
            <v>72800</v>
          </cell>
        </row>
        <row r="80">
          <cell r="C80">
            <v>48</v>
          </cell>
          <cell r="D80" t="str">
            <v>Consumo de água</v>
          </cell>
          <cell r="F80" t="str">
            <v>mês</v>
          </cell>
          <cell r="G80">
            <v>1</v>
          </cell>
          <cell r="H80">
            <v>2800</v>
          </cell>
          <cell r="I80">
            <v>2800</v>
          </cell>
        </row>
        <row r="81">
          <cell r="C81" t="str">
            <v>09.01.02.01</v>
          </cell>
          <cell r="D81" t="str">
            <v>Consumo de Energia</v>
          </cell>
          <cell r="F81" t="str">
            <v xml:space="preserve">mês </v>
          </cell>
          <cell r="G81">
            <v>26</v>
          </cell>
          <cell r="H81">
            <v>3200</v>
          </cell>
          <cell r="I81">
            <v>83200</v>
          </cell>
        </row>
        <row r="82">
          <cell r="C82">
            <v>49</v>
          </cell>
          <cell r="D82" t="str">
            <v>Consumo de energia</v>
          </cell>
          <cell r="F82" t="str">
            <v>mês</v>
          </cell>
          <cell r="G82">
            <v>1</v>
          </cell>
          <cell r="H82">
            <v>3200</v>
          </cell>
          <cell r="I82">
            <v>3200</v>
          </cell>
        </row>
        <row r="83">
          <cell r="C83" t="str">
            <v>09.01.03.01</v>
          </cell>
          <cell r="D83" t="str">
            <v>Consumo de Telefone</v>
          </cell>
          <cell r="F83" t="str">
            <v xml:space="preserve">mês </v>
          </cell>
          <cell r="G83">
            <v>26</v>
          </cell>
          <cell r="H83">
            <v>1100</v>
          </cell>
          <cell r="I83">
            <v>28600</v>
          </cell>
        </row>
        <row r="84">
          <cell r="C84">
            <v>50</v>
          </cell>
          <cell r="D84" t="str">
            <v>Consumo de telefone</v>
          </cell>
          <cell r="F84" t="str">
            <v>mês</v>
          </cell>
          <cell r="G84">
            <v>1</v>
          </cell>
          <cell r="H84">
            <v>1100</v>
          </cell>
          <cell r="I84">
            <v>1100</v>
          </cell>
        </row>
        <row r="85">
          <cell r="C85" t="str">
            <v>09.01.06.01</v>
          </cell>
          <cell r="D85" t="str">
            <v>Remoção de Entulho</v>
          </cell>
          <cell r="F85" t="str">
            <v xml:space="preserve">mês </v>
          </cell>
          <cell r="G85">
            <v>26</v>
          </cell>
          <cell r="H85">
            <v>1920</v>
          </cell>
          <cell r="I85">
            <v>49920</v>
          </cell>
        </row>
        <row r="86">
          <cell r="C86">
            <v>51</v>
          </cell>
          <cell r="D86" t="str">
            <v>Caçamba de entulho</v>
          </cell>
          <cell r="F86" t="str">
            <v>vg</v>
          </cell>
          <cell r="G86">
            <v>12</v>
          </cell>
          <cell r="H86">
            <v>160</v>
          </cell>
          <cell r="I86">
            <v>1920</v>
          </cell>
        </row>
        <row r="87">
          <cell r="C87" t="str">
            <v>09.01.07.01</v>
          </cell>
          <cell r="D87" t="str">
            <v>Carretos</v>
          </cell>
          <cell r="F87" t="str">
            <v xml:space="preserve">mês </v>
          </cell>
          <cell r="G87">
            <v>26</v>
          </cell>
          <cell r="H87">
            <v>350</v>
          </cell>
          <cell r="I87">
            <v>9100</v>
          </cell>
        </row>
        <row r="88">
          <cell r="C88">
            <v>52</v>
          </cell>
          <cell r="D88" t="str">
            <v>Frete (vg)</v>
          </cell>
          <cell r="F88" t="str">
            <v>vg</v>
          </cell>
          <cell r="G88">
            <v>1</v>
          </cell>
          <cell r="H88">
            <v>350</v>
          </cell>
          <cell r="I88">
            <v>350</v>
          </cell>
        </row>
        <row r="89">
          <cell r="C89" t="str">
            <v>09.01.08.01</v>
          </cell>
          <cell r="D89" t="str">
            <v>Vigilância</v>
          </cell>
          <cell r="F89" t="str">
            <v xml:space="preserve">mês </v>
          </cell>
          <cell r="G89">
            <v>26</v>
          </cell>
          <cell r="H89">
            <v>7500</v>
          </cell>
          <cell r="I89">
            <v>195000</v>
          </cell>
        </row>
        <row r="90">
          <cell r="C90">
            <v>53</v>
          </cell>
          <cell r="D90" t="str">
            <v>Vigilância</v>
          </cell>
          <cell r="F90" t="str">
            <v>mês</v>
          </cell>
          <cell r="G90">
            <v>1.5</v>
          </cell>
          <cell r="H90">
            <v>5000</v>
          </cell>
          <cell r="I90">
            <v>7500</v>
          </cell>
        </row>
        <row r="91">
          <cell r="C91" t="str">
            <v>09.01.09.01</v>
          </cell>
          <cell r="D91" t="str">
            <v>Material de Escritório</v>
          </cell>
          <cell r="F91" t="str">
            <v xml:space="preserve">mês </v>
          </cell>
          <cell r="G91">
            <v>26</v>
          </cell>
          <cell r="H91">
            <v>400</v>
          </cell>
          <cell r="I91">
            <v>10400</v>
          </cell>
        </row>
        <row r="92">
          <cell r="C92">
            <v>54</v>
          </cell>
          <cell r="D92" t="str">
            <v>Material de escritório</v>
          </cell>
          <cell r="F92" t="str">
            <v>Vb</v>
          </cell>
          <cell r="G92">
            <v>1</v>
          </cell>
          <cell r="H92">
            <v>400</v>
          </cell>
          <cell r="I92">
            <v>400</v>
          </cell>
        </row>
        <row r="93">
          <cell r="C93" t="str">
            <v>09.01.10.01</v>
          </cell>
          <cell r="D93" t="str">
            <v>Manutenção de Canteiro</v>
          </cell>
          <cell r="F93" t="str">
            <v xml:space="preserve">mês </v>
          </cell>
          <cell r="G93">
            <v>26</v>
          </cell>
          <cell r="H93">
            <v>5000</v>
          </cell>
          <cell r="I93">
            <v>130000</v>
          </cell>
        </row>
        <row r="94">
          <cell r="C94">
            <v>55</v>
          </cell>
          <cell r="D94" t="str">
            <v>MDO para manutenção de canteiro</v>
          </cell>
          <cell r="F94" t="str">
            <v>Vb</v>
          </cell>
          <cell r="G94">
            <v>1</v>
          </cell>
          <cell r="H94">
            <v>4000</v>
          </cell>
          <cell r="I94">
            <v>4000</v>
          </cell>
        </row>
        <row r="95">
          <cell r="C95">
            <v>56</v>
          </cell>
          <cell r="D95" t="str">
            <v>Material para manutenção de canteiro</v>
          </cell>
          <cell r="F95" t="str">
            <v>mês</v>
          </cell>
          <cell r="G95">
            <v>1</v>
          </cell>
          <cell r="H95">
            <v>1000</v>
          </cell>
          <cell r="I95">
            <v>1000</v>
          </cell>
        </row>
        <row r="96">
          <cell r="C96" t="str">
            <v>09.01.11.01</v>
          </cell>
          <cell r="D96" t="str">
            <v>Despesas com Vizinhos</v>
          </cell>
          <cell r="F96" t="str">
            <v xml:space="preserve">Vb </v>
          </cell>
          <cell r="G96">
            <v>1</v>
          </cell>
          <cell r="H96">
            <v>80000</v>
          </cell>
          <cell r="I96">
            <v>80000</v>
          </cell>
        </row>
        <row r="97">
          <cell r="C97">
            <v>57</v>
          </cell>
          <cell r="D97" t="str">
            <v>Despesas com vizinhos</v>
          </cell>
          <cell r="F97" t="str">
            <v>Vb</v>
          </cell>
          <cell r="G97">
            <v>1</v>
          </cell>
          <cell r="H97">
            <v>80000</v>
          </cell>
          <cell r="I97">
            <v>80000</v>
          </cell>
        </row>
        <row r="98">
          <cell r="C98" t="str">
            <v>09.02.01.02</v>
          </cell>
          <cell r="D98" t="str">
            <v>Andaime Tubular</v>
          </cell>
          <cell r="F98" t="str">
            <v xml:space="preserve">mês </v>
          </cell>
          <cell r="G98">
            <v>5</v>
          </cell>
          <cell r="H98">
            <v>3996</v>
          </cell>
          <cell r="I98">
            <v>19980</v>
          </cell>
        </row>
        <row r="99">
          <cell r="C99">
            <v>58</v>
          </cell>
          <cell r="D99" t="str">
            <v>Andaime Tubular</v>
          </cell>
          <cell r="F99" t="str">
            <v>mês</v>
          </cell>
          <cell r="G99">
            <v>1</v>
          </cell>
          <cell r="H99">
            <v>3996</v>
          </cell>
          <cell r="I99">
            <v>3996</v>
          </cell>
        </row>
        <row r="100">
          <cell r="C100" t="str">
            <v>09.02.03.01</v>
          </cell>
          <cell r="D100" t="str">
            <v>Balancim Pesado</v>
          </cell>
          <cell r="F100" t="str">
            <v xml:space="preserve">mês </v>
          </cell>
          <cell r="G100">
            <v>6</v>
          </cell>
          <cell r="H100">
            <v>18150</v>
          </cell>
          <cell r="I100">
            <v>108900</v>
          </cell>
        </row>
        <row r="101">
          <cell r="C101">
            <v>59</v>
          </cell>
          <cell r="D101" t="str">
            <v>Balancim pesado</v>
          </cell>
          <cell r="F101" t="str">
            <v>mês</v>
          </cell>
          <cell r="G101">
            <v>1</v>
          </cell>
          <cell r="H101">
            <v>18150</v>
          </cell>
          <cell r="I101">
            <v>18150</v>
          </cell>
        </row>
        <row r="102">
          <cell r="C102" t="str">
            <v>09.02.04.01</v>
          </cell>
          <cell r="D102" t="str">
            <v>Elevador de Carga</v>
          </cell>
          <cell r="F102" t="str">
            <v xml:space="preserve">mês </v>
          </cell>
          <cell r="G102">
            <v>12</v>
          </cell>
          <cell r="H102">
            <v>6700</v>
          </cell>
          <cell r="I102">
            <v>80400</v>
          </cell>
        </row>
        <row r="103">
          <cell r="C103">
            <v>60</v>
          </cell>
          <cell r="D103" t="str">
            <v>Elevador de Carga</v>
          </cell>
          <cell r="F103" t="str">
            <v>mês</v>
          </cell>
          <cell r="G103">
            <v>1</v>
          </cell>
          <cell r="H103">
            <v>6700</v>
          </cell>
          <cell r="I103">
            <v>6700</v>
          </cell>
        </row>
        <row r="104">
          <cell r="C104" t="str">
            <v>09.02.05.01</v>
          </cell>
          <cell r="D104" t="str">
            <v>Grua</v>
          </cell>
          <cell r="F104" t="str">
            <v xml:space="preserve">mês </v>
          </cell>
          <cell r="G104">
            <v>12</v>
          </cell>
          <cell r="H104">
            <v>27500</v>
          </cell>
          <cell r="I104">
            <v>330000</v>
          </cell>
        </row>
        <row r="105">
          <cell r="C105">
            <v>61</v>
          </cell>
          <cell r="D105" t="str">
            <v>Grua</v>
          </cell>
          <cell r="F105" t="str">
            <v>mês</v>
          </cell>
          <cell r="G105">
            <v>1</v>
          </cell>
          <cell r="H105">
            <v>27500</v>
          </cell>
          <cell r="I105">
            <v>27500</v>
          </cell>
        </row>
        <row r="106">
          <cell r="C106" t="str">
            <v>09.02.05.02</v>
          </cell>
          <cell r="D106" t="str">
            <v>Obras Civis para instalação de grua</v>
          </cell>
          <cell r="F106" t="str">
            <v>vb</v>
          </cell>
          <cell r="G106">
            <v>1</v>
          </cell>
          <cell r="H106">
            <v>52800</v>
          </cell>
          <cell r="I106">
            <v>52800</v>
          </cell>
        </row>
        <row r="107">
          <cell r="C107">
            <v>62</v>
          </cell>
          <cell r="D107" t="str">
            <v>Obras Civis para instalação de grua</v>
          </cell>
          <cell r="F107" t="str">
            <v>vb</v>
          </cell>
          <cell r="G107">
            <v>1</v>
          </cell>
          <cell r="H107">
            <v>52800</v>
          </cell>
          <cell r="I107">
            <v>52800</v>
          </cell>
        </row>
        <row r="108">
          <cell r="C108" t="str">
            <v>09.02.06.01</v>
          </cell>
          <cell r="D108" t="str">
            <v>Elevador Cremalheira</v>
          </cell>
          <cell r="F108" t="str">
            <v xml:space="preserve">mês </v>
          </cell>
          <cell r="G108">
            <v>12</v>
          </cell>
          <cell r="H108">
            <v>8487</v>
          </cell>
          <cell r="I108">
            <v>101844</v>
          </cell>
        </row>
        <row r="109">
          <cell r="C109">
            <v>63</v>
          </cell>
          <cell r="D109" t="str">
            <v>Elevador Cremalheira</v>
          </cell>
          <cell r="F109" t="str">
            <v>mês</v>
          </cell>
          <cell r="G109">
            <v>1</v>
          </cell>
          <cell r="H109">
            <v>8487</v>
          </cell>
          <cell r="I109">
            <v>8487</v>
          </cell>
        </row>
        <row r="110">
          <cell r="C110" t="str">
            <v>09.02.06.02</v>
          </cell>
          <cell r="D110" t="str">
            <v>Obras Civis para instalação de cremalheira</v>
          </cell>
          <cell r="F110" t="str">
            <v>vb</v>
          </cell>
          <cell r="G110">
            <v>1</v>
          </cell>
          <cell r="H110">
            <v>8900</v>
          </cell>
          <cell r="I110">
            <v>8900</v>
          </cell>
        </row>
        <row r="111">
          <cell r="C111">
            <v>64</v>
          </cell>
          <cell r="D111" t="str">
            <v>Obras Civis para instalação de cremalheira</v>
          </cell>
          <cell r="F111" t="str">
            <v>vb</v>
          </cell>
          <cell r="G111">
            <v>1</v>
          </cell>
          <cell r="H111">
            <v>8900</v>
          </cell>
          <cell r="I111">
            <v>8900</v>
          </cell>
        </row>
        <row r="112">
          <cell r="C112" t="str">
            <v>09.02.07.01</v>
          </cell>
          <cell r="D112" t="str">
            <v>Ferramentas Manuais</v>
          </cell>
          <cell r="F112" t="str">
            <v xml:space="preserve">mês </v>
          </cell>
          <cell r="G112">
            <v>26</v>
          </cell>
          <cell r="H112">
            <v>200</v>
          </cell>
          <cell r="I112">
            <v>5200</v>
          </cell>
        </row>
        <row r="113">
          <cell r="C113">
            <v>65</v>
          </cell>
          <cell r="D113" t="str">
            <v>Ferramentas em geral</v>
          </cell>
          <cell r="F113" t="str">
            <v>mês</v>
          </cell>
          <cell r="G113">
            <v>1</v>
          </cell>
          <cell r="H113">
            <v>200</v>
          </cell>
          <cell r="I113">
            <v>200</v>
          </cell>
        </row>
        <row r="114">
          <cell r="C114" t="str">
            <v>09.02.08.01</v>
          </cell>
          <cell r="D114" t="str">
            <v>Equipamentos</v>
          </cell>
          <cell r="F114" t="str">
            <v xml:space="preserve">mês </v>
          </cell>
          <cell r="G114">
            <v>26</v>
          </cell>
          <cell r="H114">
            <v>500</v>
          </cell>
          <cell r="I114">
            <v>13000</v>
          </cell>
        </row>
        <row r="115">
          <cell r="C115">
            <v>66</v>
          </cell>
          <cell r="D115" t="str">
            <v>Equipamentos em geral</v>
          </cell>
          <cell r="F115" t="str">
            <v>mês</v>
          </cell>
          <cell r="G115">
            <v>1</v>
          </cell>
          <cell r="H115">
            <v>500</v>
          </cell>
          <cell r="I115">
            <v>500</v>
          </cell>
        </row>
        <row r="116">
          <cell r="C116" t="str">
            <v>09.03.01.01</v>
          </cell>
          <cell r="D116" t="str">
            <v>Equipamentos de Proteção Individual (EPI)</v>
          </cell>
          <cell r="F116" t="str">
            <v xml:space="preserve">mês </v>
          </cell>
          <cell r="G116">
            <v>26</v>
          </cell>
          <cell r="H116">
            <v>150</v>
          </cell>
          <cell r="I116">
            <v>3900</v>
          </cell>
        </row>
        <row r="117">
          <cell r="C117">
            <v>67</v>
          </cell>
          <cell r="D117" t="str">
            <v>Equipamentos de segurança</v>
          </cell>
          <cell r="F117" t="str">
            <v>mês</v>
          </cell>
          <cell r="G117">
            <v>1</v>
          </cell>
          <cell r="H117">
            <v>150</v>
          </cell>
          <cell r="I117">
            <v>150</v>
          </cell>
        </row>
        <row r="118">
          <cell r="C118" t="str">
            <v>09.03.02.01</v>
          </cell>
          <cell r="D118" t="str">
            <v>Tela de Proteção para Fachada</v>
          </cell>
          <cell r="F118" t="str">
            <v xml:space="preserve">m2 </v>
          </cell>
          <cell r="G118">
            <v>13860</v>
          </cell>
          <cell r="H118">
            <v>2.7</v>
          </cell>
          <cell r="I118">
            <v>37422</v>
          </cell>
        </row>
        <row r="119">
          <cell r="C119">
            <v>68</v>
          </cell>
          <cell r="D119" t="str">
            <v>MDO para proteção de fachada com tela</v>
          </cell>
          <cell r="F119" t="str">
            <v>m2</v>
          </cell>
          <cell r="G119">
            <v>1</v>
          </cell>
          <cell r="H119">
            <v>1.8</v>
          </cell>
          <cell r="I119">
            <v>1.8</v>
          </cell>
        </row>
        <row r="120">
          <cell r="C120">
            <v>69</v>
          </cell>
          <cell r="D120" t="str">
            <v>Tela para fachada</v>
          </cell>
          <cell r="F120" t="str">
            <v>m2</v>
          </cell>
          <cell r="G120">
            <v>1</v>
          </cell>
          <cell r="H120">
            <v>0.9</v>
          </cell>
          <cell r="I120">
            <v>0.9</v>
          </cell>
        </row>
        <row r="121">
          <cell r="C121" t="str">
            <v>09.03.02.02</v>
          </cell>
          <cell r="D121" t="str">
            <v>Proteção Periférica</v>
          </cell>
          <cell r="F121" t="str">
            <v xml:space="preserve">m </v>
          </cell>
          <cell r="G121">
            <v>1188</v>
          </cell>
          <cell r="H121">
            <v>10.860000000000001</v>
          </cell>
          <cell r="I121">
            <v>12901.68</v>
          </cell>
        </row>
        <row r="122">
          <cell r="C122">
            <v>70</v>
          </cell>
          <cell r="D122" t="str">
            <v>Tábua 1"x12" - cedrinho</v>
          </cell>
          <cell r="F122" t="str">
            <v>m</v>
          </cell>
          <cell r="G122">
            <v>1</v>
          </cell>
          <cell r="H122">
            <v>6.46</v>
          </cell>
          <cell r="I122">
            <v>6.46</v>
          </cell>
        </row>
        <row r="123">
          <cell r="C123">
            <v>71</v>
          </cell>
          <cell r="D123" t="str">
            <v>Cabo de aço de fibra galvanizada 3/8"</v>
          </cell>
          <cell r="F123" t="str">
            <v>m</v>
          </cell>
          <cell r="G123">
            <v>1</v>
          </cell>
          <cell r="H123">
            <v>2.5</v>
          </cell>
          <cell r="I123">
            <v>2.5</v>
          </cell>
        </row>
        <row r="124">
          <cell r="C124">
            <v>72</v>
          </cell>
          <cell r="D124" t="str">
            <v>Tela para proteção laranja</v>
          </cell>
          <cell r="F124" t="str">
            <v>m2</v>
          </cell>
          <cell r="G124">
            <v>1</v>
          </cell>
          <cell r="H124">
            <v>1.9</v>
          </cell>
          <cell r="I124">
            <v>1.9</v>
          </cell>
        </row>
        <row r="125">
          <cell r="C125" t="str">
            <v>09.03.02.03</v>
          </cell>
          <cell r="D125" t="str">
            <v>Sinalização de Segurança</v>
          </cell>
          <cell r="F125" t="str">
            <v xml:space="preserve">mês </v>
          </cell>
          <cell r="G125">
            <v>26</v>
          </cell>
          <cell r="H125">
            <v>100</v>
          </cell>
          <cell r="I125">
            <v>2600</v>
          </cell>
        </row>
        <row r="126">
          <cell r="C126">
            <v>73</v>
          </cell>
          <cell r="D126" t="str">
            <v>Material de segurança</v>
          </cell>
          <cell r="F126" t="str">
            <v>mês</v>
          </cell>
          <cell r="G126">
            <v>1</v>
          </cell>
          <cell r="H126">
            <v>100</v>
          </cell>
          <cell r="I126">
            <v>100</v>
          </cell>
        </row>
        <row r="127">
          <cell r="C127" t="str">
            <v>09.03.03.01</v>
          </cell>
          <cell r="D127" t="str">
            <v>Bandeja Primária</v>
          </cell>
          <cell r="F127" t="str">
            <v xml:space="preserve">m </v>
          </cell>
          <cell r="G127">
            <v>198</v>
          </cell>
          <cell r="H127">
            <v>137.22790000000001</v>
          </cell>
          <cell r="I127">
            <v>27171.119999999999</v>
          </cell>
        </row>
        <row r="128">
          <cell r="C128">
            <v>74</v>
          </cell>
          <cell r="D128" t="str">
            <v>Sarrafo 1"x6" - pinho 2ª industrial</v>
          </cell>
          <cell r="F128" t="str">
            <v>m</v>
          </cell>
          <cell r="G128">
            <v>0.45</v>
          </cell>
          <cell r="H128">
            <v>3.23</v>
          </cell>
          <cell r="I128">
            <v>1.4535</v>
          </cell>
        </row>
        <row r="129">
          <cell r="C129">
            <v>75</v>
          </cell>
          <cell r="D129" t="str">
            <v>Suporte para bandeja primária (peças retas)</v>
          </cell>
          <cell r="F129" t="str">
            <v>un</v>
          </cell>
          <cell r="G129">
            <v>1.02</v>
          </cell>
          <cell r="H129">
            <v>6</v>
          </cell>
          <cell r="I129">
            <v>6.12</v>
          </cell>
        </row>
        <row r="130">
          <cell r="C130">
            <v>76</v>
          </cell>
          <cell r="D130" t="str">
            <v>Tábua 2"x12" - cedrinho</v>
          </cell>
          <cell r="F130" t="str">
            <v>m</v>
          </cell>
          <cell r="G130">
            <v>9.16</v>
          </cell>
          <cell r="H130">
            <v>13</v>
          </cell>
          <cell r="I130">
            <v>119.08</v>
          </cell>
        </row>
        <row r="131">
          <cell r="C131">
            <v>77</v>
          </cell>
          <cell r="D131" t="str">
            <v>Prego 18x27 com cabeça</v>
          </cell>
          <cell r="F131" t="str">
            <v>kg</v>
          </cell>
          <cell r="G131">
            <v>0.32</v>
          </cell>
          <cell r="H131">
            <v>4.0199999999999996</v>
          </cell>
          <cell r="I131">
            <v>1.2864</v>
          </cell>
        </row>
        <row r="132">
          <cell r="C132">
            <v>78</v>
          </cell>
          <cell r="D132" t="str">
            <v>Compensado resinado 10mm 1,10x2,20m - cola fenólica</v>
          </cell>
          <cell r="F132" t="str">
            <v>ch</v>
          </cell>
          <cell r="G132">
            <v>0.36</v>
          </cell>
          <cell r="H132">
            <v>25.8</v>
          </cell>
          <cell r="I132">
            <v>9.2880000000000003</v>
          </cell>
        </row>
        <row r="133">
          <cell r="C133" t="str">
            <v>09.03.03.02</v>
          </cell>
          <cell r="D133" t="str">
            <v>Bandeja Secundária</v>
          </cell>
          <cell r="F133" t="str">
            <v xml:space="preserve">m </v>
          </cell>
          <cell r="G133">
            <v>396</v>
          </cell>
          <cell r="H133">
            <v>91.911599999999993</v>
          </cell>
          <cell r="I133">
            <v>36396.99</v>
          </cell>
        </row>
        <row r="134">
          <cell r="C134">
            <v>74</v>
          </cell>
          <cell r="D134" t="str">
            <v>Sarrafo 1"x6" - pinho 2ª industrial</v>
          </cell>
          <cell r="F134" t="str">
            <v>m</v>
          </cell>
          <cell r="G134">
            <v>2.64</v>
          </cell>
          <cell r="H134">
            <v>3.23</v>
          </cell>
          <cell r="I134">
            <v>8.5272000000000006</v>
          </cell>
        </row>
        <row r="135">
          <cell r="C135">
            <v>79</v>
          </cell>
          <cell r="D135" t="str">
            <v>Suporte para bandeja secundária</v>
          </cell>
          <cell r="F135" t="str">
            <v>un</v>
          </cell>
          <cell r="G135">
            <v>1.02</v>
          </cell>
          <cell r="H135">
            <v>6</v>
          </cell>
          <cell r="I135">
            <v>6.12</v>
          </cell>
        </row>
        <row r="136">
          <cell r="C136">
            <v>76</v>
          </cell>
          <cell r="D136" t="str">
            <v>Tábua 2"x12" - cedrinho</v>
          </cell>
          <cell r="F136" t="str">
            <v>m</v>
          </cell>
          <cell r="G136">
            <v>5.13</v>
          </cell>
          <cell r="H136">
            <v>13</v>
          </cell>
          <cell r="I136">
            <v>66.69</v>
          </cell>
        </row>
        <row r="137">
          <cell r="C137">
            <v>77</v>
          </cell>
          <cell r="D137" t="str">
            <v>Prego 18x27 com cabeça</v>
          </cell>
          <cell r="F137" t="str">
            <v>kg</v>
          </cell>
          <cell r="G137">
            <v>0.32</v>
          </cell>
          <cell r="H137">
            <v>4.0199999999999996</v>
          </cell>
          <cell r="I137">
            <v>1.2864</v>
          </cell>
        </row>
        <row r="138">
          <cell r="C138">
            <v>78</v>
          </cell>
          <cell r="D138" t="str">
            <v>Compensado resinado 10mm 1,10x2,20m - cola fenólica</v>
          </cell>
          <cell r="F138" t="str">
            <v>ch</v>
          </cell>
          <cell r="G138">
            <v>0.36</v>
          </cell>
          <cell r="H138">
            <v>25.8</v>
          </cell>
          <cell r="I138">
            <v>9.2880000000000003</v>
          </cell>
        </row>
        <row r="139">
          <cell r="C139" t="str">
            <v>09.04.01.01</v>
          </cell>
          <cell r="D139" t="str">
            <v>Controle Tecnológico do Concreto</v>
          </cell>
          <cell r="F139" t="str">
            <v xml:space="preserve">Vb </v>
          </cell>
          <cell r="G139">
            <v>1</v>
          </cell>
          <cell r="H139">
            <v>124332.82</v>
          </cell>
          <cell r="I139">
            <v>124332.82</v>
          </cell>
        </row>
        <row r="140">
          <cell r="C140">
            <v>80</v>
          </cell>
          <cell r="D140" t="str">
            <v>Ensaios de concreto</v>
          </cell>
          <cell r="F140" t="str">
            <v>Vb</v>
          </cell>
          <cell r="G140">
            <v>1</v>
          </cell>
          <cell r="H140">
            <v>124332.82</v>
          </cell>
          <cell r="I140">
            <v>124332.82</v>
          </cell>
        </row>
        <row r="141">
          <cell r="C141" t="str">
            <v>09.04.02.01</v>
          </cell>
          <cell r="D141" t="str">
            <v>Controle Tecnológico do Aço</v>
          </cell>
          <cell r="F141" t="str">
            <v xml:space="preserve">Vb </v>
          </cell>
          <cell r="G141">
            <v>1</v>
          </cell>
          <cell r="H141">
            <v>500</v>
          </cell>
          <cell r="I141">
            <v>500</v>
          </cell>
        </row>
        <row r="142">
          <cell r="C142">
            <v>81</v>
          </cell>
          <cell r="D142" t="str">
            <v>Ensaios de aço</v>
          </cell>
          <cell r="F142" t="str">
            <v>Vb</v>
          </cell>
          <cell r="G142">
            <v>1</v>
          </cell>
          <cell r="H142">
            <v>500</v>
          </cell>
          <cell r="I142">
            <v>500</v>
          </cell>
        </row>
        <row r="143">
          <cell r="C143" t="str">
            <v>10.01.01.01</v>
          </cell>
          <cell r="D143" t="str">
            <v>Escavação Mecânica de Solos com Bota Fora de Terra</v>
          </cell>
          <cell r="F143" t="str">
            <v xml:space="preserve">m3 </v>
          </cell>
          <cell r="G143">
            <v>47670</v>
          </cell>
          <cell r="H143">
            <v>24</v>
          </cell>
          <cell r="I143">
            <v>1144080</v>
          </cell>
        </row>
        <row r="144">
          <cell r="C144">
            <v>82</v>
          </cell>
          <cell r="D144" t="str">
            <v>Escavação mecânica com bota fora</v>
          </cell>
          <cell r="F144" t="str">
            <v>m3</v>
          </cell>
          <cell r="G144">
            <v>1</v>
          </cell>
          <cell r="H144">
            <v>24</v>
          </cell>
          <cell r="I144">
            <v>24</v>
          </cell>
        </row>
        <row r="145">
          <cell r="C145" t="str">
            <v>12.01.01.01</v>
          </cell>
          <cell r="D145" t="str">
            <v>Lastro de concreto p/ fundações - e=5cm</v>
          </cell>
          <cell r="F145" t="str">
            <v xml:space="preserve">m2 </v>
          </cell>
          <cell r="G145">
            <v>1129</v>
          </cell>
          <cell r="H145">
            <v>22.036799999999999</v>
          </cell>
          <cell r="I145">
            <v>24879.55</v>
          </cell>
        </row>
        <row r="146">
          <cell r="C146" t="str">
            <v>555A</v>
          </cell>
          <cell r="D146" t="str">
            <v>Cimento Portland Composto CPII-E32 (saco 50kg)</v>
          </cell>
          <cell r="F146" t="str">
            <v>sc</v>
          </cell>
          <cell r="G146">
            <v>0.22</v>
          </cell>
          <cell r="H146">
            <v>13.4</v>
          </cell>
          <cell r="I146">
            <v>2.948</v>
          </cell>
        </row>
        <row r="147">
          <cell r="C147">
            <v>84</v>
          </cell>
          <cell r="D147" t="str">
            <v>Areia</v>
          </cell>
          <cell r="F147" t="str">
            <v>m3</v>
          </cell>
          <cell r="G147">
            <v>3.49E-2</v>
          </cell>
          <cell r="H147">
            <v>50</v>
          </cell>
          <cell r="I147">
            <v>1.7450000000000001</v>
          </cell>
        </row>
        <row r="148">
          <cell r="C148">
            <v>85</v>
          </cell>
          <cell r="D148" t="str">
            <v>Pedra n.º 1</v>
          </cell>
          <cell r="F148" t="str">
            <v>m3</v>
          </cell>
          <cell r="G148">
            <v>4.3900000000000002E-2</v>
          </cell>
          <cell r="H148">
            <v>42</v>
          </cell>
          <cell r="I148">
            <v>1.8438000000000001</v>
          </cell>
        </row>
        <row r="149">
          <cell r="C149">
            <v>86</v>
          </cell>
          <cell r="D149" t="str">
            <v>MDO para execução de lastro de concreto</v>
          </cell>
          <cell r="F149" t="str">
            <v>m2</v>
          </cell>
          <cell r="G149">
            <v>1</v>
          </cell>
          <cell r="H149">
            <v>15.5</v>
          </cell>
          <cell r="I149">
            <v>15.5</v>
          </cell>
        </row>
        <row r="150">
          <cell r="C150" t="str">
            <v>12.02.04.01</v>
          </cell>
          <cell r="D150" t="str">
            <v>Mureta Guia</v>
          </cell>
          <cell r="F150" t="str">
            <v xml:space="preserve">m </v>
          </cell>
          <cell r="G150">
            <v>289</v>
          </cell>
          <cell r="H150">
            <v>353.54510800000003</v>
          </cell>
          <cell r="I150">
            <v>102174.54</v>
          </cell>
        </row>
        <row r="151">
          <cell r="C151" t="str">
            <v>87</v>
          </cell>
          <cell r="D151" t="str">
            <v>Limpa rodas</v>
          </cell>
          <cell r="F151" t="str">
            <v>m</v>
          </cell>
          <cell r="G151">
            <v>1</v>
          </cell>
          <cell r="H151">
            <v>41.52</v>
          </cell>
          <cell r="I151">
            <v>41.52</v>
          </cell>
        </row>
        <row r="152">
          <cell r="C152">
            <v>88</v>
          </cell>
          <cell r="D152" t="str">
            <v>Aço CA-50 Ø 6,3mm</v>
          </cell>
          <cell r="F152" t="str">
            <v>kg</v>
          </cell>
          <cell r="G152">
            <v>6.8</v>
          </cell>
          <cell r="H152">
            <v>2.74</v>
          </cell>
          <cell r="I152">
            <v>18.632000000000001</v>
          </cell>
        </row>
        <row r="153">
          <cell r="C153">
            <v>89</v>
          </cell>
          <cell r="D153" t="str">
            <v>Execução de mureta guia, inclusive material (forma, preço e desmoldante)</v>
          </cell>
          <cell r="F153" t="str">
            <v>m</v>
          </cell>
          <cell r="G153">
            <v>1</v>
          </cell>
          <cell r="H153">
            <v>214.4</v>
          </cell>
          <cell r="I153">
            <v>214.4</v>
          </cell>
        </row>
        <row r="154">
          <cell r="C154">
            <v>90</v>
          </cell>
          <cell r="D154" t="str">
            <v>Aço CA-50 Ø 10,0mm</v>
          </cell>
          <cell r="F154" t="str">
            <v>kg</v>
          </cell>
          <cell r="G154">
            <v>17.3</v>
          </cell>
          <cell r="H154">
            <v>2.27</v>
          </cell>
          <cell r="I154">
            <v>39.271000000000001</v>
          </cell>
        </row>
        <row r="155">
          <cell r="C155">
            <v>91</v>
          </cell>
          <cell r="D155" t="str">
            <v>Concreto fck=20 MPa slump 5±1</v>
          </cell>
          <cell r="F155" t="str">
            <v>m3</v>
          </cell>
          <cell r="G155">
            <v>0.24</v>
          </cell>
          <cell r="H155">
            <v>165.5</v>
          </cell>
          <cell r="I155">
            <v>39.72</v>
          </cell>
        </row>
        <row r="156">
          <cell r="C156">
            <v>92</v>
          </cell>
          <cell r="D156" t="str">
            <v>MDO de corte e dobra</v>
          </cell>
          <cell r="F156" t="str">
            <v>t</v>
          </cell>
          <cell r="G156">
            <v>6.7999999999999996E-3</v>
          </cell>
          <cell r="H156">
            <v>0.31</v>
          </cell>
          <cell r="I156">
            <v>2.1080000000000001E-3</v>
          </cell>
        </row>
        <row r="157">
          <cell r="C157" t="str">
            <v>12.02.04.02</v>
          </cell>
          <cell r="D157" t="str">
            <v>Parede Diafragma (e=40cm)</v>
          </cell>
          <cell r="F157" t="str">
            <v xml:space="preserve">m2 </v>
          </cell>
          <cell r="G157">
            <v>4737</v>
          </cell>
          <cell r="H157">
            <v>376.5106770999999</v>
          </cell>
          <cell r="I157">
            <v>1783531.08</v>
          </cell>
        </row>
        <row r="158">
          <cell r="C158">
            <v>93</v>
          </cell>
          <cell r="D158" t="str">
            <v>Aço CA-50 Ø 8,0mm</v>
          </cell>
          <cell r="F158" t="str">
            <v>kg</v>
          </cell>
          <cell r="G158">
            <v>2.9129999999999998</v>
          </cell>
          <cell r="H158">
            <v>2.5314999999999999</v>
          </cell>
          <cell r="I158">
            <v>7.3742595</v>
          </cell>
        </row>
        <row r="159">
          <cell r="C159">
            <v>94</v>
          </cell>
          <cell r="D159" t="str">
            <v>Caminhão para retirada do material da parede diafragma</v>
          </cell>
          <cell r="F159" t="str">
            <v>m3</v>
          </cell>
          <cell r="G159">
            <v>0.75962499999999999</v>
          </cell>
          <cell r="H159">
            <v>42</v>
          </cell>
          <cell r="I159">
            <v>31.904250000000001</v>
          </cell>
        </row>
        <row r="160">
          <cell r="C160">
            <v>95</v>
          </cell>
          <cell r="D160" t="str">
            <v>Retro escavadeira - aluguel</v>
          </cell>
          <cell r="F160" t="str">
            <v>dia</v>
          </cell>
          <cell r="G160">
            <v>8.8660000000000006E-3</v>
          </cell>
          <cell r="H160">
            <v>400</v>
          </cell>
          <cell r="I160">
            <v>3.5464000000000002</v>
          </cell>
        </row>
        <row r="161">
          <cell r="C161">
            <v>96</v>
          </cell>
          <cell r="D161" t="str">
            <v>Concreto fck=20 MPa slump 20±2 cons. 400kg cim/m3</v>
          </cell>
          <cell r="F161" t="str">
            <v>m3</v>
          </cell>
          <cell r="G161">
            <v>0.48</v>
          </cell>
          <cell r="H161">
            <v>192</v>
          </cell>
          <cell r="I161">
            <v>92.16</v>
          </cell>
        </row>
        <row r="162">
          <cell r="C162">
            <v>97</v>
          </cell>
          <cell r="D162" t="str">
            <v>Aço CA-50 Ø 12,5mm</v>
          </cell>
          <cell r="F162" t="str">
            <v>kg</v>
          </cell>
          <cell r="G162">
            <v>4.5199999999999996</v>
          </cell>
          <cell r="H162">
            <v>2.15</v>
          </cell>
          <cell r="I162">
            <v>9.718</v>
          </cell>
        </row>
        <row r="163">
          <cell r="C163">
            <v>98</v>
          </cell>
          <cell r="D163" t="str">
            <v>Aço CA-50 Ø 16,0mm</v>
          </cell>
          <cell r="F163" t="str">
            <v>kg</v>
          </cell>
          <cell r="G163">
            <v>29.47</v>
          </cell>
          <cell r="H163">
            <v>2.15</v>
          </cell>
          <cell r="I163">
            <v>63.360500000000002</v>
          </cell>
        </row>
        <row r="164">
          <cell r="C164">
            <v>99</v>
          </cell>
          <cell r="D164" t="str">
            <v>Limpa fossa</v>
          </cell>
          <cell r="F164" t="str">
            <v>vg</v>
          </cell>
          <cell r="G164">
            <v>1.23E-2</v>
          </cell>
          <cell r="H164">
            <v>250</v>
          </cell>
          <cell r="I164">
            <v>3.0750000000000002</v>
          </cell>
        </row>
        <row r="165">
          <cell r="C165">
            <v>100</v>
          </cell>
          <cell r="D165" t="str">
            <v>MDO para corte e dobra aço para parede diafragma</v>
          </cell>
          <cell r="F165" t="str">
            <v>kg</v>
          </cell>
          <cell r="G165">
            <v>36.9</v>
          </cell>
          <cell r="H165">
            <v>0</v>
          </cell>
          <cell r="I165">
            <v>0</v>
          </cell>
        </row>
        <row r="166">
          <cell r="C166">
            <v>101</v>
          </cell>
          <cell r="D166" t="str">
            <v>Execução de parede diafragma</v>
          </cell>
          <cell r="F166" t="str">
            <v>m2</v>
          </cell>
          <cell r="G166">
            <v>1</v>
          </cell>
          <cell r="H166">
            <v>126.4</v>
          </cell>
          <cell r="I166">
            <v>126.4</v>
          </cell>
        </row>
        <row r="167">
          <cell r="C167">
            <v>102</v>
          </cell>
          <cell r="D167" t="str">
            <v>Taxa de mobilização de equipamento para parede diafragma</v>
          </cell>
          <cell r="F167" t="str">
            <v>m2</v>
          </cell>
          <cell r="G167">
            <v>4.0000000000000002E-4</v>
          </cell>
          <cell r="H167">
            <v>23642.33</v>
          </cell>
          <cell r="I167">
            <v>9.4569320000000001</v>
          </cell>
        </row>
        <row r="168">
          <cell r="C168">
            <v>46</v>
          </cell>
          <cell r="D168" t="str">
            <v>Arame recozido nº18</v>
          </cell>
          <cell r="F168" t="str">
            <v>kg</v>
          </cell>
          <cell r="G168">
            <v>0.332986</v>
          </cell>
          <cell r="H168">
            <v>4.5999999999999996</v>
          </cell>
          <cell r="I168">
            <v>1.5317356</v>
          </cell>
        </row>
        <row r="169">
          <cell r="C169" t="str">
            <v>103</v>
          </cell>
          <cell r="D169" t="str">
            <v>Agua</v>
          </cell>
          <cell r="F169" t="str">
            <v>m3</v>
          </cell>
          <cell r="G169">
            <v>0.88660000000000005</v>
          </cell>
          <cell r="H169">
            <v>10</v>
          </cell>
          <cell r="I169">
            <v>8.8659999999999997</v>
          </cell>
        </row>
        <row r="170">
          <cell r="C170" t="str">
            <v>104</v>
          </cell>
          <cell r="D170" t="str">
            <v>Gerador de energia</v>
          </cell>
          <cell r="F170" t="str">
            <v>mês</v>
          </cell>
          <cell r="G170">
            <v>2.9E-4</v>
          </cell>
          <cell r="H170">
            <v>25440</v>
          </cell>
          <cell r="I170">
            <v>7.3776000000000002</v>
          </cell>
        </row>
        <row r="171">
          <cell r="C171" t="str">
            <v>105</v>
          </cell>
          <cell r="D171" t="str">
            <v>Controle Tecnologico da parede diafragma</v>
          </cell>
          <cell r="F171" t="str">
            <v>m3</v>
          </cell>
          <cell r="G171">
            <v>0.48</v>
          </cell>
          <cell r="H171">
            <v>15</v>
          </cell>
          <cell r="I171">
            <v>7.2</v>
          </cell>
        </row>
        <row r="172">
          <cell r="C172" t="str">
            <v>106</v>
          </cell>
          <cell r="D172" t="str">
            <v>Mão de obra de apoio</v>
          </cell>
          <cell r="F172" t="str">
            <v>vb</v>
          </cell>
          <cell r="G172">
            <v>1</v>
          </cell>
          <cell r="H172">
            <v>4.54</v>
          </cell>
          <cell r="I172">
            <v>4.54</v>
          </cell>
        </row>
        <row r="173">
          <cell r="C173" t="str">
            <v>12.02.05.01</v>
          </cell>
          <cell r="D173" t="str">
            <v>Execução de tirantes</v>
          </cell>
          <cell r="F173" t="str">
            <v xml:space="preserve">ml </v>
          </cell>
          <cell r="G173">
            <v>4836</v>
          </cell>
          <cell r="H173">
            <v>231.92203719999998</v>
          </cell>
          <cell r="I173">
            <v>1121574.97</v>
          </cell>
        </row>
        <row r="174">
          <cell r="C174">
            <v>107</v>
          </cell>
          <cell r="D174" t="str">
            <v>Cimento Portland Alta Resistência Inicial CPV-ARI (saco 50kg)</v>
          </cell>
          <cell r="F174" t="str">
            <v>sc</v>
          </cell>
          <cell r="G174">
            <v>1.5</v>
          </cell>
          <cell r="H174">
            <v>12.6</v>
          </cell>
          <cell r="I174">
            <v>18.899999999999999</v>
          </cell>
        </row>
        <row r="175">
          <cell r="C175">
            <v>108</v>
          </cell>
          <cell r="D175" t="str">
            <v>Tamponamento tirantes parede diafragma</v>
          </cell>
          <cell r="F175" t="str">
            <v>un</v>
          </cell>
          <cell r="G175">
            <v>5.7689999999999998E-2</v>
          </cell>
          <cell r="H175">
            <v>92</v>
          </cell>
          <cell r="I175">
            <v>5.30748</v>
          </cell>
        </row>
        <row r="176">
          <cell r="C176">
            <v>109</v>
          </cell>
          <cell r="D176" t="str">
            <v>MDO de apoio para execução de tirantes</v>
          </cell>
          <cell r="F176" t="str">
            <v>Vb</v>
          </cell>
          <cell r="G176">
            <v>1</v>
          </cell>
          <cell r="H176">
            <v>8.8800000000000008</v>
          </cell>
          <cell r="I176">
            <v>8.8800000000000008</v>
          </cell>
        </row>
        <row r="177">
          <cell r="C177">
            <v>110</v>
          </cell>
          <cell r="D177" t="str">
            <v>Execução de tirante</v>
          </cell>
          <cell r="F177" t="str">
            <v>m</v>
          </cell>
          <cell r="G177">
            <v>1.0580000000000001</v>
          </cell>
          <cell r="H177">
            <v>157.77000000000001</v>
          </cell>
          <cell r="I177">
            <v>166.92066</v>
          </cell>
        </row>
        <row r="178">
          <cell r="C178" t="str">
            <v>111</v>
          </cell>
          <cell r="D178" t="str">
            <v>Perfuração em solo</v>
          </cell>
          <cell r="F178" t="str">
            <v>m</v>
          </cell>
          <cell r="G178">
            <v>2.316E-2</v>
          </cell>
          <cell r="H178">
            <v>284.17</v>
          </cell>
          <cell r="I178">
            <v>6.5813772000000004</v>
          </cell>
        </row>
        <row r="179">
          <cell r="C179">
            <v>112</v>
          </cell>
          <cell r="D179" t="str">
            <v>Perfuração para instalação de tirantes</v>
          </cell>
          <cell r="F179" t="str">
            <v>un</v>
          </cell>
          <cell r="G179">
            <v>5.7700000000000001E-2</v>
          </cell>
          <cell r="H179">
            <v>50</v>
          </cell>
          <cell r="I179">
            <v>2.8849999999999998</v>
          </cell>
        </row>
        <row r="180">
          <cell r="C180" t="str">
            <v>103</v>
          </cell>
          <cell r="D180" t="str">
            <v>Agua</v>
          </cell>
          <cell r="F180" t="str">
            <v>m3</v>
          </cell>
          <cell r="G180">
            <v>0.47970000000000002</v>
          </cell>
          <cell r="H180">
            <v>10</v>
          </cell>
          <cell r="I180">
            <v>4.7969999999999997</v>
          </cell>
        </row>
        <row r="181">
          <cell r="C181" t="str">
            <v>104</v>
          </cell>
          <cell r="D181" t="str">
            <v>Gerador de energia</v>
          </cell>
          <cell r="F181" t="str">
            <v>mês</v>
          </cell>
          <cell r="G181">
            <v>3.9899999999999999E-4</v>
          </cell>
          <cell r="H181">
            <v>25440</v>
          </cell>
          <cell r="I181">
            <v>10.15056</v>
          </cell>
        </row>
        <row r="182">
          <cell r="C182" t="str">
            <v>113</v>
          </cell>
          <cell r="D182" t="str">
            <v>Desprotensão</v>
          </cell>
          <cell r="F182" t="str">
            <v>un</v>
          </cell>
          <cell r="G182">
            <v>5.7692E-2</v>
          </cell>
          <cell r="H182">
            <v>130</v>
          </cell>
          <cell r="I182">
            <v>7.4999599999999997</v>
          </cell>
        </row>
        <row r="183">
          <cell r="C183" t="str">
            <v>12.03.01.01</v>
          </cell>
          <cell r="D183" t="str">
            <v>Forma para fundação com chapa compensada</v>
          </cell>
          <cell r="F183" t="str">
            <v xml:space="preserve">m2 </v>
          </cell>
          <cell r="G183">
            <v>1559</v>
          </cell>
          <cell r="H183">
            <v>23.269399999999997</v>
          </cell>
          <cell r="I183">
            <v>36276.99</v>
          </cell>
        </row>
        <row r="184">
          <cell r="C184">
            <v>114</v>
          </cell>
          <cell r="D184" t="str">
            <v>Sarrafo 1"x3" - pinus aparelhado</v>
          </cell>
          <cell r="F184" t="str">
            <v>m</v>
          </cell>
          <cell r="G184">
            <v>1.53</v>
          </cell>
          <cell r="H184">
            <v>2.1</v>
          </cell>
          <cell r="I184">
            <v>3.2130000000000001</v>
          </cell>
        </row>
        <row r="185">
          <cell r="C185">
            <v>115</v>
          </cell>
          <cell r="D185" t="str">
            <v>Pontalete 3"x3" - pinus aparelhado</v>
          </cell>
          <cell r="F185" t="str">
            <v>m</v>
          </cell>
          <cell r="G185">
            <v>3</v>
          </cell>
          <cell r="H185">
            <v>3.63</v>
          </cell>
          <cell r="I185">
            <v>10.89</v>
          </cell>
        </row>
        <row r="186">
          <cell r="C186">
            <v>116</v>
          </cell>
          <cell r="D186" t="str">
            <v>Desmoldante (tambor 200 l)</v>
          </cell>
          <cell r="F186" t="str">
            <v>un</v>
          </cell>
          <cell r="G186">
            <v>5.0000000000000001E-3</v>
          </cell>
          <cell r="H186">
            <v>754</v>
          </cell>
          <cell r="I186">
            <v>3.77</v>
          </cell>
        </row>
        <row r="187">
          <cell r="C187">
            <v>77</v>
          </cell>
          <cell r="D187" t="str">
            <v>Prego 18x27 com cabeça</v>
          </cell>
          <cell r="F187" t="str">
            <v>kg</v>
          </cell>
          <cell r="G187">
            <v>0.2</v>
          </cell>
          <cell r="H187">
            <v>4.0199999999999996</v>
          </cell>
          <cell r="I187">
            <v>0.80400000000000005</v>
          </cell>
        </row>
        <row r="188">
          <cell r="C188">
            <v>78</v>
          </cell>
          <cell r="D188" t="str">
            <v>Compensado resinado 10mm 1,10x2,20m - cola fenólica</v>
          </cell>
          <cell r="F188" t="str">
            <v>ch</v>
          </cell>
          <cell r="G188">
            <v>0.17799999999999999</v>
          </cell>
          <cell r="H188">
            <v>25.8</v>
          </cell>
          <cell r="I188">
            <v>4.5923999999999996</v>
          </cell>
        </row>
        <row r="189">
          <cell r="C189" t="str">
            <v>12.03.01.02</v>
          </cell>
          <cell r="D189" t="str">
            <v>Aço CA-50 para fundação</v>
          </cell>
          <cell r="F189" t="str">
            <v xml:space="preserve">kg </v>
          </cell>
          <cell r="G189">
            <v>54468</v>
          </cell>
          <cell r="H189">
            <v>2.9858333000000004</v>
          </cell>
          <cell r="I189">
            <v>162632.37</v>
          </cell>
        </row>
        <row r="190">
          <cell r="C190">
            <v>117</v>
          </cell>
          <cell r="D190" t="str">
            <v>Espaçador CHP 3/4</v>
          </cell>
          <cell r="F190" t="str">
            <v>mh</v>
          </cell>
          <cell r="G190">
            <v>8.0000000000000007E-5</v>
          </cell>
          <cell r="H190">
            <v>260</v>
          </cell>
          <cell r="I190">
            <v>2.0799999999999999E-2</v>
          </cell>
        </row>
        <row r="191">
          <cell r="C191">
            <v>88</v>
          </cell>
          <cell r="D191" t="str">
            <v>Aço CA-50 Ø 6,3mm</v>
          </cell>
          <cell r="F191" t="str">
            <v>kg</v>
          </cell>
          <cell r="G191">
            <v>3.3000000000000002E-2</v>
          </cell>
          <cell r="H191">
            <v>2.74</v>
          </cell>
          <cell r="I191">
            <v>9.042E-2</v>
          </cell>
        </row>
        <row r="192">
          <cell r="C192">
            <v>93</v>
          </cell>
          <cell r="D192" t="str">
            <v>Aço CA-50 Ø 8,0mm</v>
          </cell>
          <cell r="F192" t="str">
            <v>kg</v>
          </cell>
          <cell r="G192">
            <v>1.0999999999999999E-2</v>
          </cell>
          <cell r="H192">
            <v>2.5314999999999999</v>
          </cell>
          <cell r="I192">
            <v>2.78465E-2</v>
          </cell>
        </row>
        <row r="193">
          <cell r="C193">
            <v>90</v>
          </cell>
          <cell r="D193" t="str">
            <v>Aço CA-50 Ø 10,0mm</v>
          </cell>
          <cell r="F193" t="str">
            <v>kg</v>
          </cell>
          <cell r="G193">
            <v>3.1E-2</v>
          </cell>
          <cell r="H193">
            <v>2.27</v>
          </cell>
          <cell r="I193">
            <v>7.0370000000000002E-2</v>
          </cell>
        </row>
        <row r="194">
          <cell r="C194">
            <v>97</v>
          </cell>
          <cell r="D194" t="str">
            <v>Aço CA-50 Ø 12,5mm</v>
          </cell>
          <cell r="F194" t="str">
            <v>kg</v>
          </cell>
          <cell r="G194">
            <v>0.11299999999999999</v>
          </cell>
          <cell r="H194">
            <v>2.15</v>
          </cell>
          <cell r="I194">
            <v>0.24295</v>
          </cell>
        </row>
        <row r="195">
          <cell r="C195">
            <v>98</v>
          </cell>
          <cell r="D195" t="str">
            <v>Aço CA-50 Ø 16,0mm</v>
          </cell>
          <cell r="F195" t="str">
            <v>kg</v>
          </cell>
          <cell r="G195">
            <v>0.217</v>
          </cell>
          <cell r="H195">
            <v>2.15</v>
          </cell>
          <cell r="I195">
            <v>0.46655000000000002</v>
          </cell>
        </row>
        <row r="196">
          <cell r="C196">
            <v>118</v>
          </cell>
          <cell r="D196" t="str">
            <v>Aço CA-50 Ø 20,0mm</v>
          </cell>
          <cell r="F196" t="str">
            <v>kg</v>
          </cell>
          <cell r="G196">
            <v>0.35799999999999998</v>
          </cell>
          <cell r="H196">
            <v>2.15</v>
          </cell>
          <cell r="I196">
            <v>0.76970000000000005</v>
          </cell>
        </row>
        <row r="197">
          <cell r="C197">
            <v>119</v>
          </cell>
          <cell r="D197" t="str">
            <v>Aço CA-50 Ø 25,0mm</v>
          </cell>
          <cell r="F197" t="str">
            <v>kg</v>
          </cell>
          <cell r="G197">
            <v>0.33700000000000002</v>
          </cell>
          <cell r="H197">
            <v>2.15</v>
          </cell>
          <cell r="I197">
            <v>0.72455000000000003</v>
          </cell>
        </row>
        <row r="198">
          <cell r="C198">
            <v>136</v>
          </cell>
          <cell r="D198" t="str">
            <v>MDO para corte e dobra de aço</v>
          </cell>
          <cell r="F198" t="str">
            <v>kg</v>
          </cell>
          <cell r="G198">
            <v>1.1000000000000001</v>
          </cell>
          <cell r="H198">
            <v>0.31</v>
          </cell>
          <cell r="I198">
            <v>0.34100000000000003</v>
          </cell>
        </row>
        <row r="199">
          <cell r="C199">
            <v>46</v>
          </cell>
          <cell r="D199" t="str">
            <v>Arame recozido nº18</v>
          </cell>
          <cell r="F199" t="str">
            <v>kg</v>
          </cell>
          <cell r="G199">
            <v>5.0358E-2</v>
          </cell>
          <cell r="H199">
            <v>4.5999999999999996</v>
          </cell>
          <cell r="I199">
            <v>0.23164680000000001</v>
          </cell>
        </row>
        <row r="200">
          <cell r="C200" t="str">
            <v>12.03.01.03</v>
          </cell>
          <cell r="D200" t="str">
            <v>Concreto fck=30 Mpa</v>
          </cell>
          <cell r="F200" t="str">
            <v xml:space="preserve">m3 </v>
          </cell>
          <cell r="G200">
            <v>801</v>
          </cell>
          <cell r="H200">
            <v>228.63480000000001</v>
          </cell>
          <cell r="I200">
            <v>183136.47</v>
          </cell>
        </row>
        <row r="201">
          <cell r="C201">
            <v>120</v>
          </cell>
          <cell r="D201" t="str">
            <v>Taxa de bomba de concreto</v>
          </cell>
          <cell r="F201" t="str">
            <v>m3</v>
          </cell>
          <cell r="G201">
            <v>1</v>
          </cell>
          <cell r="H201">
            <v>30</v>
          </cell>
          <cell r="I201">
            <v>30</v>
          </cell>
        </row>
        <row r="202">
          <cell r="C202">
            <v>121</v>
          </cell>
          <cell r="D202" t="str">
            <v>Concreto fck=30 MPa slump 8±1 B1 e B2</v>
          </cell>
          <cell r="F202" t="str">
            <v>m3</v>
          </cell>
          <cell r="G202">
            <v>1.07</v>
          </cell>
          <cell r="H202">
            <v>185.64</v>
          </cell>
          <cell r="I202">
            <v>198.63480000000001</v>
          </cell>
        </row>
        <row r="203">
          <cell r="C203" t="str">
            <v>12.03.01.05</v>
          </cell>
          <cell r="D203" t="str">
            <v>MDO para lançamento de concreto em fundações</v>
          </cell>
          <cell r="F203" t="str">
            <v xml:space="preserve">m3 </v>
          </cell>
          <cell r="G203">
            <v>801</v>
          </cell>
          <cell r="H203">
            <v>270</v>
          </cell>
          <cell r="I203">
            <v>216270</v>
          </cell>
        </row>
        <row r="204">
          <cell r="C204">
            <v>122</v>
          </cell>
          <cell r="D204" t="str">
            <v>MDO para lançamento de concreto de sapatas</v>
          </cell>
          <cell r="F204" t="str">
            <v>m3</v>
          </cell>
          <cell r="G204">
            <v>1</v>
          </cell>
          <cell r="H204">
            <v>270</v>
          </cell>
          <cell r="I204">
            <v>270</v>
          </cell>
        </row>
        <row r="205">
          <cell r="C205" t="str">
            <v>12.03.01.06</v>
          </cell>
          <cell r="D205" t="str">
            <v>Escavação manual de cavas e valas para fundação</v>
          </cell>
          <cell r="F205" t="str">
            <v xml:space="preserve">m3 </v>
          </cell>
          <cell r="G205">
            <v>4660</v>
          </cell>
          <cell r="H205">
            <v>45</v>
          </cell>
          <cell r="I205">
            <v>209700</v>
          </cell>
        </row>
        <row r="206">
          <cell r="C206">
            <v>123</v>
          </cell>
          <cell r="D206" t="str">
            <v>MDO de esvação manual de cavas e valas para fundação</v>
          </cell>
          <cell r="F206" t="str">
            <v>m3</v>
          </cell>
          <cell r="G206">
            <v>1</v>
          </cell>
          <cell r="H206">
            <v>45</v>
          </cell>
          <cell r="I206">
            <v>45</v>
          </cell>
        </row>
        <row r="207">
          <cell r="C207" t="str">
            <v>12.03.01.07</v>
          </cell>
          <cell r="D207" t="str">
            <v>Reaterro manual compactado de valas e cavas</v>
          </cell>
          <cell r="F207" t="str">
            <v xml:space="preserve">m3 </v>
          </cell>
          <cell r="G207">
            <v>3459</v>
          </cell>
          <cell r="H207">
            <v>40</v>
          </cell>
          <cell r="I207">
            <v>138360</v>
          </cell>
        </row>
        <row r="208">
          <cell r="C208">
            <v>124</v>
          </cell>
          <cell r="D208" t="str">
            <v>MDO de reaterro manual compactado de valas e cavas</v>
          </cell>
          <cell r="F208" t="str">
            <v>m3</v>
          </cell>
          <cell r="G208">
            <v>1</v>
          </cell>
          <cell r="H208">
            <v>40</v>
          </cell>
          <cell r="I208">
            <v>40</v>
          </cell>
        </row>
        <row r="209">
          <cell r="C209" t="str">
            <v>12.03.01.08</v>
          </cell>
          <cell r="D209" t="str">
            <v>Remoção de solo excedente da escavação de valas e cavas</v>
          </cell>
          <cell r="F209" t="str">
            <v xml:space="preserve">m3 </v>
          </cell>
          <cell r="G209">
            <v>1561</v>
          </cell>
          <cell r="H209">
            <v>28</v>
          </cell>
          <cell r="I209">
            <v>43708</v>
          </cell>
        </row>
        <row r="210">
          <cell r="C210">
            <v>125</v>
          </cell>
          <cell r="D210" t="str">
            <v>Remoção de material escavado</v>
          </cell>
          <cell r="F210" t="str">
            <v>m3</v>
          </cell>
          <cell r="G210">
            <v>1</v>
          </cell>
          <cell r="H210">
            <v>28</v>
          </cell>
          <cell r="I210">
            <v>28</v>
          </cell>
        </row>
        <row r="211">
          <cell r="C211" t="str">
            <v>13.01.01.01</v>
          </cell>
          <cell r="D211" t="str">
            <v>Forma plana para superestrutura de concreto (Pavtos. Tipos)</v>
          </cell>
          <cell r="F211" t="str">
            <v xml:space="preserve">m2 </v>
          </cell>
          <cell r="G211">
            <v>38370.83</v>
          </cell>
          <cell r="H211">
            <v>6.1121759999999998</v>
          </cell>
          <cell r="I211">
            <v>234529.27</v>
          </cell>
        </row>
        <row r="212">
          <cell r="C212">
            <v>126</v>
          </cell>
          <cell r="D212" t="str">
            <v>Sarrafo 1"x4" - pinus</v>
          </cell>
          <cell r="F212" t="str">
            <v>dz</v>
          </cell>
          <cell r="G212">
            <v>2.5400000000000002E-3</v>
          </cell>
          <cell r="H212">
            <v>75.599999999999994</v>
          </cell>
          <cell r="I212">
            <v>0.192024</v>
          </cell>
        </row>
        <row r="213">
          <cell r="C213">
            <v>130</v>
          </cell>
          <cell r="D213" t="str">
            <v>Pontalete 3"x3" - pinus</v>
          </cell>
          <cell r="F213" t="str">
            <v>dz</v>
          </cell>
          <cell r="G213">
            <v>4.0999999999999999E-4</v>
          </cell>
          <cell r="H213">
            <v>95</v>
          </cell>
          <cell r="I213">
            <v>3.8949999999999999E-2</v>
          </cell>
        </row>
        <row r="214">
          <cell r="C214">
            <v>117</v>
          </cell>
          <cell r="D214" t="str">
            <v>Espaçador CHP 3/4</v>
          </cell>
          <cell r="F214" t="str">
            <v>mh</v>
          </cell>
          <cell r="G214">
            <v>2.7699999999999999E-3</v>
          </cell>
          <cell r="H214">
            <v>260</v>
          </cell>
          <cell r="I214">
            <v>0.72019999999999995</v>
          </cell>
        </row>
        <row r="215">
          <cell r="C215">
            <v>127</v>
          </cell>
          <cell r="D215" t="str">
            <v>Compensado plastificado 18mm 1,22x2,44m</v>
          </cell>
          <cell r="F215" t="str">
            <v>ch</v>
          </cell>
          <cell r="G215">
            <v>2.1000000000000001E-2</v>
          </cell>
          <cell r="H215">
            <v>84.21</v>
          </cell>
          <cell r="I215">
            <v>1.76841</v>
          </cell>
        </row>
        <row r="216">
          <cell r="C216">
            <v>70</v>
          </cell>
          <cell r="D216" t="str">
            <v>Tábua 1"x12" - cedrinho</v>
          </cell>
          <cell r="F216" t="str">
            <v>m</v>
          </cell>
          <cell r="G216">
            <v>0.22</v>
          </cell>
          <cell r="H216">
            <v>6.46</v>
          </cell>
          <cell r="I216">
            <v>1.4212</v>
          </cell>
        </row>
        <row r="217">
          <cell r="C217">
            <v>128</v>
          </cell>
          <cell r="D217" t="str">
            <v>Sarrafo 1"x3" - pinus</v>
          </cell>
          <cell r="F217" t="str">
            <v>dz</v>
          </cell>
          <cell r="G217">
            <v>6.8199999999999997E-3</v>
          </cell>
          <cell r="H217">
            <v>75.599999999999994</v>
          </cell>
          <cell r="I217">
            <v>0.51559200000000005</v>
          </cell>
        </row>
        <row r="218">
          <cell r="C218">
            <v>116</v>
          </cell>
          <cell r="D218" t="str">
            <v>Desmoldante (tambor 200 l)</v>
          </cell>
          <cell r="F218" t="str">
            <v>un</v>
          </cell>
          <cell r="G218">
            <v>2.0000000000000001E-4</v>
          </cell>
          <cell r="H218">
            <v>754</v>
          </cell>
          <cell r="I218">
            <v>0.15079999999999999</v>
          </cell>
        </row>
        <row r="219">
          <cell r="C219">
            <v>77</v>
          </cell>
          <cell r="D219" t="str">
            <v>Prego 18x27 com cabeça</v>
          </cell>
          <cell r="F219" t="str">
            <v>kg</v>
          </cell>
          <cell r="G219">
            <v>0.25</v>
          </cell>
          <cell r="H219">
            <v>4.0199999999999996</v>
          </cell>
          <cell r="I219">
            <v>1.0049999999999999</v>
          </cell>
        </row>
        <row r="220">
          <cell r="C220" t="str">
            <v>129</v>
          </cell>
          <cell r="D220" t="str">
            <v>Reforma de formas</v>
          </cell>
          <cell r="F220" t="str">
            <v>m2</v>
          </cell>
          <cell r="G220">
            <v>1</v>
          </cell>
          <cell r="H220">
            <v>0.3</v>
          </cell>
          <cell r="I220">
            <v>0.3</v>
          </cell>
        </row>
        <row r="221">
          <cell r="C221" t="str">
            <v>13.01.01.02</v>
          </cell>
          <cell r="D221" t="str">
            <v>Forma plana para superestrutura de concreto (Pavtos. Térreo / Ático / Cx. Dagua)</v>
          </cell>
          <cell r="F221" t="str">
            <v xml:space="preserve">m2 </v>
          </cell>
          <cell r="G221">
            <v>18190</v>
          </cell>
          <cell r="H221">
            <v>17.696409999999997</v>
          </cell>
          <cell r="I221">
            <v>321897.7</v>
          </cell>
        </row>
        <row r="222">
          <cell r="C222">
            <v>126</v>
          </cell>
          <cell r="D222" t="str">
            <v>Sarrafo 1"x4" - pinus</v>
          </cell>
          <cell r="F222" t="str">
            <v>dz</v>
          </cell>
          <cell r="G222">
            <v>1.5699999999999999E-2</v>
          </cell>
          <cell r="H222">
            <v>75.599999999999994</v>
          </cell>
          <cell r="I222">
            <v>1.18692</v>
          </cell>
        </row>
        <row r="223">
          <cell r="C223">
            <v>131</v>
          </cell>
          <cell r="D223" t="str">
            <v>Pontalete 3"x3" - cedrinho</v>
          </cell>
          <cell r="F223" t="str">
            <v>dz</v>
          </cell>
          <cell r="G223">
            <v>3.5000000000000001E-3</v>
          </cell>
          <cell r="H223">
            <v>166.3</v>
          </cell>
          <cell r="I223">
            <v>0.58204999999999996</v>
          </cell>
        </row>
        <row r="224">
          <cell r="C224">
            <v>132</v>
          </cell>
          <cell r="D224" t="str">
            <v>Compensado super resinado 18mm 1,22m x 2,44m - cola fenólica</v>
          </cell>
          <cell r="F224" t="str">
            <v>ch</v>
          </cell>
          <cell r="G224">
            <v>0.24</v>
          </cell>
          <cell r="H224">
            <v>56.7</v>
          </cell>
          <cell r="I224">
            <v>13.608000000000001</v>
          </cell>
        </row>
        <row r="225">
          <cell r="C225">
            <v>128</v>
          </cell>
          <cell r="D225" t="str">
            <v>Sarrafo 1"x3" - pinus</v>
          </cell>
          <cell r="F225" t="str">
            <v>dz</v>
          </cell>
          <cell r="G225">
            <v>1.24E-2</v>
          </cell>
          <cell r="H225">
            <v>75.599999999999994</v>
          </cell>
          <cell r="I225">
            <v>0.93744000000000005</v>
          </cell>
        </row>
        <row r="226">
          <cell r="C226">
            <v>116</v>
          </cell>
          <cell r="D226" t="str">
            <v>Desmoldante (tambor 200 l)</v>
          </cell>
          <cell r="F226" t="str">
            <v>un</v>
          </cell>
          <cell r="G226">
            <v>5.0000000000000001E-4</v>
          </cell>
          <cell r="H226">
            <v>754</v>
          </cell>
          <cell r="I226">
            <v>0.377</v>
          </cell>
        </row>
        <row r="227">
          <cell r="C227">
            <v>77</v>
          </cell>
          <cell r="D227" t="str">
            <v>Prego 18x27 com cabeça</v>
          </cell>
          <cell r="F227" t="str">
            <v>kg</v>
          </cell>
          <cell r="G227">
            <v>0.25</v>
          </cell>
          <cell r="H227">
            <v>4.0199999999999996</v>
          </cell>
          <cell r="I227">
            <v>1.0049999999999999</v>
          </cell>
        </row>
        <row r="228">
          <cell r="C228" t="str">
            <v>13.01.01.03</v>
          </cell>
          <cell r="D228" t="str">
            <v>Forma pré fabricada tipo cubeta</v>
          </cell>
          <cell r="F228" t="str">
            <v xml:space="preserve">Vb </v>
          </cell>
          <cell r="G228">
            <v>1</v>
          </cell>
          <cell r="H228">
            <v>46050.149700000002</v>
          </cell>
          <cell r="I228">
            <v>46050.15</v>
          </cell>
        </row>
        <row r="229">
          <cell r="C229">
            <v>133</v>
          </cell>
          <cell r="D229" t="str">
            <v>Forma pré-fabricada tipo cubeta</v>
          </cell>
          <cell r="F229" t="str">
            <v>mês</v>
          </cell>
          <cell r="G229">
            <v>0.93</v>
          </cell>
          <cell r="H229">
            <v>49516.29</v>
          </cell>
          <cell r="I229">
            <v>46050.149700000002</v>
          </cell>
        </row>
        <row r="230">
          <cell r="C230" t="str">
            <v>13.01.01.05</v>
          </cell>
          <cell r="D230" t="str">
            <v>Armação de AÇO CA-50 para superestrutura de concreto</v>
          </cell>
          <cell r="F230" t="str">
            <v xml:space="preserve">kg </v>
          </cell>
          <cell r="G230">
            <v>817870</v>
          </cell>
          <cell r="H230">
            <v>2.9082965000000001</v>
          </cell>
          <cell r="I230">
            <v>2378608.46</v>
          </cell>
        </row>
        <row r="231">
          <cell r="C231">
            <v>117</v>
          </cell>
          <cell r="D231" t="str">
            <v>Espaçador CHP 3/4</v>
          </cell>
          <cell r="F231" t="str">
            <v>mh</v>
          </cell>
          <cell r="G231">
            <v>7.7000000000000001E-5</v>
          </cell>
          <cell r="H231">
            <v>260</v>
          </cell>
          <cell r="I231">
            <v>2.002E-2</v>
          </cell>
        </row>
        <row r="232">
          <cell r="C232">
            <v>88</v>
          </cell>
          <cell r="D232" t="str">
            <v>Aço CA-50 Ø 6,3mm</v>
          </cell>
          <cell r="F232" t="str">
            <v>kg</v>
          </cell>
          <cell r="G232">
            <v>9.0000000000000011E-2</v>
          </cell>
          <cell r="H232">
            <v>2.74</v>
          </cell>
          <cell r="I232">
            <v>0.24660000000000001</v>
          </cell>
        </row>
        <row r="233">
          <cell r="C233">
            <v>93</v>
          </cell>
          <cell r="D233" t="str">
            <v>Aço CA-50 Ø 8,0mm</v>
          </cell>
          <cell r="F233" t="str">
            <v>kg</v>
          </cell>
          <cell r="G233">
            <v>0.14699999999999999</v>
          </cell>
          <cell r="H233">
            <v>2.5314999999999999</v>
          </cell>
          <cell r="I233">
            <v>0.37213049999999998</v>
          </cell>
        </row>
        <row r="234">
          <cell r="C234">
            <v>90</v>
          </cell>
          <cell r="D234" t="str">
            <v>Aço CA-50 Ø 10,0mm</v>
          </cell>
          <cell r="F234" t="str">
            <v>kg</v>
          </cell>
          <cell r="G234">
            <v>0.21000000000000002</v>
          </cell>
          <cell r="H234">
            <v>2.27</v>
          </cell>
          <cell r="I234">
            <v>0.47670000000000001</v>
          </cell>
        </row>
        <row r="235">
          <cell r="C235">
            <v>97</v>
          </cell>
          <cell r="D235" t="str">
            <v>Aço CA-50 Ø 12,5mm</v>
          </cell>
          <cell r="F235" t="str">
            <v>kg</v>
          </cell>
          <cell r="G235">
            <v>0.12000000000000001</v>
          </cell>
          <cell r="H235">
            <v>2.15</v>
          </cell>
          <cell r="I235">
            <v>0.25800000000000001</v>
          </cell>
        </row>
        <row r="236">
          <cell r="C236">
            <v>98</v>
          </cell>
          <cell r="D236" t="str">
            <v>Aço CA-50 Ø 16,0mm</v>
          </cell>
          <cell r="F236" t="str">
            <v>kg</v>
          </cell>
          <cell r="G236">
            <v>9.0999999999999998E-2</v>
          </cell>
          <cell r="H236">
            <v>2.15</v>
          </cell>
          <cell r="I236">
            <v>0.19564999999999999</v>
          </cell>
        </row>
        <row r="237">
          <cell r="C237">
            <v>118</v>
          </cell>
          <cell r="D237" t="str">
            <v>Aço CA-50 Ø 20,0mm</v>
          </cell>
          <cell r="F237" t="str">
            <v>kg</v>
          </cell>
          <cell r="G237">
            <v>0.10199999999999999</v>
          </cell>
          <cell r="H237">
            <v>2.15</v>
          </cell>
          <cell r="I237">
            <v>0.21929999999999999</v>
          </cell>
        </row>
        <row r="238">
          <cell r="C238">
            <v>119</v>
          </cell>
          <cell r="D238" t="str">
            <v>Aço CA-50 Ø 25,0mm</v>
          </cell>
          <cell r="F238" t="str">
            <v>kg</v>
          </cell>
          <cell r="G238">
            <v>0.18100000000000002</v>
          </cell>
          <cell r="H238">
            <v>2.15</v>
          </cell>
          <cell r="I238">
            <v>0.38915</v>
          </cell>
        </row>
        <row r="239">
          <cell r="C239">
            <v>134</v>
          </cell>
          <cell r="D239" t="str">
            <v>Aço CA-50 Ø 32,0mm</v>
          </cell>
          <cell r="F239" t="str">
            <v>kg</v>
          </cell>
          <cell r="G239">
            <v>6.0000000000000005E-2</v>
          </cell>
          <cell r="H239">
            <v>2.4085999999999999</v>
          </cell>
          <cell r="I239">
            <v>0.14451600000000001</v>
          </cell>
        </row>
        <row r="240">
          <cell r="C240">
            <v>136</v>
          </cell>
          <cell r="D240" t="str">
            <v>MDO para corte e dobra de aço</v>
          </cell>
          <cell r="F240" t="str">
            <v>kg</v>
          </cell>
          <cell r="G240">
            <v>1</v>
          </cell>
          <cell r="H240">
            <v>0.31</v>
          </cell>
          <cell r="I240">
            <v>0.31</v>
          </cell>
        </row>
        <row r="241">
          <cell r="C241">
            <v>46</v>
          </cell>
          <cell r="D241" t="str">
            <v>Arame recozido nº18</v>
          </cell>
          <cell r="F241" t="str">
            <v>kg</v>
          </cell>
          <cell r="G241">
            <v>0.02</v>
          </cell>
          <cell r="H241">
            <v>4.5999999999999996</v>
          </cell>
          <cell r="I241">
            <v>9.1999999999999998E-2</v>
          </cell>
        </row>
        <row r="242">
          <cell r="C242" t="str">
            <v>135</v>
          </cell>
          <cell r="D242" t="str">
            <v>Treliça metálica para espaçador</v>
          </cell>
          <cell r="F242" t="str">
            <v>m</v>
          </cell>
          <cell r="G242">
            <v>6.9000000000000006E-2</v>
          </cell>
          <cell r="H242">
            <v>2.67</v>
          </cell>
          <cell r="I242">
            <v>0.18423</v>
          </cell>
        </row>
        <row r="243">
          <cell r="C243" t="str">
            <v>13.01.01.06</v>
          </cell>
          <cell r="D243" t="str">
            <v>Armação de AÇO CA-60 para superestrutura de concreto</v>
          </cell>
          <cell r="F243" t="str">
            <v xml:space="preserve">kg </v>
          </cell>
          <cell r="G243">
            <v>16030</v>
          </cell>
          <cell r="H243">
            <v>3.2563144000000004</v>
          </cell>
          <cell r="I243">
            <v>52198.720000000001</v>
          </cell>
        </row>
        <row r="244">
          <cell r="C244">
            <v>117</v>
          </cell>
          <cell r="D244" t="str">
            <v>Espaçador CHP 3/4</v>
          </cell>
          <cell r="F244" t="str">
            <v>mh</v>
          </cell>
          <cell r="G244">
            <v>7.7000000000000001E-5</v>
          </cell>
          <cell r="H244">
            <v>260</v>
          </cell>
          <cell r="I244">
            <v>2.002E-2</v>
          </cell>
        </row>
        <row r="245">
          <cell r="C245">
            <v>137</v>
          </cell>
          <cell r="D245" t="str">
            <v>Aço CA-60 Ø 5,0mm</v>
          </cell>
          <cell r="F245" t="str">
            <v>kg</v>
          </cell>
          <cell r="G245">
            <v>1.02</v>
          </cell>
          <cell r="H245">
            <v>2.7787199999999999</v>
          </cell>
          <cell r="I245">
            <v>2.8342944000000001</v>
          </cell>
        </row>
        <row r="246">
          <cell r="C246">
            <v>136</v>
          </cell>
          <cell r="D246" t="str">
            <v>MDO para corte e dobra de aço</v>
          </cell>
          <cell r="F246" t="str">
            <v>kg</v>
          </cell>
          <cell r="G246">
            <v>1</v>
          </cell>
          <cell r="H246">
            <v>0.31</v>
          </cell>
          <cell r="I246">
            <v>0.31</v>
          </cell>
        </row>
        <row r="247">
          <cell r="C247">
            <v>46</v>
          </cell>
          <cell r="D247" t="str">
            <v>Arame recozido nº18</v>
          </cell>
          <cell r="F247" t="str">
            <v>kg</v>
          </cell>
          <cell r="G247">
            <v>0.02</v>
          </cell>
          <cell r="H247">
            <v>4.5999999999999996</v>
          </cell>
          <cell r="I247">
            <v>9.1999999999999998E-2</v>
          </cell>
        </row>
        <row r="248">
          <cell r="C248" t="str">
            <v>13.01.01.07</v>
          </cell>
          <cell r="D248" t="str">
            <v>Concreto fck=30 Mpa</v>
          </cell>
          <cell r="F248" t="str">
            <v xml:space="preserve">m3 </v>
          </cell>
          <cell r="G248">
            <v>8322.9</v>
          </cell>
          <cell r="H248">
            <v>219.79859999999999</v>
          </cell>
          <cell r="I248">
            <v>1829361.77</v>
          </cell>
        </row>
        <row r="249">
          <cell r="C249">
            <v>120</v>
          </cell>
          <cell r="D249" t="str">
            <v>Taxa de bomba de concreto</v>
          </cell>
          <cell r="F249" t="str">
            <v>m3</v>
          </cell>
          <cell r="G249">
            <v>0.78400000000000003</v>
          </cell>
          <cell r="H249">
            <v>30</v>
          </cell>
          <cell r="I249">
            <v>23.52</v>
          </cell>
        </row>
        <row r="250">
          <cell r="C250">
            <v>138</v>
          </cell>
          <cell r="D250" t="str">
            <v>Concreto fck=30 MPa slump 9±1 B1 e B2</v>
          </cell>
          <cell r="F250" t="str">
            <v>m3</v>
          </cell>
          <cell r="G250">
            <v>0.86</v>
          </cell>
          <cell r="H250">
            <v>185.64</v>
          </cell>
          <cell r="I250">
            <v>159.65039999999999</v>
          </cell>
        </row>
        <row r="251">
          <cell r="C251" t="str">
            <v>139</v>
          </cell>
          <cell r="D251" t="str">
            <v>Concreto fck=30 MPa slump 12±1 B1 e B2</v>
          </cell>
          <cell r="F251" t="str">
            <v>m3</v>
          </cell>
          <cell r="G251">
            <v>0.19</v>
          </cell>
          <cell r="H251">
            <v>192.78</v>
          </cell>
          <cell r="I251">
            <v>36.6282</v>
          </cell>
        </row>
        <row r="252">
          <cell r="C252" t="str">
            <v>13.01.01.09</v>
          </cell>
          <cell r="D252" t="str">
            <v>MDO para execução de superestrutura de concreto (Pavto. Tipo)</v>
          </cell>
          <cell r="F252" t="str">
            <v xml:space="preserve">m3 </v>
          </cell>
          <cell r="G252">
            <v>4483</v>
          </cell>
          <cell r="H252">
            <v>275</v>
          </cell>
          <cell r="I252">
            <v>1232825</v>
          </cell>
        </row>
        <row r="253">
          <cell r="C253">
            <v>140</v>
          </cell>
          <cell r="D253" t="str">
            <v>MDO para lançamento de concreto em estrutura (pavto tipo)</v>
          </cell>
          <cell r="F253" t="str">
            <v>m3</v>
          </cell>
          <cell r="G253">
            <v>1</v>
          </cell>
          <cell r="H253">
            <v>275</v>
          </cell>
          <cell r="I253">
            <v>275</v>
          </cell>
        </row>
        <row r="254">
          <cell r="C254" t="str">
            <v>13.01.01.11</v>
          </cell>
          <cell r="D254" t="str">
            <v>MDO para execução de superestrutura de concreto (Térreo / Ático / Cx. Dagua)</v>
          </cell>
          <cell r="F254" t="str">
            <v xml:space="preserve">m3 </v>
          </cell>
          <cell r="G254">
            <v>3855</v>
          </cell>
          <cell r="H254">
            <v>280</v>
          </cell>
          <cell r="I254">
            <v>1079400</v>
          </cell>
        </row>
        <row r="255">
          <cell r="C255">
            <v>141</v>
          </cell>
          <cell r="D255" t="str">
            <v>MDO para lançamento de concreto em estrutura (térreo/ático/cx dágua)</v>
          </cell>
          <cell r="F255" t="str">
            <v>m3</v>
          </cell>
          <cell r="G255">
            <v>1</v>
          </cell>
          <cell r="H255">
            <v>280</v>
          </cell>
          <cell r="I255">
            <v>280</v>
          </cell>
        </row>
        <row r="256">
          <cell r="C256" t="str">
            <v>13.02.01.01</v>
          </cell>
          <cell r="D256" t="str">
            <v>Marquise da portaria</v>
          </cell>
          <cell r="F256" t="str">
            <v xml:space="preserve">m2 </v>
          </cell>
          <cell r="G256">
            <v>86</v>
          </cell>
          <cell r="H256">
            <v>145</v>
          </cell>
          <cell r="I256">
            <v>12470</v>
          </cell>
        </row>
        <row r="257">
          <cell r="C257">
            <v>142</v>
          </cell>
          <cell r="D257" t="str">
            <v>Execução de marquise metálica</v>
          </cell>
          <cell r="F257" t="str">
            <v>m2</v>
          </cell>
          <cell r="G257">
            <v>1</v>
          </cell>
          <cell r="H257">
            <v>145</v>
          </cell>
          <cell r="I257">
            <v>145</v>
          </cell>
        </row>
        <row r="258">
          <cell r="C258" t="str">
            <v>13.03.01.01</v>
          </cell>
          <cell r="D258" t="str">
            <v>Escoramento metálico</v>
          </cell>
          <cell r="F258" t="str">
            <v xml:space="preserve">m3 </v>
          </cell>
          <cell r="G258">
            <v>103341</v>
          </cell>
          <cell r="H258">
            <v>3.6</v>
          </cell>
          <cell r="I258">
            <v>372027.6</v>
          </cell>
        </row>
        <row r="259">
          <cell r="C259">
            <v>143</v>
          </cell>
          <cell r="D259" t="str">
            <v>Escoramento metálico - locação</v>
          </cell>
          <cell r="F259" t="str">
            <v>m3</v>
          </cell>
          <cell r="G259">
            <v>1</v>
          </cell>
          <cell r="H259">
            <v>3.6</v>
          </cell>
          <cell r="I259">
            <v>3.6</v>
          </cell>
        </row>
        <row r="260">
          <cell r="C260" t="str">
            <v>13.04.01.01</v>
          </cell>
          <cell r="D260" t="str">
            <v>Junta de Dilatação</v>
          </cell>
          <cell r="F260" t="str">
            <v>m</v>
          </cell>
          <cell r="G260">
            <v>2500</v>
          </cell>
          <cell r="H260">
            <v>28.045999999999999</v>
          </cell>
          <cell r="I260">
            <v>70115</v>
          </cell>
        </row>
        <row r="261">
          <cell r="C261">
            <v>144</v>
          </cell>
          <cell r="D261" t="str">
            <v xml:space="preserve">Junta Horizontal </v>
          </cell>
          <cell r="F261" t="str">
            <v>m</v>
          </cell>
          <cell r="G261">
            <v>0.53</v>
          </cell>
          <cell r="H261">
            <v>40</v>
          </cell>
          <cell r="I261">
            <v>21.2</v>
          </cell>
        </row>
        <row r="262">
          <cell r="C262" t="str">
            <v>145</v>
          </cell>
          <cell r="D262" t="str">
            <v xml:space="preserve">Junta Vertical </v>
          </cell>
          <cell r="F262" t="str">
            <v>m</v>
          </cell>
          <cell r="G262">
            <v>0.47</v>
          </cell>
          <cell r="H262">
            <v>1.8</v>
          </cell>
          <cell r="I262">
            <v>0.84599999999999997</v>
          </cell>
        </row>
        <row r="263">
          <cell r="C263" t="str">
            <v>146</v>
          </cell>
          <cell r="D263" t="str">
            <v>Acabamento de piso</v>
          </cell>
          <cell r="F263" t="str">
            <v>m</v>
          </cell>
          <cell r="G263">
            <v>1</v>
          </cell>
          <cell r="H263">
            <v>6</v>
          </cell>
          <cell r="I263">
            <v>6</v>
          </cell>
        </row>
        <row r="264">
          <cell r="C264" t="str">
            <v>14.01.01.01</v>
          </cell>
          <cell r="D264" t="str">
            <v>Alvenaria de vedação em bloco cerâmico e=9cm</v>
          </cell>
          <cell r="F264" t="str">
            <v xml:space="preserve">m2 </v>
          </cell>
          <cell r="G264">
            <v>1726</v>
          </cell>
          <cell r="H264">
            <v>35.504840000000002</v>
          </cell>
          <cell r="I264">
            <v>61281.35</v>
          </cell>
        </row>
        <row r="265">
          <cell r="C265">
            <v>147</v>
          </cell>
          <cell r="D265" t="str">
            <v>Tela metálica para fixação de alvenaria malha 1 6,0x50cm</v>
          </cell>
          <cell r="F265" t="str">
            <v>un</v>
          </cell>
          <cell r="G265">
            <v>1.98</v>
          </cell>
          <cell r="H265">
            <v>0.78</v>
          </cell>
          <cell r="I265">
            <v>1.5444</v>
          </cell>
        </row>
        <row r="266">
          <cell r="C266">
            <v>148</v>
          </cell>
          <cell r="D266" t="str">
            <v>Finca pino</v>
          </cell>
          <cell r="F266" t="str">
            <v>un</v>
          </cell>
          <cell r="G266">
            <v>1.98</v>
          </cell>
          <cell r="H266">
            <v>0.48</v>
          </cell>
          <cell r="I266">
            <v>0.95040000000000002</v>
          </cell>
        </row>
        <row r="267">
          <cell r="C267">
            <v>149</v>
          </cell>
          <cell r="D267" t="str">
            <v>Argamassa ensacada múltiplo uso (saco 40 kg)</v>
          </cell>
          <cell r="F267" t="str">
            <v>sc</v>
          </cell>
          <cell r="G267">
            <v>0.28000000000000003</v>
          </cell>
          <cell r="H267">
            <v>5.9</v>
          </cell>
          <cell r="I267">
            <v>1.6519999999999999</v>
          </cell>
        </row>
        <row r="268">
          <cell r="C268">
            <v>150</v>
          </cell>
          <cell r="D268" t="str">
            <v>Bloco cerâmico de vedação 09x19x39cm</v>
          </cell>
          <cell r="F268" t="str">
            <v>mh</v>
          </cell>
          <cell r="G268">
            <v>1.2999999999999999E-2</v>
          </cell>
          <cell r="H268">
            <v>989.08</v>
          </cell>
          <cell r="I268">
            <v>12.858040000000001</v>
          </cell>
        </row>
        <row r="269">
          <cell r="C269">
            <v>151</v>
          </cell>
          <cell r="D269" t="str">
            <v>MDO para alvenaria de bloco cerâmico e=9cm</v>
          </cell>
          <cell r="F269" t="str">
            <v>m2</v>
          </cell>
          <cell r="G269">
            <v>1</v>
          </cell>
          <cell r="H269">
            <v>18.5</v>
          </cell>
          <cell r="I269">
            <v>18.5</v>
          </cell>
        </row>
        <row r="270">
          <cell r="C270" t="str">
            <v>14.01.01.02</v>
          </cell>
          <cell r="D270" t="str">
            <v>Alvenaria de vedação em bloco cerâmico e=14cm</v>
          </cell>
          <cell r="F270" t="str">
            <v xml:space="preserve">m2 </v>
          </cell>
          <cell r="G270">
            <v>14874</v>
          </cell>
          <cell r="H270">
            <v>39.881599999999999</v>
          </cell>
          <cell r="I270">
            <v>593198.92000000004</v>
          </cell>
        </row>
        <row r="271">
          <cell r="C271">
            <v>147</v>
          </cell>
          <cell r="D271" t="str">
            <v>Tela metálica para fixação de alvenaria malha 1 6,0x50cm</v>
          </cell>
          <cell r="F271" t="str">
            <v>un</v>
          </cell>
          <cell r="G271">
            <v>1.98</v>
          </cell>
          <cell r="H271">
            <v>0.78</v>
          </cell>
          <cell r="I271">
            <v>1.5444</v>
          </cell>
        </row>
        <row r="272">
          <cell r="C272">
            <v>152</v>
          </cell>
          <cell r="D272" t="str">
            <v>Bloco cerâmico de vedação 14x19x39cm</v>
          </cell>
          <cell r="F272" t="str">
            <v>mh</v>
          </cell>
          <cell r="G272">
            <v>1.2999999999999999E-2</v>
          </cell>
          <cell r="H272">
            <v>1248.5999999999999</v>
          </cell>
          <cell r="I272">
            <v>16.2318</v>
          </cell>
        </row>
        <row r="273">
          <cell r="C273">
            <v>148</v>
          </cell>
          <cell r="D273" t="str">
            <v>Finca pino</v>
          </cell>
          <cell r="F273" t="str">
            <v>un</v>
          </cell>
          <cell r="G273">
            <v>1.98</v>
          </cell>
          <cell r="H273">
            <v>0.48</v>
          </cell>
          <cell r="I273">
            <v>0.95040000000000002</v>
          </cell>
        </row>
        <row r="274">
          <cell r="C274">
            <v>149</v>
          </cell>
          <cell r="D274" t="str">
            <v>Argamassa ensacada múltiplo uso (saco 40 kg)</v>
          </cell>
          <cell r="F274" t="str">
            <v>sc</v>
          </cell>
          <cell r="G274">
            <v>0.45</v>
          </cell>
          <cell r="H274">
            <v>5.9</v>
          </cell>
          <cell r="I274">
            <v>2.6549999999999998</v>
          </cell>
        </row>
        <row r="275">
          <cell r="C275">
            <v>153</v>
          </cell>
          <cell r="D275" t="str">
            <v>MDO para alvenaria de bloco cerâmico e=14cm</v>
          </cell>
          <cell r="F275" t="str">
            <v>m2</v>
          </cell>
          <cell r="G275">
            <v>1</v>
          </cell>
          <cell r="H275">
            <v>18.5</v>
          </cell>
          <cell r="I275">
            <v>18.5</v>
          </cell>
        </row>
        <row r="276">
          <cell r="C276" t="str">
            <v>14.01.01.03</v>
          </cell>
          <cell r="D276" t="str">
            <v>Alvenaria de vedação em bloco cerâmico e=19cm</v>
          </cell>
          <cell r="F276" t="str">
            <v xml:space="preserve">m2 </v>
          </cell>
          <cell r="G276">
            <v>703</v>
          </cell>
          <cell r="H276">
            <v>45.915750000000003</v>
          </cell>
          <cell r="I276">
            <v>32278.77</v>
          </cell>
        </row>
        <row r="277">
          <cell r="C277">
            <v>147</v>
          </cell>
          <cell r="D277" t="str">
            <v>Tela metálica para fixação de alvenaria malha 1 6,0x50cm</v>
          </cell>
          <cell r="F277" t="str">
            <v>un</v>
          </cell>
          <cell r="G277">
            <v>1.98</v>
          </cell>
          <cell r="H277">
            <v>0.78</v>
          </cell>
          <cell r="I277">
            <v>1.5444</v>
          </cell>
        </row>
        <row r="278">
          <cell r="C278">
            <v>148</v>
          </cell>
          <cell r="D278" t="str">
            <v>Finca pino</v>
          </cell>
          <cell r="F278" t="str">
            <v>un</v>
          </cell>
          <cell r="G278">
            <v>1.98</v>
          </cell>
          <cell r="H278">
            <v>0.48</v>
          </cell>
          <cell r="I278">
            <v>0.95040000000000002</v>
          </cell>
        </row>
        <row r="279">
          <cell r="C279">
            <v>149</v>
          </cell>
          <cell r="D279" t="str">
            <v>Argamassa ensacada múltiplo uso (saco 40 kg)</v>
          </cell>
          <cell r="F279" t="str">
            <v>sc</v>
          </cell>
          <cell r="G279">
            <v>0.61</v>
          </cell>
          <cell r="H279">
            <v>5.9</v>
          </cell>
          <cell r="I279">
            <v>3.5990000000000002</v>
          </cell>
        </row>
        <row r="280">
          <cell r="C280">
            <v>154</v>
          </cell>
          <cell r="D280" t="str">
            <v>Bloco cerâmico de vedação 19x19x39cm</v>
          </cell>
          <cell r="F280" t="str">
            <v>mh</v>
          </cell>
          <cell r="G280">
            <v>1.2999999999999999E-2</v>
          </cell>
          <cell r="H280">
            <v>1640.15</v>
          </cell>
          <cell r="I280">
            <v>21.321950000000001</v>
          </cell>
        </row>
        <row r="281">
          <cell r="C281">
            <v>155</v>
          </cell>
          <cell r="D281" t="str">
            <v>MDO para alvenaria de bloco cerâmico e=19cm</v>
          </cell>
          <cell r="F281" t="str">
            <v>m2</v>
          </cell>
          <cell r="G281">
            <v>1</v>
          </cell>
          <cell r="H281">
            <v>18.5</v>
          </cell>
          <cell r="I281">
            <v>18.5</v>
          </cell>
        </row>
        <row r="282">
          <cell r="C282" t="str">
            <v>14.01.01.04</v>
          </cell>
          <cell r="D282" t="str">
            <v>Verga e contraverga</v>
          </cell>
          <cell r="F282" t="str">
            <v xml:space="preserve">m3 </v>
          </cell>
          <cell r="G282">
            <v>33</v>
          </cell>
          <cell r="H282">
            <v>394.25500119999998</v>
          </cell>
          <cell r="I282">
            <v>13010.42</v>
          </cell>
        </row>
        <row r="283">
          <cell r="C283">
            <v>70</v>
          </cell>
          <cell r="D283" t="str">
            <v>Tábua 1"x12" - cedrinho</v>
          </cell>
          <cell r="F283" t="str">
            <v>m</v>
          </cell>
          <cell r="G283">
            <v>0.22</v>
          </cell>
          <cell r="H283">
            <v>6.46</v>
          </cell>
          <cell r="I283">
            <v>1.4212</v>
          </cell>
        </row>
        <row r="284">
          <cell r="C284">
            <v>156</v>
          </cell>
          <cell r="D284" t="str">
            <v>Sarrafo 1"x4" - cedrinho</v>
          </cell>
          <cell r="F284" t="str">
            <v>dz</v>
          </cell>
          <cell r="G284">
            <v>0.36432700000000001</v>
          </cell>
          <cell r="H284">
            <v>112</v>
          </cell>
          <cell r="I284">
            <v>40.804623999999997</v>
          </cell>
        </row>
        <row r="285">
          <cell r="C285">
            <v>131</v>
          </cell>
          <cell r="D285" t="str">
            <v>Pontalete 3"x3" - cedrinho</v>
          </cell>
          <cell r="F285" t="str">
            <v>dz</v>
          </cell>
          <cell r="G285">
            <v>0.71524399999999999</v>
          </cell>
          <cell r="H285">
            <v>166.3</v>
          </cell>
          <cell r="I285">
            <v>118.9450772</v>
          </cell>
        </row>
        <row r="286">
          <cell r="C286">
            <v>90</v>
          </cell>
          <cell r="D286" t="str">
            <v>Aço CA-50 Ø 10,0mm</v>
          </cell>
          <cell r="F286" t="str">
            <v>kg</v>
          </cell>
          <cell r="G286">
            <v>0.05</v>
          </cell>
          <cell r="H286">
            <v>2.27</v>
          </cell>
          <cell r="I286">
            <v>0.1135</v>
          </cell>
        </row>
        <row r="287">
          <cell r="C287">
            <v>157</v>
          </cell>
          <cell r="D287" t="str">
            <v>Concreto fck=15 MPa slump 5±1</v>
          </cell>
          <cell r="F287" t="str">
            <v>m3</v>
          </cell>
          <cell r="G287">
            <v>1.02</v>
          </cell>
          <cell r="H287">
            <v>115</v>
          </cell>
          <cell r="I287">
            <v>117.3</v>
          </cell>
        </row>
        <row r="288">
          <cell r="C288">
            <v>116</v>
          </cell>
          <cell r="D288" t="str">
            <v>Desmoldante (tambor 200 l)</v>
          </cell>
          <cell r="F288" t="str">
            <v>un</v>
          </cell>
          <cell r="G288">
            <v>2.1999999999999999E-2</v>
          </cell>
          <cell r="H288">
            <v>754</v>
          </cell>
          <cell r="I288">
            <v>16.588000000000001</v>
          </cell>
        </row>
        <row r="289">
          <cell r="C289">
            <v>46</v>
          </cell>
          <cell r="D289" t="str">
            <v>Arame recozido nº18</v>
          </cell>
          <cell r="F289" t="str">
            <v>kg</v>
          </cell>
          <cell r="G289">
            <v>1.2</v>
          </cell>
          <cell r="H289">
            <v>4.5999999999999996</v>
          </cell>
          <cell r="I289">
            <v>5.52</v>
          </cell>
        </row>
        <row r="290">
          <cell r="C290">
            <v>77</v>
          </cell>
          <cell r="D290" t="str">
            <v>Prego 18x27 com cabeça</v>
          </cell>
          <cell r="F290" t="str">
            <v>kg</v>
          </cell>
          <cell r="G290">
            <v>2.13</v>
          </cell>
          <cell r="H290">
            <v>4.0199999999999996</v>
          </cell>
          <cell r="I290">
            <v>8.5625999999999998</v>
          </cell>
        </row>
        <row r="291">
          <cell r="C291">
            <v>158</v>
          </cell>
          <cell r="D291" t="str">
            <v>MDO de execução de verga de concreto</v>
          </cell>
          <cell r="F291" t="str">
            <v>m3</v>
          </cell>
          <cell r="G291">
            <v>1</v>
          </cell>
          <cell r="H291">
            <v>85</v>
          </cell>
          <cell r="I291">
            <v>85</v>
          </cell>
        </row>
        <row r="292">
          <cell r="C292" t="str">
            <v>14.02.01.01</v>
          </cell>
          <cell r="D292" t="str">
            <v>Dry-wall chapa simples branca - 2 faces</v>
          </cell>
          <cell r="F292" t="str">
            <v xml:space="preserve">m2 </v>
          </cell>
          <cell r="G292">
            <v>8468</v>
          </cell>
          <cell r="H292">
            <v>46</v>
          </cell>
          <cell r="I292">
            <v>389528</v>
          </cell>
        </row>
        <row r="293">
          <cell r="C293">
            <v>159</v>
          </cell>
          <cell r="D293" t="str">
            <v>Dry-wall chapa simples branca - 2 faces</v>
          </cell>
          <cell r="F293" t="str">
            <v>m2</v>
          </cell>
          <cell r="G293">
            <v>1</v>
          </cell>
          <cell r="H293">
            <v>46</v>
          </cell>
          <cell r="I293">
            <v>46</v>
          </cell>
        </row>
        <row r="294">
          <cell r="C294" t="str">
            <v>14.02.01.02</v>
          </cell>
          <cell r="D294" t="str">
            <v>Dry-wall chapa simples branca - 1 face + verde 1 face</v>
          </cell>
          <cell r="F294" t="str">
            <v xml:space="preserve">m2 </v>
          </cell>
          <cell r="G294">
            <v>868</v>
          </cell>
          <cell r="H294">
            <v>56</v>
          </cell>
          <cell r="I294">
            <v>48608</v>
          </cell>
        </row>
        <row r="295">
          <cell r="C295">
            <v>160</v>
          </cell>
          <cell r="D295" t="str">
            <v>Dry-wall chapa simples branca - 1 face + verde 1 face</v>
          </cell>
          <cell r="F295" t="str">
            <v>m2</v>
          </cell>
          <cell r="G295">
            <v>1</v>
          </cell>
          <cell r="H295">
            <v>56</v>
          </cell>
          <cell r="I295">
            <v>56</v>
          </cell>
        </row>
        <row r="296">
          <cell r="C296" t="str">
            <v>14.02.01.03</v>
          </cell>
          <cell r="D296" t="str">
            <v>Fechamento em dry-wall chapa simples branca - 1 face</v>
          </cell>
          <cell r="F296" t="str">
            <v xml:space="preserve">m2 </v>
          </cell>
          <cell r="G296">
            <v>91</v>
          </cell>
          <cell r="H296">
            <v>35</v>
          </cell>
          <cell r="I296">
            <v>3185</v>
          </cell>
        </row>
        <row r="297">
          <cell r="C297">
            <v>161</v>
          </cell>
          <cell r="D297" t="str">
            <v>Fechamento em dry-wall chapa simples branca - 1 face</v>
          </cell>
          <cell r="F297" t="str">
            <v>m2</v>
          </cell>
          <cell r="G297">
            <v>1</v>
          </cell>
          <cell r="H297">
            <v>35</v>
          </cell>
          <cell r="I297">
            <v>35</v>
          </cell>
        </row>
        <row r="298">
          <cell r="C298" t="str">
            <v>14.02.03.01</v>
          </cell>
          <cell r="D298" t="str">
            <v>Divisória em laminado tipo Neocom</v>
          </cell>
          <cell r="F298" t="str">
            <v xml:space="preserve">m2 </v>
          </cell>
          <cell r="G298">
            <v>421</v>
          </cell>
          <cell r="H298">
            <v>278</v>
          </cell>
          <cell r="I298">
            <v>117038</v>
          </cell>
        </row>
        <row r="299">
          <cell r="C299">
            <v>162</v>
          </cell>
          <cell r="D299" t="str">
            <v>Divisória sanitária em laminado melamínico</v>
          </cell>
          <cell r="F299" t="str">
            <v>m2</v>
          </cell>
          <cell r="G299">
            <v>1</v>
          </cell>
          <cell r="H299">
            <v>278</v>
          </cell>
          <cell r="I299">
            <v>278</v>
          </cell>
        </row>
        <row r="300">
          <cell r="C300" t="str">
            <v>14.02.03.02</v>
          </cell>
          <cell r="D300" t="str">
            <v>Tapa vista em laminado melamínico - 0,30 x 1,20 m</v>
          </cell>
          <cell r="F300" t="str">
            <v xml:space="preserve">un </v>
          </cell>
          <cell r="G300">
            <v>19</v>
          </cell>
          <cell r="H300">
            <v>179</v>
          </cell>
          <cell r="I300">
            <v>3401</v>
          </cell>
        </row>
        <row r="301">
          <cell r="C301">
            <v>163</v>
          </cell>
          <cell r="D301" t="str">
            <v>Tapa vista em laminado melamínico - 0,30 x 1,20 m</v>
          </cell>
          <cell r="F301" t="str">
            <v>un</v>
          </cell>
          <cell r="G301">
            <v>1</v>
          </cell>
          <cell r="H301">
            <v>179</v>
          </cell>
          <cell r="I301">
            <v>179</v>
          </cell>
        </row>
        <row r="302">
          <cell r="C302" t="str">
            <v>14.03.01.01</v>
          </cell>
          <cell r="D302" t="str">
            <v>Fechamento em lambri de PVC - parede diafragma</v>
          </cell>
          <cell r="F302" t="str">
            <v xml:space="preserve">m2 </v>
          </cell>
          <cell r="G302">
            <v>2250</v>
          </cell>
          <cell r="H302">
            <v>35.500001000000005</v>
          </cell>
          <cell r="I302">
            <v>79875</v>
          </cell>
        </row>
        <row r="303">
          <cell r="C303">
            <v>164</v>
          </cell>
          <cell r="D303" t="str">
            <v>Fechamento em lambri de PVC - parede diafragma</v>
          </cell>
          <cell r="F303" t="str">
            <v>m2</v>
          </cell>
          <cell r="G303">
            <v>1</v>
          </cell>
          <cell r="H303">
            <v>35.200000000000003</v>
          </cell>
          <cell r="I303">
            <v>35.200000000000003</v>
          </cell>
        </row>
        <row r="304">
          <cell r="C304">
            <v>165</v>
          </cell>
          <cell r="D304" t="str">
            <v>Alçapão para lambri de PVC</v>
          </cell>
          <cell r="F304" t="str">
            <v>m2</v>
          </cell>
          <cell r="G304">
            <v>1.2766E-2</v>
          </cell>
          <cell r="H304">
            <v>23.5</v>
          </cell>
          <cell r="I304">
            <v>0.30000100000000002</v>
          </cell>
        </row>
        <row r="305">
          <cell r="C305" t="str">
            <v>14.03.02.01</v>
          </cell>
          <cell r="D305" t="str">
            <v>Muro de fechamento em alvenaria e=14cm</v>
          </cell>
          <cell r="F305" t="str">
            <v xml:space="preserve">m2 </v>
          </cell>
          <cell r="G305">
            <v>841</v>
          </cell>
          <cell r="H305">
            <v>89.849712999999994</v>
          </cell>
          <cell r="I305">
            <v>75563.61</v>
          </cell>
        </row>
        <row r="306">
          <cell r="C306" t="str">
            <v>166</v>
          </cell>
          <cell r="D306" t="str">
            <v>Forma plana para superestrutura de concreto (Pavtos. Térreo / Ático / Cx. Dagua)</v>
          </cell>
          <cell r="F306" t="str">
            <v>m2</v>
          </cell>
          <cell r="G306">
            <v>0.2</v>
          </cell>
          <cell r="H306">
            <v>16.690000000000001</v>
          </cell>
          <cell r="I306">
            <v>3.3380000000000001</v>
          </cell>
        </row>
        <row r="307">
          <cell r="C307">
            <v>167</v>
          </cell>
          <cell r="D307" t="str">
            <v>Concreto fck=30 MPa slump 5±1</v>
          </cell>
          <cell r="F307" t="str">
            <v>m3</v>
          </cell>
          <cell r="G307">
            <v>7.8E-2</v>
          </cell>
          <cell r="H307">
            <v>178.5</v>
          </cell>
          <cell r="I307">
            <v>13.923</v>
          </cell>
        </row>
        <row r="308">
          <cell r="C308">
            <v>90</v>
          </cell>
          <cell r="D308" t="str">
            <v>Aço CA-50 Ø 10,0mm</v>
          </cell>
          <cell r="F308" t="str">
            <v>kg</v>
          </cell>
          <cell r="G308">
            <v>4.4999999999999997E-3</v>
          </cell>
          <cell r="H308">
            <v>2.27</v>
          </cell>
          <cell r="I308">
            <v>1.0215E-2</v>
          </cell>
        </row>
        <row r="309">
          <cell r="C309">
            <v>85</v>
          </cell>
          <cell r="D309" t="str">
            <v>Pedra n.º 1</v>
          </cell>
          <cell r="F309" t="str">
            <v>m3</v>
          </cell>
          <cell r="G309">
            <v>4.3899999999999998E-3</v>
          </cell>
          <cell r="H309">
            <v>42</v>
          </cell>
          <cell r="I309">
            <v>0.18437999999999999</v>
          </cell>
        </row>
        <row r="310">
          <cell r="C310">
            <v>168</v>
          </cell>
          <cell r="D310" t="str">
            <v>Argamassa ensacada múltiplo uso (saco 50 kg)</v>
          </cell>
          <cell r="F310" t="str">
            <v>sc</v>
          </cell>
          <cell r="G310">
            <v>0.8</v>
          </cell>
          <cell r="H310">
            <v>7.5</v>
          </cell>
          <cell r="I310">
            <v>6</v>
          </cell>
        </row>
        <row r="311">
          <cell r="C311">
            <v>152</v>
          </cell>
          <cell r="D311" t="str">
            <v>Bloco cerâmico de vedação 14x19x39cm</v>
          </cell>
          <cell r="F311" t="str">
            <v>mh</v>
          </cell>
          <cell r="G311">
            <v>1.3129999999999999E-2</v>
          </cell>
          <cell r="H311">
            <v>1248.5999999999999</v>
          </cell>
          <cell r="I311">
            <v>16.394117999999999</v>
          </cell>
        </row>
        <row r="312">
          <cell r="C312">
            <v>169</v>
          </cell>
          <cell r="D312" t="str">
            <v>MDO para muro de fechamento de bloco cerâmico</v>
          </cell>
          <cell r="F312" t="str">
            <v>m2</v>
          </cell>
          <cell r="G312">
            <v>1</v>
          </cell>
          <cell r="H312">
            <v>50</v>
          </cell>
          <cell r="I312">
            <v>50</v>
          </cell>
        </row>
        <row r="313">
          <cell r="C313" t="str">
            <v>14.03.02.02</v>
          </cell>
          <cell r="D313" t="str">
            <v>Mureta em alvenaria e=14cm</v>
          </cell>
          <cell r="F313" t="str">
            <v>ml</v>
          </cell>
          <cell r="G313">
            <v>213</v>
          </cell>
          <cell r="H313">
            <v>77.636750000000006</v>
          </cell>
          <cell r="I313">
            <v>16536.63</v>
          </cell>
        </row>
        <row r="314">
          <cell r="C314" t="str">
            <v>166</v>
          </cell>
          <cell r="D314" t="str">
            <v>Forma plana para superestrutura de concreto (Pavtos. Térreo / Ático / Cx. Dagua)</v>
          </cell>
          <cell r="F314" t="str">
            <v>m2</v>
          </cell>
          <cell r="G314">
            <v>0.1</v>
          </cell>
          <cell r="H314">
            <v>16.690000000000001</v>
          </cell>
          <cell r="I314">
            <v>1.669</v>
          </cell>
        </row>
        <row r="315">
          <cell r="C315">
            <v>167</v>
          </cell>
          <cell r="D315" t="str">
            <v>Concreto fck=30 MPa slump 5±1</v>
          </cell>
          <cell r="F315" t="str">
            <v>m3</v>
          </cell>
          <cell r="G315">
            <v>0.02</v>
          </cell>
          <cell r="H315">
            <v>178.5</v>
          </cell>
          <cell r="I315">
            <v>3.57</v>
          </cell>
        </row>
        <row r="316">
          <cell r="C316">
            <v>90</v>
          </cell>
          <cell r="D316" t="str">
            <v>Aço CA-50 Ø 10,0mm</v>
          </cell>
          <cell r="F316" t="str">
            <v>kg</v>
          </cell>
          <cell r="G316">
            <v>1.6000000000000001E-3</v>
          </cell>
          <cell r="H316">
            <v>2.27</v>
          </cell>
          <cell r="I316">
            <v>3.6319999999999998E-3</v>
          </cell>
        </row>
        <row r="317">
          <cell r="C317">
            <v>168</v>
          </cell>
          <cell r="D317" t="str">
            <v>Argamassa ensacada múltiplo uso (saco 50 kg)</v>
          </cell>
          <cell r="F317" t="str">
            <v>sc</v>
          </cell>
          <cell r="G317">
            <v>0.8</v>
          </cell>
          <cell r="H317">
            <v>7.5</v>
          </cell>
          <cell r="I317">
            <v>6</v>
          </cell>
        </row>
        <row r="318">
          <cell r="C318">
            <v>152</v>
          </cell>
          <cell r="D318" t="str">
            <v>Bloco cerâmico de vedação 14x19x39cm</v>
          </cell>
          <cell r="F318" t="str">
            <v>mh</v>
          </cell>
          <cell r="G318">
            <v>1.3129999999999999E-2</v>
          </cell>
          <cell r="H318">
            <v>1248.5999999999999</v>
          </cell>
          <cell r="I318">
            <v>16.394117999999999</v>
          </cell>
        </row>
        <row r="319">
          <cell r="C319">
            <v>169</v>
          </cell>
          <cell r="D319" t="str">
            <v>MDO para muro de fechamento de bloco cerâmico</v>
          </cell>
          <cell r="F319" t="str">
            <v>m2</v>
          </cell>
          <cell r="G319">
            <v>1</v>
          </cell>
          <cell r="H319">
            <v>50</v>
          </cell>
          <cell r="I319">
            <v>50</v>
          </cell>
        </row>
        <row r="320">
          <cell r="C320" t="str">
            <v>14.05.02.01</v>
          </cell>
          <cell r="D320" t="str">
            <v>Arremate de piso em fechamento de shaft h=10cm</v>
          </cell>
          <cell r="F320" t="str">
            <v xml:space="preserve">m </v>
          </cell>
          <cell r="G320">
            <v>126</v>
          </cell>
          <cell r="H320">
            <v>23.03</v>
          </cell>
          <cell r="I320">
            <v>2901.78</v>
          </cell>
        </row>
        <row r="321">
          <cell r="C321">
            <v>170</v>
          </cell>
          <cell r="D321" t="str">
            <v>Alvenaria de tijolo comum e=10cm</v>
          </cell>
          <cell r="F321" t="str">
            <v>m2</v>
          </cell>
          <cell r="G321">
            <v>0.5</v>
          </cell>
          <cell r="H321">
            <v>46.06</v>
          </cell>
          <cell r="I321">
            <v>23.03</v>
          </cell>
        </row>
        <row r="322">
          <cell r="C322" t="str">
            <v>14.05.02.02</v>
          </cell>
          <cell r="D322" t="str">
            <v>Capa em concreto pré fabricada - topo muros</v>
          </cell>
          <cell r="F322" t="str">
            <v xml:space="preserve">m </v>
          </cell>
          <cell r="G322">
            <v>280</v>
          </cell>
          <cell r="H322">
            <v>25</v>
          </cell>
          <cell r="I322">
            <v>7000</v>
          </cell>
        </row>
        <row r="323">
          <cell r="C323">
            <v>171</v>
          </cell>
          <cell r="D323" t="str">
            <v>Capa em concreto pré fabricada - topo muros</v>
          </cell>
          <cell r="F323" t="str">
            <v>m</v>
          </cell>
          <cell r="G323">
            <v>1</v>
          </cell>
          <cell r="H323">
            <v>25</v>
          </cell>
          <cell r="I323">
            <v>25</v>
          </cell>
        </row>
        <row r="324">
          <cell r="C324" t="str">
            <v>14.05.02.03</v>
          </cell>
          <cell r="D324" t="str">
            <v>Arremate em alvenaria para enchimento</v>
          </cell>
          <cell r="F324" t="str">
            <v>m2</v>
          </cell>
          <cell r="G324">
            <v>122</v>
          </cell>
          <cell r="H324">
            <v>46.06</v>
          </cell>
          <cell r="I324">
            <v>5619.32</v>
          </cell>
        </row>
        <row r="325">
          <cell r="C325">
            <v>172</v>
          </cell>
          <cell r="D325" t="str">
            <v>Alvenaria de tijolo comum e=10cm</v>
          </cell>
          <cell r="F325" t="str">
            <v>m2</v>
          </cell>
          <cell r="G325">
            <v>1</v>
          </cell>
          <cell r="H325">
            <v>46.06</v>
          </cell>
          <cell r="I325">
            <v>46.06</v>
          </cell>
        </row>
        <row r="326">
          <cell r="C326" t="str">
            <v>14.05.02.04</v>
          </cell>
          <cell r="D326" t="str">
            <v>Enchimento em alvenaria em piso</v>
          </cell>
          <cell r="F326" t="str">
            <v>m3</v>
          </cell>
          <cell r="G326">
            <v>43</v>
          </cell>
          <cell r="H326">
            <v>205.17099999999999</v>
          </cell>
          <cell r="I326">
            <v>8822.35</v>
          </cell>
        </row>
        <row r="327">
          <cell r="C327">
            <v>168</v>
          </cell>
          <cell r="D327" t="str">
            <v>Argamassa ensacada múltiplo uso (saco 50 kg)</v>
          </cell>
          <cell r="F327" t="str">
            <v>sc</v>
          </cell>
          <cell r="G327">
            <v>5.71</v>
          </cell>
          <cell r="H327">
            <v>7.5</v>
          </cell>
          <cell r="I327">
            <v>42.825000000000003</v>
          </cell>
        </row>
        <row r="328">
          <cell r="C328">
            <v>152</v>
          </cell>
          <cell r="D328" t="str">
            <v>Bloco cerâmico de vedação 14x19x39cm</v>
          </cell>
          <cell r="F328" t="str">
            <v>mh</v>
          </cell>
          <cell r="G328">
            <v>0.11</v>
          </cell>
          <cell r="H328">
            <v>1248.5999999999999</v>
          </cell>
          <cell r="I328">
            <v>137.346</v>
          </cell>
        </row>
        <row r="329">
          <cell r="C329">
            <v>173</v>
          </cell>
          <cell r="D329" t="str">
            <v>MDO para enchimento em alvenaria</v>
          </cell>
          <cell r="F329" t="str">
            <v>m3</v>
          </cell>
          <cell r="G329">
            <v>1</v>
          </cell>
          <cell r="H329">
            <v>25</v>
          </cell>
          <cell r="I329">
            <v>25</v>
          </cell>
        </row>
        <row r="330">
          <cell r="C330" t="str">
            <v>15.01.01.01</v>
          </cell>
          <cell r="D330" t="str">
            <v>Chumbamento de contra marco</v>
          </cell>
          <cell r="F330" t="str">
            <v xml:space="preserve">m2 </v>
          </cell>
          <cell r="G330">
            <v>3511</v>
          </cell>
          <cell r="H330">
            <v>10.68</v>
          </cell>
          <cell r="I330">
            <v>37497.480000000003</v>
          </cell>
        </row>
        <row r="331">
          <cell r="C331">
            <v>149</v>
          </cell>
          <cell r="D331" t="str">
            <v>Argamassa ensacada múltiplo uso (saco 40 kg)</v>
          </cell>
          <cell r="F331" t="str">
            <v>sc</v>
          </cell>
          <cell r="G331">
            <v>0.2</v>
          </cell>
          <cell r="H331">
            <v>5.9</v>
          </cell>
          <cell r="I331">
            <v>1.18</v>
          </cell>
        </row>
        <row r="332">
          <cell r="C332">
            <v>174</v>
          </cell>
          <cell r="D332" t="str">
            <v>MDO para chumbamento de contra marco</v>
          </cell>
          <cell r="F332" t="str">
            <v>m2</v>
          </cell>
          <cell r="G332">
            <v>1</v>
          </cell>
          <cell r="H332">
            <v>9.5</v>
          </cell>
          <cell r="I332">
            <v>9.5</v>
          </cell>
        </row>
        <row r="333">
          <cell r="C333" t="str">
            <v>15.01.01.02</v>
          </cell>
          <cell r="D333" t="str">
            <v>CA-01 - 1,5 x 1,95 m - caixilho de alumínio, de correr, 2 folhas, com bandeira inferior fixa (1,50x0,50)m, pintura eletrostática cor branca, vidro liso incolor, conforme projeto de detalhamento fl. 256-arq-pe-101-caix-r00</v>
          </cell>
          <cell r="F333" t="str">
            <v xml:space="preserve">un </v>
          </cell>
          <cell r="G333">
            <v>620</v>
          </cell>
          <cell r="H333">
            <v>697.44</v>
          </cell>
          <cell r="I333">
            <v>432412.8</v>
          </cell>
        </row>
        <row r="334">
          <cell r="C334">
            <v>175</v>
          </cell>
          <cell r="D334" t="str">
            <v>CA-01 - 1,5 x 1,95 m - caixilho de alumínio, de correr, 2 folhas, com bandeira inferior fixa (1,50x0,50)m, pintura eletrostática cor branca, vidro liso incolor, conforme projeto de detalhamento fl. 256-arq-pe-101-caix-r00</v>
          </cell>
          <cell r="F334" t="str">
            <v>un</v>
          </cell>
          <cell r="G334">
            <v>1</v>
          </cell>
          <cell r="H334">
            <v>697.44</v>
          </cell>
          <cell r="I334">
            <v>697.44</v>
          </cell>
        </row>
        <row r="335">
          <cell r="C335" t="str">
            <v>15.01.01.03</v>
          </cell>
          <cell r="D335" t="str">
            <v>CA-01A - 1,5 x 1,45 m - caixilho de alumínio, de correr, 2 folhas, pintura eletrostática cor branca, vidro liso incolor, conforme projeto de detalhamento fl. 256-arq-pe-101a-caix-r00</v>
          </cell>
          <cell r="F335" t="str">
            <v xml:space="preserve">un </v>
          </cell>
          <cell r="G335">
            <v>10</v>
          </cell>
          <cell r="H335">
            <v>497.26</v>
          </cell>
          <cell r="I335">
            <v>4972.6000000000004</v>
          </cell>
        </row>
        <row r="336">
          <cell r="C336">
            <v>176</v>
          </cell>
          <cell r="D336" t="str">
            <v>CA-01A - 1,5 x 1,45 m - caixilho de alumínio, de correr, 2 folhas, pintura eletrostática cor branca, vidro liso incolor, conforme projeto de detalhamento fl. 256-arq-pe-101a-caix-r00</v>
          </cell>
          <cell r="F336" t="str">
            <v>un</v>
          </cell>
          <cell r="G336">
            <v>1</v>
          </cell>
          <cell r="H336">
            <v>497.26</v>
          </cell>
          <cell r="I336">
            <v>497.26</v>
          </cell>
        </row>
        <row r="337">
          <cell r="C337" t="str">
            <v>15.01.01.04</v>
          </cell>
          <cell r="D337" t="str">
            <v>CA-02 - 2,4 x 0,55 m - caixilho de alumínio, maxim-ar, 3 folhas, pintura eletrostática cor branca, vidro fantasia ou pontilhado, conforme projeto de detalhamento fl. 256-arq-pe-102-caix-r00</v>
          </cell>
          <cell r="F337" t="str">
            <v xml:space="preserve">un </v>
          </cell>
          <cell r="G337">
            <v>34</v>
          </cell>
          <cell r="H337">
            <v>421.14</v>
          </cell>
          <cell r="I337">
            <v>14318.76</v>
          </cell>
        </row>
        <row r="338">
          <cell r="C338">
            <v>177</v>
          </cell>
          <cell r="D338" t="str">
            <v>CA-02 - 2,4 x 0,55 m - caixilho de alumínio, maxim-ar, 3 folhas, pintura eletrostática cor branca, vidro fantasia ou pontilhado, conforme projeto de detalhamento fl. 256-arq-pe-102-caix-r00</v>
          </cell>
          <cell r="F338" t="str">
            <v>un</v>
          </cell>
          <cell r="G338">
            <v>1</v>
          </cell>
          <cell r="H338">
            <v>421.14</v>
          </cell>
          <cell r="I338">
            <v>421.14</v>
          </cell>
        </row>
        <row r="339">
          <cell r="C339" t="str">
            <v>15.01.01.05</v>
          </cell>
          <cell r="D339" t="str">
            <v>CA-03 - 1,5 x 5,2 m - caixilho de alumínio, de correr, 2 folhas (1,50x1,45)m, e o restante fixo, pintura eletrostática cor branca, vidro liso incolor, conforme projeto de detalhamento fl. 256-arq-pe-103-caix-r00</v>
          </cell>
          <cell r="F339" t="str">
            <v xml:space="preserve">un </v>
          </cell>
          <cell r="G339">
            <v>4</v>
          </cell>
          <cell r="H339">
            <v>1683.68</v>
          </cell>
          <cell r="I339">
            <v>6734.72</v>
          </cell>
        </row>
        <row r="340">
          <cell r="C340">
            <v>178</v>
          </cell>
          <cell r="D340" t="str">
            <v>CA-03 - 1,5 x 5,2 m - caixilho de alumínio, de correr, 2 folhas (1,50x1,45)m, e o restante fixo, pintura eletrostática cor branca, vidro liso incolor, conforme projeto de detalhamento fl. 256-arq-pe-103-caix-r00</v>
          </cell>
          <cell r="F340" t="str">
            <v>un</v>
          </cell>
          <cell r="G340">
            <v>1</v>
          </cell>
          <cell r="H340">
            <v>1683.68</v>
          </cell>
          <cell r="I340">
            <v>1683.68</v>
          </cell>
        </row>
        <row r="341">
          <cell r="C341" t="str">
            <v>15.01.01.06</v>
          </cell>
          <cell r="D341" t="str">
            <v>CA-04 - 2,4 x 1,85 m - veneziana de alumínio com pintura eletrostática cor branca, conforme projeto de detalhamento fl. 256-arq-pe-104-caix-r00</v>
          </cell>
          <cell r="F341" t="str">
            <v xml:space="preserve">un </v>
          </cell>
          <cell r="G341">
            <v>2</v>
          </cell>
          <cell r="H341">
            <v>1890.45</v>
          </cell>
          <cell r="I341">
            <v>3780.9</v>
          </cell>
        </row>
        <row r="342">
          <cell r="C342">
            <v>179</v>
          </cell>
          <cell r="D342" t="str">
            <v>CA-04 - 2,4 x 1,85 m - veneziana de alumínio com pintura eletrostática cor branca, conforme projeto de detalhamento fl. 256-arq-pe-104-caix-r00</v>
          </cell>
          <cell r="F342" t="str">
            <v>un</v>
          </cell>
          <cell r="G342">
            <v>1</v>
          </cell>
          <cell r="H342">
            <v>1890.45</v>
          </cell>
          <cell r="I342">
            <v>1890.45</v>
          </cell>
        </row>
        <row r="343">
          <cell r="C343" t="str">
            <v>15.01.01.07</v>
          </cell>
          <cell r="D343" t="str">
            <v>CA-05 - 1,18 x 1,8 m - veneziana de alumínio com pintura eletrostática cor branca, conforme projeto de detalhamento fl. 256-arq-pe-105-caix-r00</v>
          </cell>
          <cell r="F343" t="str">
            <v xml:space="preserve">un </v>
          </cell>
          <cell r="G343">
            <v>1</v>
          </cell>
          <cell r="H343">
            <v>974.74</v>
          </cell>
          <cell r="I343">
            <v>974.74</v>
          </cell>
        </row>
        <row r="344">
          <cell r="C344">
            <v>180</v>
          </cell>
          <cell r="D344" t="str">
            <v>CA-05 - 1,18 x 1,8 m - veneziana de alumínio com pintura eletrostática cor branca, conforme projeto de detalhamento fl. 256-arq-pe-105-caix-r00</v>
          </cell>
          <cell r="F344" t="str">
            <v>un</v>
          </cell>
          <cell r="G344">
            <v>1</v>
          </cell>
          <cell r="H344">
            <v>974.74</v>
          </cell>
          <cell r="I344">
            <v>974.74</v>
          </cell>
        </row>
        <row r="345">
          <cell r="C345" t="str">
            <v>15.01.01.08</v>
          </cell>
          <cell r="D345" t="str">
            <v>CA-06 - 1 x 1,8 m - veneziana de alumínio com pintura eletrostática cor branca, conforme projeto de detalhamento fl. 256-arq-pe-106-caix-r00</v>
          </cell>
          <cell r="F345" t="str">
            <v xml:space="preserve">un </v>
          </cell>
          <cell r="G345">
            <v>1</v>
          </cell>
          <cell r="H345">
            <v>853.43</v>
          </cell>
          <cell r="I345">
            <v>853.43</v>
          </cell>
        </row>
        <row r="346">
          <cell r="C346">
            <v>181</v>
          </cell>
          <cell r="D346" t="str">
            <v>CA-06 - 1 x 1,8 m - veneziana de alumínio com pintura eletrostática cor branca, conforme projeto de detalhamento fl. 256-arq-pe-106-caix-r00</v>
          </cell>
          <cell r="F346" t="str">
            <v>un</v>
          </cell>
          <cell r="G346">
            <v>1</v>
          </cell>
          <cell r="H346">
            <v>853.43</v>
          </cell>
          <cell r="I346">
            <v>853.43</v>
          </cell>
        </row>
        <row r="347">
          <cell r="C347" t="str">
            <v>15.01.01.09</v>
          </cell>
          <cell r="D347" t="str">
            <v>CA-07 - 6,68 x 2,2 m - caixilho de alumínio em l (4,19+2,49), fixo, pintura eletrostática cor branca, vidro liso incolor, conforme projeto de detalhamento fl. 256-arq-pe-107-caix-r00</v>
          </cell>
          <cell r="F347" t="str">
            <v xml:space="preserve">un </v>
          </cell>
          <cell r="G347">
            <v>3</v>
          </cell>
          <cell r="H347">
            <v>1434.65</v>
          </cell>
          <cell r="I347">
            <v>4303.95</v>
          </cell>
        </row>
        <row r="348">
          <cell r="C348">
            <v>182</v>
          </cell>
          <cell r="D348" t="str">
            <v>CA-07 - 6,68 x 2,2 m - caixilho de alumínio em l (4,19+2,49), fixo, pintura eletrostática cor branca, vidro liso incolor, conforme projeto de detalhamento fl. 256-arq-pe-107-caix-r00</v>
          </cell>
          <cell r="F348" t="str">
            <v>un</v>
          </cell>
          <cell r="G348">
            <v>1</v>
          </cell>
          <cell r="H348">
            <v>1434.65</v>
          </cell>
          <cell r="I348">
            <v>1434.65</v>
          </cell>
        </row>
        <row r="349">
          <cell r="C349" t="str">
            <v>15.01.01.10</v>
          </cell>
          <cell r="D349" t="str">
            <v>CA-08 - 2,32 x 2,2 m - caixilho de alumínio, fixo, 1 folha, pintura eletrostática cor branca, vidro liso incolor, conforme projeto de detalhamento 256-arq-pe-108-caix-r00</v>
          </cell>
          <cell r="F349" t="str">
            <v xml:space="preserve">un </v>
          </cell>
          <cell r="G349">
            <v>1</v>
          </cell>
          <cell r="H349">
            <v>569.95000000000005</v>
          </cell>
          <cell r="I349">
            <v>569.95000000000005</v>
          </cell>
        </row>
        <row r="350">
          <cell r="C350">
            <v>183</v>
          </cell>
          <cell r="D350" t="str">
            <v>CA-08 - 2,32 x 2,2 m - caixilho de alumínio, fixo, 1 folha, pintura eletrostática cor branca, vidro liso incolor, conforme projeto de detalhamento 256-arq-pe-108-caix-r00</v>
          </cell>
          <cell r="F350" t="str">
            <v>un</v>
          </cell>
          <cell r="G350">
            <v>1</v>
          </cell>
          <cell r="H350">
            <v>569.95000000000005</v>
          </cell>
          <cell r="I350">
            <v>569.95000000000005</v>
          </cell>
        </row>
        <row r="351">
          <cell r="C351" t="str">
            <v>15.01.01.11</v>
          </cell>
          <cell r="D351" t="str">
            <v>CA-09 - 4 x 2,2 m - caixilho de aluminio, fixo, 1 folha, pintura eletrostática cor branca, vidro liso incolor, conforme projeto de detalhamento 256-arq-pe-109-caix-r00</v>
          </cell>
          <cell r="F351" t="str">
            <v xml:space="preserve">un </v>
          </cell>
          <cell r="G351">
            <v>1</v>
          </cell>
          <cell r="H351">
            <v>767.17</v>
          </cell>
          <cell r="I351">
            <v>767.17</v>
          </cell>
        </row>
        <row r="352">
          <cell r="C352">
            <v>184</v>
          </cell>
          <cell r="D352" t="str">
            <v>CA-09 - 4 x 2,2 m - caixilho de aluminio, fixo, 1 folha, pintura eletrostática cor branca, vidro liso incolor, conforme projeto de detalhamento 256-arq-pe-109-caix-r00</v>
          </cell>
          <cell r="F352" t="str">
            <v>un</v>
          </cell>
          <cell r="G352">
            <v>1</v>
          </cell>
          <cell r="H352">
            <v>767.17</v>
          </cell>
          <cell r="I352">
            <v>767.17</v>
          </cell>
        </row>
        <row r="353">
          <cell r="C353" t="str">
            <v>15.01.01.12</v>
          </cell>
          <cell r="D353" t="str">
            <v>CA-10 - 1,2 x 6,97 m - caixilho de alumínio, fixo, 4 módulos, pintura eletrostática cor branca, vidro liso incolor, conforme projeto de detalhamento 256-arq-pe-110-caix-roo</v>
          </cell>
          <cell r="F353" t="str">
            <v xml:space="preserve">un </v>
          </cell>
          <cell r="G353">
            <v>1</v>
          </cell>
          <cell r="H353">
            <v>2714.32</v>
          </cell>
          <cell r="I353">
            <v>2714.32</v>
          </cell>
        </row>
        <row r="354">
          <cell r="C354">
            <v>185</v>
          </cell>
          <cell r="D354" t="str">
            <v>CA-10 - 1,2 x 6,97 m - caixilho de alumínio, fixo, 4 módulos, pintura eletrostática cor branca, vidro liso incolor, conforme projeto de detalhamento 256-arq-pe-110-caix-roo</v>
          </cell>
          <cell r="F354" t="str">
            <v>un</v>
          </cell>
          <cell r="G354">
            <v>1</v>
          </cell>
          <cell r="H354">
            <v>2714.32</v>
          </cell>
          <cell r="I354">
            <v>2714.32</v>
          </cell>
        </row>
        <row r="355">
          <cell r="C355" t="str">
            <v>15.01.01.13</v>
          </cell>
          <cell r="D355" t="str">
            <v>CA-10A - 1,2 x 3,37 m - caixilho de alumínio de fixo, 2 módulos, pintura eletrostática cor branca, vidro liso incolor, conforme projeto de detalhamento 256-arq-pe-110a-caix-roo</v>
          </cell>
          <cell r="F355" t="str">
            <v xml:space="preserve">un </v>
          </cell>
          <cell r="G355">
            <v>1</v>
          </cell>
          <cell r="H355">
            <v>1329.3</v>
          </cell>
          <cell r="I355">
            <v>1329.3</v>
          </cell>
        </row>
        <row r="356">
          <cell r="C356">
            <v>186</v>
          </cell>
          <cell r="D356" t="str">
            <v>CA-10A - 1,2 x 3,37 m - caixilho de alumínio de fixo, 2 módulos, pintura eletrostática cor branca, vidro liso incolor, conforme projeto de detalhamento 256-arq-pe-110a-caix-roo</v>
          </cell>
          <cell r="F356" t="str">
            <v>un</v>
          </cell>
          <cell r="G356">
            <v>1</v>
          </cell>
          <cell r="H356">
            <v>1329.3</v>
          </cell>
          <cell r="I356">
            <v>1329.3</v>
          </cell>
        </row>
        <row r="357">
          <cell r="C357" t="str">
            <v>15.01.01.14</v>
          </cell>
          <cell r="D357" t="str">
            <v>CA-11 - 2,6 x 6,97 m - caixilho de alumínio de fixo, 4 módulos, pintura eletrostática cor branca, vidro liso incolor, conforme projeto de detalhamento 256-arq-pe-111-caix-roo</v>
          </cell>
          <cell r="F357" t="str">
            <v xml:space="preserve">un </v>
          </cell>
          <cell r="G357">
            <v>1</v>
          </cell>
          <cell r="H357">
            <v>3726.76</v>
          </cell>
          <cell r="I357">
            <v>3726.76</v>
          </cell>
        </row>
        <row r="358">
          <cell r="C358">
            <v>187</v>
          </cell>
          <cell r="D358" t="str">
            <v>CA-11 - 2,6 x 6,97 m - caixilho de alumínio de fixo, 4 módulos, pintura eletrostática cor branca, vidro liso incolor, conforme projeto de detalhamento 256-arq-pe-111-caix-roo</v>
          </cell>
          <cell r="F358" t="str">
            <v>un</v>
          </cell>
          <cell r="G358">
            <v>1</v>
          </cell>
          <cell r="H358">
            <v>3726.76</v>
          </cell>
          <cell r="I358">
            <v>3726.76</v>
          </cell>
        </row>
        <row r="359">
          <cell r="C359" t="str">
            <v>15.01.01.15</v>
          </cell>
          <cell r="D359" t="str">
            <v>CA-12 - 8,18 x 6,97 m - caixilho de alumínio, fixo, 20 módulos, pintura eletrostática cor branca, vidro liso incolor, conforme projeto de detalhamento 256-arq-pe-112-caix-roo</v>
          </cell>
          <cell r="F359" t="str">
            <v xml:space="preserve">un </v>
          </cell>
          <cell r="G359">
            <v>1</v>
          </cell>
          <cell r="H359">
            <v>12402.99</v>
          </cell>
          <cell r="I359">
            <v>12402.99</v>
          </cell>
        </row>
        <row r="360">
          <cell r="C360">
            <v>188</v>
          </cell>
          <cell r="D360" t="str">
            <v>CA-12 - 8,18 x 6,97 m - caixilho de alumínio, fixo, 20 módulos, pintura eletrostática cor branca, vidro liso incolor, conforme projeto de detalhamento 256-arq-pe-112-caix-roo</v>
          </cell>
          <cell r="F360" t="str">
            <v>un</v>
          </cell>
          <cell r="G360">
            <v>1</v>
          </cell>
          <cell r="H360">
            <v>12402.99</v>
          </cell>
          <cell r="I360">
            <v>12402.99</v>
          </cell>
        </row>
        <row r="361">
          <cell r="C361" t="str">
            <v>15.01.01.16</v>
          </cell>
          <cell r="D361" t="str">
            <v>CA-13 - 2,8 x 2,8 m - caixilho de alumínio, fixo, 3 módulos, pintura eletrostática cor branca, vidro liso incolor, conforme projeto de detalhamento 256-arq-pe-113-caix-roo</v>
          </cell>
          <cell r="F361" t="str">
            <v xml:space="preserve">un </v>
          </cell>
          <cell r="G361">
            <v>2</v>
          </cell>
          <cell r="H361">
            <v>2091</v>
          </cell>
          <cell r="I361">
            <v>4182</v>
          </cell>
        </row>
        <row r="362">
          <cell r="C362">
            <v>189</v>
          </cell>
          <cell r="D362" t="str">
            <v>CA-13 - 2,8 x 2,8 m - caixilho de alumínio, fixo, 3 módulos, pintura eletrostática cor branca, vidro liso incolor, conforme projeto de detalhamento 256-arq-pe-113-caix-roo</v>
          </cell>
          <cell r="F362" t="str">
            <v>un</v>
          </cell>
          <cell r="G362">
            <v>1</v>
          </cell>
          <cell r="H362">
            <v>2091</v>
          </cell>
          <cell r="I362">
            <v>2091</v>
          </cell>
        </row>
        <row r="363">
          <cell r="C363" t="str">
            <v>15.01.01.17</v>
          </cell>
          <cell r="D363" t="str">
            <v>CA-14 - 1,5 x 1,85 m - veneziana com ventilação, de alumínio, pintura eletrostática cor branca, conforme projeto de detalhamento 256-arq-pe-114-caix-roo</v>
          </cell>
          <cell r="F363" t="str">
            <v xml:space="preserve">un </v>
          </cell>
          <cell r="G363">
            <v>8</v>
          </cell>
          <cell r="H363">
            <v>1217</v>
          </cell>
          <cell r="I363">
            <v>9736</v>
          </cell>
        </row>
        <row r="364">
          <cell r="C364">
            <v>190</v>
          </cell>
          <cell r="D364" t="str">
            <v>CA-14 - 1,5 x 1,85 m - veneziana com ventilação, de alumínio, pintura eletrostática cor branca, conforme projeto de detalhamento 256-arq-pe-114-caix-roo</v>
          </cell>
          <cell r="F364" t="str">
            <v>un</v>
          </cell>
          <cell r="G364">
            <v>1</v>
          </cell>
          <cell r="H364">
            <v>1217</v>
          </cell>
          <cell r="I364">
            <v>1217</v>
          </cell>
        </row>
        <row r="365">
          <cell r="C365" t="str">
            <v>15.01.01.18</v>
          </cell>
          <cell r="D365" t="str">
            <v>CA-15 - 1,4 x 1,2 m - veneziana com ventilação, de alumínio, pintura eletrostática cor branca, vidro liso incolor, conforme projeto de detalhamento 256-arq-pe-115-caix-roo</v>
          </cell>
          <cell r="F365" t="str">
            <v xml:space="preserve">un </v>
          </cell>
          <cell r="G365">
            <v>2</v>
          </cell>
          <cell r="H365">
            <v>800.66</v>
          </cell>
          <cell r="I365">
            <v>1601.32</v>
          </cell>
        </row>
        <row r="366">
          <cell r="C366">
            <v>191</v>
          </cell>
          <cell r="D366" t="str">
            <v>CA-15 - 1,4 x 1,2 m - veneziana com ventilação, de alumínio, pintura eletrostática cor branca, vidro liso incolor, conforme projeto de detalhamento 256-arq-pe-115-caix-roo</v>
          </cell>
          <cell r="F366" t="str">
            <v>un</v>
          </cell>
          <cell r="G366">
            <v>1</v>
          </cell>
          <cell r="H366">
            <v>800.66</v>
          </cell>
          <cell r="I366">
            <v>800.66</v>
          </cell>
        </row>
        <row r="367">
          <cell r="C367" t="str">
            <v>15.01.01.19</v>
          </cell>
          <cell r="D367" t="str">
            <v>CA-16 - 1 x 0,8 m - caixilho de aluminio, pivotante, 3 folhas, pintura eletrostática cor branca, vidro liso incolor, conforme projeto de detalhamneto 256-arq-pe-116-caix-roo</v>
          </cell>
          <cell r="F367" t="str">
            <v xml:space="preserve">un </v>
          </cell>
          <cell r="G367">
            <v>1</v>
          </cell>
          <cell r="H367">
            <v>350.45</v>
          </cell>
          <cell r="I367">
            <v>350.45</v>
          </cell>
        </row>
        <row r="368">
          <cell r="C368">
            <v>192</v>
          </cell>
          <cell r="D368" t="str">
            <v>CA-16 - 1 x 0,8 m - caixilho de aluminio, pivotante, 3 folhas, pintura eletrostática cor branca, vidro liso incolor, conforme projeto de detalhamneto 256-arq-pe-116-caix-roo</v>
          </cell>
          <cell r="F368" t="str">
            <v>un</v>
          </cell>
          <cell r="G368">
            <v>1</v>
          </cell>
          <cell r="H368">
            <v>350.45</v>
          </cell>
          <cell r="I368">
            <v>350.45</v>
          </cell>
        </row>
        <row r="369">
          <cell r="C369" t="str">
            <v>15.01.01.20</v>
          </cell>
          <cell r="D369" t="str">
            <v>VEN-01 - 14,88 x 0,8 m - veneziana em aluminio anodizado, cor bronze</v>
          </cell>
          <cell r="F369" t="str">
            <v xml:space="preserve">un </v>
          </cell>
          <cell r="G369">
            <v>1</v>
          </cell>
          <cell r="H369">
            <v>5400</v>
          </cell>
          <cell r="I369">
            <v>5400</v>
          </cell>
        </row>
        <row r="370">
          <cell r="C370">
            <v>193</v>
          </cell>
          <cell r="D370" t="str">
            <v>VEN-01 - 14,88 x 0,8 m - veneziana em aluminio anodizado, cor bronze</v>
          </cell>
          <cell r="F370" t="str">
            <v>un</v>
          </cell>
          <cell r="G370">
            <v>1</v>
          </cell>
          <cell r="H370">
            <v>5400</v>
          </cell>
          <cell r="I370">
            <v>5400</v>
          </cell>
        </row>
        <row r="371">
          <cell r="C371" t="str">
            <v>15.01.01.21</v>
          </cell>
          <cell r="D371" t="str">
            <v>VEN-02 - 13,03 x 0,8 m - veneziana em aluminio anodizado, cor bronze</v>
          </cell>
          <cell r="F371" t="str">
            <v xml:space="preserve">un </v>
          </cell>
          <cell r="G371">
            <v>1</v>
          </cell>
          <cell r="H371">
            <v>4450</v>
          </cell>
          <cell r="I371">
            <v>4450</v>
          </cell>
        </row>
        <row r="372">
          <cell r="C372">
            <v>194</v>
          </cell>
          <cell r="D372" t="str">
            <v>VEN-02 - 13,03 x 0,8 m - veneziana em aluminio anodizado, cor bronze</v>
          </cell>
          <cell r="F372" t="str">
            <v>un</v>
          </cell>
          <cell r="G372">
            <v>1</v>
          </cell>
          <cell r="H372">
            <v>4450</v>
          </cell>
          <cell r="I372">
            <v>4450</v>
          </cell>
        </row>
        <row r="373">
          <cell r="C373" t="str">
            <v>15.01.01.22</v>
          </cell>
          <cell r="D373" t="str">
            <v>VEN-03 - 13,22 x 0,8 m - veneziana em aluminio anodizado, cor bronze</v>
          </cell>
          <cell r="F373" t="str">
            <v xml:space="preserve">un </v>
          </cell>
          <cell r="G373">
            <v>1</v>
          </cell>
          <cell r="H373">
            <v>4540</v>
          </cell>
          <cell r="I373">
            <v>4540</v>
          </cell>
        </row>
        <row r="374">
          <cell r="C374">
            <v>195</v>
          </cell>
          <cell r="D374" t="str">
            <v>VEN-03 - 13,22 x 0,8 m - veneziana em aluminio anodizado, cor bronze</v>
          </cell>
          <cell r="F374" t="str">
            <v>un</v>
          </cell>
          <cell r="G374">
            <v>1</v>
          </cell>
          <cell r="H374">
            <v>4540</v>
          </cell>
          <cell r="I374">
            <v>4540</v>
          </cell>
        </row>
        <row r="375">
          <cell r="C375" t="str">
            <v>15.01.01.23</v>
          </cell>
          <cell r="D375" t="str">
            <v>VEN-04 - 11,05 x 0,8 m - veneziana em aluminio anodizado, cor bronze</v>
          </cell>
          <cell r="F375" t="str">
            <v xml:space="preserve">un </v>
          </cell>
          <cell r="G375">
            <v>1</v>
          </cell>
          <cell r="H375">
            <v>3780</v>
          </cell>
          <cell r="I375">
            <v>3780</v>
          </cell>
        </row>
        <row r="376">
          <cell r="C376">
            <v>196</v>
          </cell>
          <cell r="D376" t="str">
            <v>VEN-04 - 11,05 x 0,8 m - veneziana em aluminio anodizado, cor bronze</v>
          </cell>
          <cell r="F376" t="str">
            <v>un</v>
          </cell>
          <cell r="G376">
            <v>1</v>
          </cell>
          <cell r="H376">
            <v>3780</v>
          </cell>
          <cell r="I376">
            <v>3780</v>
          </cell>
        </row>
        <row r="377">
          <cell r="C377" t="str">
            <v>15.01.01.24</v>
          </cell>
          <cell r="D377" t="str">
            <v>VEN-05 - 19,1 x 0,8 m - veneziana em aluminio anodizado, cor bronze</v>
          </cell>
          <cell r="F377" t="str">
            <v xml:space="preserve">un </v>
          </cell>
          <cell r="G377">
            <v>1</v>
          </cell>
          <cell r="H377">
            <v>6480</v>
          </cell>
          <cell r="I377">
            <v>6480</v>
          </cell>
        </row>
        <row r="378">
          <cell r="C378">
            <v>197</v>
          </cell>
          <cell r="D378" t="str">
            <v>VEN-05 - 19,1 x 0,8 m - veneziana em aluminio anodizado, cor bronze</v>
          </cell>
          <cell r="F378" t="str">
            <v>un</v>
          </cell>
          <cell r="G378">
            <v>1</v>
          </cell>
          <cell r="H378">
            <v>6480</v>
          </cell>
          <cell r="I378">
            <v>6480</v>
          </cell>
        </row>
        <row r="379">
          <cell r="C379" t="str">
            <v>15.01.01.25</v>
          </cell>
          <cell r="D379" t="str">
            <v>PA-01 - 1,5 x 2,44 m - porta de alumínio, de correr, 2 folhas, pintura eletrostática cor branca, vidro liso incolor, conforme projeto de detalhamneto 256-arq-pe-201-caix-r00</v>
          </cell>
          <cell r="F379" t="str">
            <v xml:space="preserve">un </v>
          </cell>
          <cell r="G379">
            <v>132</v>
          </cell>
          <cell r="H379">
            <v>869.67</v>
          </cell>
          <cell r="I379">
            <v>114796.44</v>
          </cell>
        </row>
        <row r="380">
          <cell r="C380">
            <v>198</v>
          </cell>
          <cell r="D380" t="str">
            <v>PA-01 - 1,5 x 2,44 m - porta de alumínio, de correr, 2 folhas, pintura eletrostática cor branca, vidro liso incolor, conforme projeto de detalhamneto 256-arq-pe-201-caix-r00</v>
          </cell>
          <cell r="F380" t="str">
            <v>un</v>
          </cell>
          <cell r="G380">
            <v>1</v>
          </cell>
          <cell r="H380">
            <v>869.67</v>
          </cell>
          <cell r="I380">
            <v>869.67</v>
          </cell>
        </row>
        <row r="381">
          <cell r="C381" t="str">
            <v>15.01.01.26</v>
          </cell>
          <cell r="D381" t="str">
            <v>PA-02 - 2,8 x 2,44 m - porta de alumínio, de correr, 2 folhas, pintura eletrostática cor branca, vidro liso incolor, conforme projeto de detalhamneto 256-arq-pe-202-caix-r00</v>
          </cell>
          <cell r="F381" t="str">
            <v xml:space="preserve">un </v>
          </cell>
          <cell r="G381">
            <v>64</v>
          </cell>
          <cell r="H381">
            <v>1585.76</v>
          </cell>
          <cell r="I381">
            <v>101488.64</v>
          </cell>
        </row>
        <row r="382">
          <cell r="C382">
            <v>199</v>
          </cell>
          <cell r="D382" t="str">
            <v>PA-02 - 2,8 x 2,44 m - porta de alumínio, de correr, 2 folhas, pintura eletrostática cor branca, vidro liso incolor, conforme projeto de detalhamneto 256-arq-pe-202-caix-r00</v>
          </cell>
          <cell r="F382" t="str">
            <v>un</v>
          </cell>
          <cell r="G382">
            <v>1</v>
          </cell>
          <cell r="H382">
            <v>1585.76</v>
          </cell>
          <cell r="I382">
            <v>1585.76</v>
          </cell>
        </row>
        <row r="383">
          <cell r="C383" t="str">
            <v>15.01.01.27</v>
          </cell>
          <cell r="D383" t="str">
            <v>PA-03 - 1,5 x 5,68 m - porta de aluminio, de correr, 2 folhas (2,40x 1,50)m, o restante fixo, pintura eletrostática cor branca, vidro liso incolor, conforme projeto de detalhamento 256-arq-pe-203-caix-r00</v>
          </cell>
          <cell r="F383" t="str">
            <v xml:space="preserve">un </v>
          </cell>
          <cell r="G383">
            <v>20</v>
          </cell>
          <cell r="H383">
            <v>1880.01</v>
          </cell>
          <cell r="I383">
            <v>37600.199999999997</v>
          </cell>
        </row>
        <row r="384">
          <cell r="C384">
            <v>200</v>
          </cell>
          <cell r="D384" t="str">
            <v>PA-03 - 1,5 x 5,68 m - porta de aluminio, de correr, 2 folhas (2,40x 1,50)m, o restante fixo, pintura eletrostática cor branca, vidro liso incolor, conforme projeto de detalhamento 256-arq-pe-203-caix-r00</v>
          </cell>
          <cell r="F384" t="str">
            <v>un</v>
          </cell>
          <cell r="G384">
            <v>1</v>
          </cell>
          <cell r="H384">
            <v>1880.01</v>
          </cell>
          <cell r="I384">
            <v>1880.01</v>
          </cell>
        </row>
        <row r="385">
          <cell r="C385" t="str">
            <v>15.01.01.28</v>
          </cell>
          <cell r="D385" t="str">
            <v>PA-04 - 0,8 x 1,8 m - porta de aluminio em veneziana com ventilação, de abrir, 1 folha, pintura eletrostática cor branca, conforme projeto de detalhamento 256-arq-pe-204-caix-r00</v>
          </cell>
          <cell r="F385" t="str">
            <v xml:space="preserve">un </v>
          </cell>
          <cell r="G385">
            <v>2</v>
          </cell>
          <cell r="H385">
            <v>703.44</v>
          </cell>
          <cell r="I385">
            <v>1406.88</v>
          </cell>
        </row>
        <row r="386">
          <cell r="C386">
            <v>201</v>
          </cell>
          <cell r="D386" t="str">
            <v>PA-04 - 0,8 x 1,8 m - porta de aluminio em veneziana com ventilação, de abrir, 1 folha, pintura eletrostática cor branca, conforme projeto de detalhamento 256-arq-pe-204-caix-r00</v>
          </cell>
          <cell r="F386" t="str">
            <v>un</v>
          </cell>
          <cell r="G386">
            <v>1</v>
          </cell>
          <cell r="H386">
            <v>703.44</v>
          </cell>
          <cell r="I386">
            <v>703.44</v>
          </cell>
        </row>
        <row r="387">
          <cell r="C387" t="str">
            <v>15.01.01.29</v>
          </cell>
          <cell r="D387" t="str">
            <v>PA-05 - 0,9 x 2,2 m - porta de alumínio em veneziana com ventilação, de abrir, 1 folha, pintura eletrostática cor branca, conforme projeto de detalhamento 256-arq-pe-205-caix-r00</v>
          </cell>
          <cell r="F387" t="str">
            <v xml:space="preserve">un </v>
          </cell>
          <cell r="G387">
            <v>2</v>
          </cell>
          <cell r="H387">
            <v>818.28</v>
          </cell>
          <cell r="I387">
            <v>1636.56</v>
          </cell>
        </row>
        <row r="388">
          <cell r="C388">
            <v>202</v>
          </cell>
          <cell r="D388" t="str">
            <v>PA-05 - 0,9 x 2,2 m - porta de alumínio em veneziana com ventilação, de abrir, 1 folha, pintura eletrostática cor branca, conforme projeto de detalhamento 256-arq-pe-205-caix-r00</v>
          </cell>
          <cell r="F388" t="str">
            <v>un</v>
          </cell>
          <cell r="G388">
            <v>1</v>
          </cell>
          <cell r="H388">
            <v>818.28</v>
          </cell>
          <cell r="I388">
            <v>818.28</v>
          </cell>
        </row>
        <row r="389">
          <cell r="C389" t="str">
            <v>15.01.01.30</v>
          </cell>
          <cell r="D389" t="str">
            <v>PA-06 - 0,8 x 2,2 m - porta de aluminio em veneziana com ventilação, de abrir, 1 folha, pintura eletrostática cor branca, conforme projeto de detalhamento 256-arq-pe-206-caix-r00</v>
          </cell>
          <cell r="F389" t="str">
            <v xml:space="preserve">un </v>
          </cell>
          <cell r="G389">
            <v>2</v>
          </cell>
          <cell r="H389">
            <v>759.33</v>
          </cell>
          <cell r="I389">
            <v>1518.66</v>
          </cell>
        </row>
        <row r="390">
          <cell r="C390">
            <v>203</v>
          </cell>
          <cell r="D390" t="str">
            <v>PA-06 - 0,8 x 2,2 m - porta de aluminio em veneziana com ventilação, de abrir, 1 folha, pintura eletrostática cor branca, conforme projeto de detalhamento 256-arq-pe-206-caix-r00</v>
          </cell>
          <cell r="F390" t="str">
            <v>un</v>
          </cell>
          <cell r="G390">
            <v>1</v>
          </cell>
          <cell r="H390">
            <v>759.33</v>
          </cell>
          <cell r="I390">
            <v>759.33</v>
          </cell>
        </row>
        <row r="391">
          <cell r="C391" t="str">
            <v>15.01.01.31</v>
          </cell>
          <cell r="D391" t="str">
            <v>PA-07 - 2,3 x 2,2 m - porta de alumínio, de abrir, 1 folha de (0,90x2,20)m, e o restante fixo, pintura eletrostatica cor branca, vidro liso incolor, conforme projeto de detalhamento 256-arq-pe-207-caix-r00</v>
          </cell>
          <cell r="F391" t="str">
            <v xml:space="preserve">un </v>
          </cell>
          <cell r="G391">
            <v>3</v>
          </cell>
          <cell r="H391">
            <v>1049.68</v>
          </cell>
          <cell r="I391">
            <v>3149.04</v>
          </cell>
        </row>
        <row r="392">
          <cell r="C392">
            <v>204</v>
          </cell>
          <cell r="D392" t="str">
            <v>PA-07 - 2,3 x 2,2 m - porta de alumínio, de abrir, 1 folha de (0,90x2,20)m, e o restante fixo, pintura eletrostatica cor branca, vidro liso incolor, conforme projeto de detalhamento 256-arq-pe-207-caix-r00</v>
          </cell>
          <cell r="F392" t="str">
            <v>un</v>
          </cell>
          <cell r="G392">
            <v>1</v>
          </cell>
          <cell r="H392">
            <v>1049.68</v>
          </cell>
          <cell r="I392">
            <v>1049.68</v>
          </cell>
        </row>
        <row r="393">
          <cell r="C393" t="str">
            <v>15.01.01.32</v>
          </cell>
          <cell r="D393" t="str">
            <v>PA-08 - 4,6 x 2,2 m - porta de aluminio, de correr, 2 folha (1,45x2,20)m, o restante fixo, pintura eletrostática cor branca, vidro liso incolor, conforme projeto de detalhamento 256-arq-pe-208-caix-r00</v>
          </cell>
          <cell r="F393" t="str">
            <v xml:space="preserve">un </v>
          </cell>
          <cell r="G393">
            <v>1</v>
          </cell>
          <cell r="H393">
            <v>1864.47</v>
          </cell>
          <cell r="I393">
            <v>1864.47</v>
          </cell>
        </row>
        <row r="394">
          <cell r="C394">
            <v>205</v>
          </cell>
          <cell r="D394" t="str">
            <v>PA-08 - 4,6 x 2,2 m - porta de aluminio, de correr, 2 folha (1,45x2,20)m, o restante fixo, pintura eletrostática cor branca, vidro liso incolor, conforme projeto de detalhamento 256-arq-pe-208-caix-r00</v>
          </cell>
          <cell r="F394" t="str">
            <v>un</v>
          </cell>
          <cell r="G394">
            <v>1</v>
          </cell>
          <cell r="H394">
            <v>1864.47</v>
          </cell>
          <cell r="I394">
            <v>1864.47</v>
          </cell>
        </row>
        <row r="395">
          <cell r="C395" t="str">
            <v>15.01.01.33</v>
          </cell>
          <cell r="D395" t="str">
            <v>PA-09 - 0,8 x 2,2 m - porta de aluminio em veneziana com ventilação, de abrir, 1 folha, pintura eletrostatica cor branca, conforme projeto de detalhamento 256-arq-pe-209-caix-r00</v>
          </cell>
          <cell r="F395" t="str">
            <v xml:space="preserve">un </v>
          </cell>
          <cell r="G395">
            <v>3</v>
          </cell>
          <cell r="H395">
            <v>759.34</v>
          </cell>
          <cell r="I395">
            <v>2278.02</v>
          </cell>
        </row>
        <row r="396">
          <cell r="C396">
            <v>206</v>
          </cell>
          <cell r="D396" t="str">
            <v>PA-09 - 0,8 x 2,2 m - porta de aluminio em veneziana com ventilação, de abrir, 1 folha, pintura eletrostatica cor branca, conforme projeto de detalhamento 256-arq-pe-209-caix-r00</v>
          </cell>
          <cell r="F396" t="str">
            <v>un</v>
          </cell>
          <cell r="G396">
            <v>1</v>
          </cell>
          <cell r="H396">
            <v>759.34</v>
          </cell>
          <cell r="I396">
            <v>759.34</v>
          </cell>
        </row>
        <row r="397">
          <cell r="C397" t="str">
            <v>15.01.01.34</v>
          </cell>
          <cell r="D397" t="str">
            <v>PA-10 - 1,76 x 3,47 m - porta de alumínio, de abrir, 2 folha (1,76x2,70)m, bandeira superior fixa (1,76x0,70)m, pintura eletrostatica cor branca, vidro liso incolor, conforme o projeto de detalhamento 256-arq-pe-210-caix-r00</v>
          </cell>
          <cell r="F397" t="str">
            <v xml:space="preserve">un </v>
          </cell>
          <cell r="G397">
            <v>1</v>
          </cell>
          <cell r="H397">
            <v>1433.99</v>
          </cell>
          <cell r="I397">
            <v>1433.99</v>
          </cell>
        </row>
        <row r="398">
          <cell r="C398">
            <v>207</v>
          </cell>
          <cell r="D398" t="str">
            <v>PA-10 - 1,76 x 3,47 m - porta de alumínio, de abrir, 2 folha (1,76x2,70)m, bandeira superior fixa (1,76x0,70)m, pintura eletrostatica cor branca, vidro liso incolor, conforme o projeto de detalhamento 256-arq-pe-210-caix-r00</v>
          </cell>
          <cell r="F398" t="str">
            <v>un</v>
          </cell>
          <cell r="G398">
            <v>1</v>
          </cell>
          <cell r="H398">
            <v>1433.99</v>
          </cell>
          <cell r="I398">
            <v>1433.99</v>
          </cell>
        </row>
        <row r="399">
          <cell r="C399" t="str">
            <v>15.01.01.35</v>
          </cell>
          <cell r="D399" t="str">
            <v>PA-11A - 5 x 6,97 m - caixilho de alumínio, fixo, 12 módulos, pintura eletrostática cor branca, vidro liso incolor, conforme projeto de detalhamento 259-arq-pe-211-caix-r00</v>
          </cell>
          <cell r="F399" t="str">
            <v xml:space="preserve">un </v>
          </cell>
          <cell r="G399">
            <v>1</v>
          </cell>
          <cell r="H399">
            <v>7032.25</v>
          </cell>
          <cell r="I399">
            <v>7032.25</v>
          </cell>
        </row>
        <row r="400">
          <cell r="C400">
            <v>208</v>
          </cell>
          <cell r="D400" t="str">
            <v>PA-11A - 5 x 6,97 m - caixilho de alumínio, fixo, 12 módulos, pintura eletrostática cor branca, vidro liso incolor, conforme projeto de detalhamento 259-arq-pe-211-caix-r00</v>
          </cell>
          <cell r="F400" t="str">
            <v>un</v>
          </cell>
          <cell r="G400">
            <v>1</v>
          </cell>
          <cell r="H400">
            <v>7032.25</v>
          </cell>
          <cell r="I400">
            <v>7032.25</v>
          </cell>
        </row>
        <row r="401">
          <cell r="C401" t="str">
            <v>15.01.01.36</v>
          </cell>
          <cell r="D401" t="str">
            <v>PA-11B - 6,63 x 3,37 m - caixilho de aluminio, com 1 porta, de abrir, 2 folhas (1,96x2,66)m, o restante fixo, 10 módulos, pintura eletrostática cor branca, vidro liso incolor, conforme projeto de detalhamento 56-arq-pe-211-caix-r00</v>
          </cell>
          <cell r="F401" t="str">
            <v xml:space="preserve">un </v>
          </cell>
          <cell r="G401">
            <v>1</v>
          </cell>
          <cell r="H401">
            <v>7032.25</v>
          </cell>
          <cell r="I401">
            <v>7032.25</v>
          </cell>
        </row>
        <row r="402">
          <cell r="C402">
            <v>209</v>
          </cell>
          <cell r="D402" t="str">
            <v>PA-11B - 6,63 x 3,37 m - caixilho de aluminio, com 1 porta, de abrir, 2 folhas (1,96x2,66)m, o restante fixo, 10 módulos, pintura eletrostática cor branca, vidro liso incolor, conforme projeto de detalhamento 56-arq-pe-211-caix-r00</v>
          </cell>
          <cell r="F402" t="str">
            <v>un</v>
          </cell>
          <cell r="G402">
            <v>1</v>
          </cell>
          <cell r="H402">
            <v>7032.25</v>
          </cell>
          <cell r="I402">
            <v>7032.25</v>
          </cell>
        </row>
        <row r="403">
          <cell r="C403" t="str">
            <v>15.01.01.37</v>
          </cell>
          <cell r="D403" t="str">
            <v>PA-12 - 11,86 x 6,97 m - caixilho de alumínio com uma porta, de abrir, 2 folha (2,01x1,94)m, o restante fixo, 26 módulos, pintura eletrostática cor branca, conforme projeto de detalhamento 256-arq-pe-212-caix-r00</v>
          </cell>
          <cell r="F403" t="str">
            <v xml:space="preserve">un </v>
          </cell>
          <cell r="G403">
            <v>1</v>
          </cell>
          <cell r="H403">
            <v>19779.97</v>
          </cell>
          <cell r="I403">
            <v>19779.97</v>
          </cell>
        </row>
        <row r="404">
          <cell r="C404">
            <v>210</v>
          </cell>
          <cell r="D404" t="str">
            <v>PA-12 - 11,86 x 6,97 m - caixilho de alumínio com uma porta, de abrir, 2 folha (2,01x1,94)m, o restante fixo, 26 módulos, pintura eletrostática cor branca, conforme projeto de detalhamento 256-arq-pe-212-caix-r00</v>
          </cell>
          <cell r="F404" t="str">
            <v>un</v>
          </cell>
          <cell r="G404">
            <v>1</v>
          </cell>
          <cell r="H404">
            <v>19779.97</v>
          </cell>
          <cell r="I404">
            <v>19779.97</v>
          </cell>
        </row>
        <row r="405">
          <cell r="C405" t="str">
            <v>15.01.01.38</v>
          </cell>
          <cell r="D405" t="str">
            <v>PA-13 - 4,4 x 2,8 m - porta de alumínio, de correr, 2 folha (1,30x2,80)m, o restante fixo, pintura eletrostática cor branca, vidro liso incolor, conforme projeto de detalhamento 256-arq-pe-213-caix-r00</v>
          </cell>
          <cell r="F405" t="str">
            <v xml:space="preserve">un </v>
          </cell>
          <cell r="G405">
            <v>2</v>
          </cell>
          <cell r="H405">
            <v>2672.73</v>
          </cell>
          <cell r="I405">
            <v>5345.46</v>
          </cell>
        </row>
        <row r="406">
          <cell r="C406">
            <v>211</v>
          </cell>
          <cell r="D406" t="str">
            <v>PA-13 - 4,4 x 2,8 m - porta de alumínio, de correr, 2 folha (1,30x2,80)m, o restante fixo, pintura eletrostática cor branca, vidro liso incolor, conforme projeto de detalhamento 256-arq-pe-213-caix-r00</v>
          </cell>
          <cell r="F406" t="str">
            <v>un</v>
          </cell>
          <cell r="G406">
            <v>1</v>
          </cell>
          <cell r="H406">
            <v>2672.73</v>
          </cell>
          <cell r="I406">
            <v>2672.73</v>
          </cell>
        </row>
        <row r="407">
          <cell r="C407" t="str">
            <v>15.01.01.39</v>
          </cell>
          <cell r="D407" t="str">
            <v>PA-14 - 0,79 x 1,1 m - porta de alumínio de veneziana com ventilação, de abrir, 1 folha, pintura eletrostática cor branca, conforme projeto de detalhamento 256-arq-pe-214-caix-r00</v>
          </cell>
          <cell r="F407" t="str">
            <v xml:space="preserve">un </v>
          </cell>
          <cell r="G407">
            <v>1</v>
          </cell>
          <cell r="H407">
            <v>475.46</v>
          </cell>
          <cell r="I407">
            <v>475.46</v>
          </cell>
        </row>
        <row r="408">
          <cell r="C408">
            <v>212</v>
          </cell>
          <cell r="D408" t="str">
            <v>PA-14 - 0,79 x 1,1 m - porta de alumínio de veneziana com ventilação, de abrir, 1 folha, pintura eletrostática cor branca, conforme projeto de detalhamento 256-arq-pe-214-caix-r00</v>
          </cell>
          <cell r="F408" t="str">
            <v>un</v>
          </cell>
          <cell r="G408">
            <v>1</v>
          </cell>
          <cell r="H408">
            <v>475.46</v>
          </cell>
          <cell r="I408">
            <v>475.46</v>
          </cell>
        </row>
        <row r="409">
          <cell r="C409" t="str">
            <v>15.01.01.40</v>
          </cell>
          <cell r="D409" t="str">
            <v>PA-03A - 1,56 x 5,68 m - porta de aluminio 2 folhas , pintura eletrostatica cor branca , vidro liso incolor , conforme o projeto de arq. fl 256-arq-pe-flh 018-17 pav-r00</v>
          </cell>
          <cell r="F409" t="str">
            <v xml:space="preserve">un </v>
          </cell>
          <cell r="G409">
            <v>4</v>
          </cell>
          <cell r="H409">
            <v>1955</v>
          </cell>
          <cell r="I409">
            <v>7820</v>
          </cell>
        </row>
        <row r="410">
          <cell r="C410">
            <v>213</v>
          </cell>
          <cell r="D410" t="str">
            <v>PA-03A - 1,56 x 5,68 m - porta de aluminio 2 folhas , pintura eletrostatica cor branca , vidro liso incolor , conforme o projeto de arq. fl 256-arq-pe-flh 018-17 pav-r00</v>
          </cell>
          <cell r="F410" t="str">
            <v>un</v>
          </cell>
          <cell r="G410">
            <v>1</v>
          </cell>
          <cell r="H410">
            <v>1955</v>
          </cell>
          <cell r="I410">
            <v>1955</v>
          </cell>
        </row>
        <row r="411">
          <cell r="C411" t="str">
            <v>15.01.01.41</v>
          </cell>
          <cell r="D411" t="str">
            <v>POA-01 - 1,6 x 2 m - portão de aluminio anodizado, de abrir, 2 folhas, conforme o projeto de detalhamento fl. 256-psg-pe-001-terr</v>
          </cell>
          <cell r="F411" t="str">
            <v xml:space="preserve">un </v>
          </cell>
          <cell r="G411">
            <v>1</v>
          </cell>
          <cell r="H411">
            <v>1660</v>
          </cell>
          <cell r="I411">
            <v>1660</v>
          </cell>
        </row>
        <row r="412">
          <cell r="C412">
            <v>214</v>
          </cell>
          <cell r="D412" t="str">
            <v>POA-01 - 1,6 x 2 m - portão de aluminio anodizado, de abrir, 2 folhas, conforme o projeto de detalhamento fl. 256-psg-pe-001-terr</v>
          </cell>
          <cell r="F412" t="str">
            <v>un</v>
          </cell>
          <cell r="G412">
            <v>1</v>
          </cell>
          <cell r="H412">
            <v>1660</v>
          </cell>
          <cell r="I412">
            <v>1660</v>
          </cell>
        </row>
        <row r="413">
          <cell r="C413" t="str">
            <v>15.01.01.42</v>
          </cell>
          <cell r="D413" t="str">
            <v>CX-ESP - 1,06X1,00 m - Caixilho tipo veneziana para pressurização</v>
          </cell>
          <cell r="F413" t="str">
            <v xml:space="preserve">un </v>
          </cell>
          <cell r="G413">
            <v>2</v>
          </cell>
          <cell r="H413">
            <v>480</v>
          </cell>
          <cell r="I413">
            <v>960</v>
          </cell>
        </row>
        <row r="414">
          <cell r="C414">
            <v>215</v>
          </cell>
          <cell r="D414" t="str">
            <v>CX-ESP - 1,06X1,00 m - Caixilho tipo veneziana para pressurização</v>
          </cell>
          <cell r="F414" t="str">
            <v>un</v>
          </cell>
          <cell r="G414">
            <v>1</v>
          </cell>
          <cell r="H414">
            <v>480</v>
          </cell>
          <cell r="I414">
            <v>480</v>
          </cell>
        </row>
        <row r="415">
          <cell r="C415" t="str">
            <v>15.01.01.43</v>
          </cell>
          <cell r="D415" t="str">
            <v>CX-ESP1 -0,45X0,50 m - Caixilho tipo veneziana para pressurização</v>
          </cell>
          <cell r="F415" t="str">
            <v xml:space="preserve">un </v>
          </cell>
          <cell r="G415">
            <v>36</v>
          </cell>
          <cell r="H415">
            <v>101</v>
          </cell>
          <cell r="I415">
            <v>3636</v>
          </cell>
        </row>
        <row r="416">
          <cell r="C416">
            <v>216</v>
          </cell>
          <cell r="D416" t="str">
            <v>CX-ESP1 -0,45X0,50 m - Caixilho tipo veneziana para pressurização</v>
          </cell>
          <cell r="F416" t="str">
            <v>un</v>
          </cell>
          <cell r="G416">
            <v>1</v>
          </cell>
          <cell r="H416">
            <v>101</v>
          </cell>
          <cell r="I416">
            <v>101</v>
          </cell>
        </row>
        <row r="417">
          <cell r="C417" t="str">
            <v>15.02.02.01</v>
          </cell>
          <cell r="D417" t="str">
            <v>GCA-01 - 5,33 x 1,15 m - guarda-corpo de ferro com pintura esmalte branca.</v>
          </cell>
          <cell r="F417" t="str">
            <v xml:space="preserve">un </v>
          </cell>
          <cell r="G417">
            <v>1</v>
          </cell>
          <cell r="H417">
            <v>770</v>
          </cell>
          <cell r="I417">
            <v>770</v>
          </cell>
        </row>
        <row r="418">
          <cell r="C418">
            <v>217</v>
          </cell>
          <cell r="D418" t="str">
            <v>GCA-01 - 5,33 x 1,15 m - guarda-corpo de ferro com pintura esmalte branca.</v>
          </cell>
          <cell r="F418" t="str">
            <v>un</v>
          </cell>
          <cell r="G418">
            <v>1</v>
          </cell>
          <cell r="H418">
            <v>770</v>
          </cell>
          <cell r="I418">
            <v>770</v>
          </cell>
        </row>
        <row r="419">
          <cell r="C419" t="str">
            <v>15.02.02.02</v>
          </cell>
          <cell r="D419" t="str">
            <v xml:space="preserve">GCA-02 - 5,33 x 1,15 m - guarda-corpo de ferro com pintura esmalte branca. </v>
          </cell>
          <cell r="F419" t="str">
            <v xml:space="preserve">un </v>
          </cell>
          <cell r="G419">
            <v>1</v>
          </cell>
          <cell r="H419">
            <v>770</v>
          </cell>
          <cell r="I419">
            <v>770</v>
          </cell>
        </row>
        <row r="420">
          <cell r="C420">
            <v>218</v>
          </cell>
          <cell r="D420" t="str">
            <v xml:space="preserve">GCA-02 - 5,33 x 1,15 m - guarda-corpo de ferro com pintura esmalte branca. </v>
          </cell>
          <cell r="F420" t="str">
            <v>un</v>
          </cell>
          <cell r="G420">
            <v>1</v>
          </cell>
          <cell r="H420">
            <v>770</v>
          </cell>
          <cell r="I420">
            <v>770</v>
          </cell>
        </row>
        <row r="421">
          <cell r="C421" t="str">
            <v>15.02.02.03</v>
          </cell>
          <cell r="D421" t="str">
            <v>GCA-03 - 22,32 x 0,92 m - guarda corpo de ferro com pintura esmalte cor branca.</v>
          </cell>
          <cell r="F421" t="str">
            <v xml:space="preserve">un </v>
          </cell>
          <cell r="G421">
            <v>1</v>
          </cell>
          <cell r="H421">
            <v>2600</v>
          </cell>
          <cell r="I421">
            <v>2600</v>
          </cell>
        </row>
        <row r="422">
          <cell r="C422">
            <v>219</v>
          </cell>
          <cell r="D422" t="str">
            <v>GCA-03 - 22,32 x 0,92 m - guarda corpo de ferro com pintura esmalte cor branca.</v>
          </cell>
          <cell r="F422" t="str">
            <v>un</v>
          </cell>
          <cell r="G422">
            <v>1</v>
          </cell>
          <cell r="H422">
            <v>2600</v>
          </cell>
          <cell r="I422">
            <v>2600</v>
          </cell>
        </row>
        <row r="423">
          <cell r="C423" t="str">
            <v>15.02.02.04</v>
          </cell>
          <cell r="D423" t="str">
            <v>GCA-04 - 10,72 x 0,92 m - guarda corpo de ferro pintura esmalte cor branca.</v>
          </cell>
          <cell r="F423" t="str">
            <v xml:space="preserve">un </v>
          </cell>
          <cell r="G423">
            <v>1</v>
          </cell>
          <cell r="H423">
            <v>1250</v>
          </cell>
          <cell r="I423">
            <v>1250</v>
          </cell>
        </row>
        <row r="424">
          <cell r="C424">
            <v>220</v>
          </cell>
          <cell r="D424" t="str">
            <v>GCA-04 - 10,72 x 0,92 m - guarda corpo de ferro pintura esmalte cor branca.</v>
          </cell>
          <cell r="F424" t="str">
            <v>m</v>
          </cell>
          <cell r="G424">
            <v>1</v>
          </cell>
          <cell r="H424">
            <v>1250</v>
          </cell>
          <cell r="I424">
            <v>1250</v>
          </cell>
        </row>
        <row r="425">
          <cell r="C425" t="str">
            <v>15.02.02.05</v>
          </cell>
          <cell r="D425" t="str">
            <v>GCA-05 - 8,4 x 0,92 m - guarda corpo de ferro com pintura esmalte cor branca.</v>
          </cell>
          <cell r="F425" t="str">
            <v xml:space="preserve">un </v>
          </cell>
          <cell r="G425">
            <v>1</v>
          </cell>
          <cell r="H425">
            <v>970</v>
          </cell>
          <cell r="I425">
            <v>970</v>
          </cell>
        </row>
        <row r="426">
          <cell r="C426">
            <v>221</v>
          </cell>
          <cell r="D426" t="str">
            <v>GCA-05 - 8,4 x 0,92 m - guarda corpo de ferro com pintura esmalte cor branca.</v>
          </cell>
          <cell r="F426" t="str">
            <v>un</v>
          </cell>
          <cell r="G426">
            <v>1</v>
          </cell>
          <cell r="H426">
            <v>970</v>
          </cell>
          <cell r="I426">
            <v>970</v>
          </cell>
        </row>
        <row r="427">
          <cell r="C427" t="str">
            <v>15.02.02.06</v>
          </cell>
          <cell r="D427" t="str">
            <v>GCA-06 - 17,19 x 0,92 m - guarda corpo de ferro pintura esmalte cor branca.</v>
          </cell>
          <cell r="F427" t="str">
            <v xml:space="preserve">un </v>
          </cell>
          <cell r="G427">
            <v>1</v>
          </cell>
          <cell r="H427">
            <v>1980</v>
          </cell>
          <cell r="I427">
            <v>1980</v>
          </cell>
        </row>
        <row r="428">
          <cell r="C428">
            <v>222</v>
          </cell>
          <cell r="D428" t="str">
            <v>GCA-06 - 17,19 x 0,92 m - guarda corpo de ferro pintura esmalte cor branca.</v>
          </cell>
          <cell r="F428" t="str">
            <v>un</v>
          </cell>
          <cell r="G428">
            <v>1</v>
          </cell>
          <cell r="H428">
            <v>1980</v>
          </cell>
          <cell r="I428">
            <v>1980</v>
          </cell>
        </row>
        <row r="429">
          <cell r="C429" t="str">
            <v>15.02.02.07</v>
          </cell>
          <cell r="D429" t="str">
            <v>GCA-07 - 1,26 x 0,92 m - guarda corpo de ferro pintura esmalte cor branca.</v>
          </cell>
          <cell r="F429" t="str">
            <v xml:space="preserve">un </v>
          </cell>
          <cell r="G429">
            <v>4</v>
          </cell>
          <cell r="H429">
            <v>150</v>
          </cell>
          <cell r="I429">
            <v>600</v>
          </cell>
        </row>
        <row r="430">
          <cell r="C430">
            <v>223</v>
          </cell>
          <cell r="D430" t="str">
            <v>GCA-07 - 1,26 x 0,92 m - guarda corpo de ferro pintura esmalte cor branca.</v>
          </cell>
          <cell r="F430" t="str">
            <v>un</v>
          </cell>
          <cell r="G430">
            <v>1</v>
          </cell>
          <cell r="H430">
            <v>150</v>
          </cell>
          <cell r="I430">
            <v>150</v>
          </cell>
        </row>
        <row r="431">
          <cell r="C431" t="str">
            <v>15.01.02.01</v>
          </cell>
          <cell r="D431" t="str">
            <v>Estrutura metálica auxiliar para caixilho</v>
          </cell>
          <cell r="F431" t="str">
            <v>vb</v>
          </cell>
          <cell r="G431">
            <v>1</v>
          </cell>
          <cell r="H431">
            <v>50000</v>
          </cell>
          <cell r="I431">
            <v>50000</v>
          </cell>
        </row>
        <row r="432">
          <cell r="C432">
            <v>224</v>
          </cell>
          <cell r="D432" t="str">
            <v>Estrutura metálica auxiliar para caixilho</v>
          </cell>
          <cell r="F432" t="str">
            <v>vb</v>
          </cell>
          <cell r="G432">
            <v>1</v>
          </cell>
          <cell r="H432">
            <v>50000</v>
          </cell>
          <cell r="I432">
            <v>50000</v>
          </cell>
        </row>
        <row r="433">
          <cell r="C433" t="str">
            <v>15.01.03.01</v>
          </cell>
          <cell r="D433" t="str">
            <v>Automação para portas de entrada da recepção</v>
          </cell>
          <cell r="F433" t="str">
            <v xml:space="preserve">un </v>
          </cell>
          <cell r="G433">
            <v>2</v>
          </cell>
          <cell r="H433">
            <v>16000</v>
          </cell>
          <cell r="I433">
            <v>32000</v>
          </cell>
        </row>
        <row r="434">
          <cell r="C434">
            <v>225</v>
          </cell>
          <cell r="D434" t="str">
            <v>Automação para portas de entrada da recepção</v>
          </cell>
          <cell r="F434" t="str">
            <v>un</v>
          </cell>
          <cell r="G434">
            <v>1</v>
          </cell>
          <cell r="H434">
            <v>16000</v>
          </cell>
          <cell r="I434">
            <v>16000</v>
          </cell>
        </row>
        <row r="435">
          <cell r="C435" t="str">
            <v>16.02.01.01</v>
          </cell>
          <cell r="D435" t="str">
            <v>PCF-01 - 0,92 x 2,12 m - porta corta-fogo, de abrir, 1 folha, pintura esmalte sintético cor grafite acetinado, conforme projeto de detalhamento 256-arq-pe-420-serra-roo</v>
          </cell>
          <cell r="F435" t="str">
            <v xml:space="preserve">un </v>
          </cell>
          <cell r="G435">
            <v>55</v>
          </cell>
          <cell r="H435">
            <v>335</v>
          </cell>
          <cell r="I435">
            <v>18425</v>
          </cell>
        </row>
        <row r="436">
          <cell r="C436">
            <v>226</v>
          </cell>
          <cell r="D436" t="str">
            <v>MDO para Chumbamento dos Batentes</v>
          </cell>
          <cell r="F436" t="str">
            <v>un</v>
          </cell>
          <cell r="G436">
            <v>1</v>
          </cell>
          <cell r="H436">
            <v>50</v>
          </cell>
          <cell r="I436">
            <v>50</v>
          </cell>
        </row>
        <row r="437">
          <cell r="C437">
            <v>227</v>
          </cell>
          <cell r="D437" t="str">
            <v>Porta corta fogo P-90 0,90x2,10m</v>
          </cell>
          <cell r="F437" t="str">
            <v>un</v>
          </cell>
          <cell r="G437">
            <v>1</v>
          </cell>
          <cell r="H437">
            <v>285</v>
          </cell>
          <cell r="I437">
            <v>285</v>
          </cell>
        </row>
        <row r="438">
          <cell r="C438" t="str">
            <v>16.02.01.02</v>
          </cell>
          <cell r="D438" t="str">
            <v>Chumbamento de batente da porta corta fogo</v>
          </cell>
          <cell r="F438" t="str">
            <v xml:space="preserve">un </v>
          </cell>
          <cell r="G438">
            <v>55</v>
          </cell>
          <cell r="H438">
            <v>54.72</v>
          </cell>
          <cell r="I438">
            <v>3009.6</v>
          </cell>
        </row>
        <row r="439">
          <cell r="C439">
            <v>149</v>
          </cell>
          <cell r="D439" t="str">
            <v>Argamassa ensacada múltiplo uso (saco 40 kg)</v>
          </cell>
          <cell r="F439" t="str">
            <v>sc</v>
          </cell>
          <cell r="G439">
            <v>0.8</v>
          </cell>
          <cell r="H439">
            <v>5.9</v>
          </cell>
          <cell r="I439">
            <v>4.72</v>
          </cell>
        </row>
        <row r="440">
          <cell r="C440">
            <v>226</v>
          </cell>
          <cell r="D440" t="str">
            <v>MDO para Chumbamento dos Batentes</v>
          </cell>
          <cell r="F440" t="str">
            <v>un</v>
          </cell>
          <cell r="G440">
            <v>1</v>
          </cell>
          <cell r="H440">
            <v>50</v>
          </cell>
          <cell r="I440">
            <v>50</v>
          </cell>
        </row>
        <row r="441">
          <cell r="C441" t="str">
            <v>16.03.01.01</v>
          </cell>
          <cell r="D441" t="str">
            <v>Corrimão de ferro fixado em parede</v>
          </cell>
          <cell r="F441" t="str">
            <v xml:space="preserve">m </v>
          </cell>
          <cell r="G441">
            <v>760</v>
          </cell>
          <cell r="H441">
            <v>32.5</v>
          </cell>
          <cell r="I441">
            <v>24700</v>
          </cell>
        </row>
        <row r="442">
          <cell r="C442">
            <v>228</v>
          </cell>
          <cell r="D442" t="str">
            <v>Corrimão de ferro Ø 1 1/2" fixado em parede</v>
          </cell>
          <cell r="F442" t="str">
            <v>m</v>
          </cell>
          <cell r="G442">
            <v>1</v>
          </cell>
          <cell r="H442">
            <v>32.5</v>
          </cell>
          <cell r="I442">
            <v>32.5</v>
          </cell>
        </row>
        <row r="443">
          <cell r="C443" t="str">
            <v>16.03.02.01</v>
          </cell>
          <cell r="D443" t="str">
            <v>GCF-01 - 9,82 x 1,15 m - guarda-corpo de ferro, pintura esmalte sintético acetinado cor branca, conforme projeto de detalhamento 256-arq-pe-404-serra-roo</v>
          </cell>
          <cell r="F443" t="str">
            <v xml:space="preserve">un </v>
          </cell>
          <cell r="G443">
            <v>4</v>
          </cell>
          <cell r="H443">
            <v>1380</v>
          </cell>
          <cell r="I443">
            <v>5520</v>
          </cell>
        </row>
        <row r="444">
          <cell r="C444">
            <v>229</v>
          </cell>
          <cell r="D444" t="str">
            <v>GCF-01 - 9,82 x 1,15 m - guarda-corpo de ferro, pintura esmalte sintético acetinado cor branca, conforme projeto de detalhamento 256-arq-pe-404-serra-roo</v>
          </cell>
          <cell r="F444" t="str">
            <v>un</v>
          </cell>
          <cell r="G444">
            <v>1</v>
          </cell>
          <cell r="H444">
            <v>1380</v>
          </cell>
          <cell r="I444">
            <v>1380</v>
          </cell>
        </row>
        <row r="445">
          <cell r="C445" t="str">
            <v>16.03.02.02</v>
          </cell>
          <cell r="D445" t="str">
            <v>GCF-02 - 5,48 x 1,15 m - guarda-corpo de ferro, pintura esmalte sintético acetinado cor branca, conforme projeto de detalhamento 256-arq-pe-405-serra-roo</v>
          </cell>
          <cell r="F445" t="str">
            <v xml:space="preserve">un </v>
          </cell>
          <cell r="G445">
            <v>52</v>
          </cell>
          <cell r="H445">
            <v>760</v>
          </cell>
          <cell r="I445">
            <v>39520</v>
          </cell>
        </row>
        <row r="446">
          <cell r="C446">
            <v>230</v>
          </cell>
          <cell r="D446" t="str">
            <v>GCF-02 - 5,48 x 1,15 m - guarda-corpo de ferro, pintura esmalte sintético acetinado cor branca, conforme projeto de detalhamento 256-arq-pe-405-serra-roo</v>
          </cell>
          <cell r="F446" t="str">
            <v>un</v>
          </cell>
          <cell r="G446">
            <v>1</v>
          </cell>
          <cell r="H446">
            <v>760</v>
          </cell>
          <cell r="I446">
            <v>760</v>
          </cell>
        </row>
        <row r="447">
          <cell r="C447" t="str">
            <v>16.03.02.03</v>
          </cell>
          <cell r="D447" t="str">
            <v>GCF-03 - 10,31 x 1,15 m - guarda-corpo de ferro, pintura esmalte sintético acetinado cor branca, conforme projeto de detalhamento 256-arq-pe-406-serra-roo</v>
          </cell>
          <cell r="F447" t="str">
            <v xml:space="preserve">un </v>
          </cell>
          <cell r="G447">
            <v>16</v>
          </cell>
          <cell r="H447">
            <v>1450</v>
          </cell>
          <cell r="I447">
            <v>23200</v>
          </cell>
        </row>
        <row r="448">
          <cell r="C448">
            <v>231</v>
          </cell>
          <cell r="D448" t="str">
            <v>GCF-03 - 10,31 x 1,15 m - guarda-corpo de ferro, pintura esmalte sintético acetinado cor branca, conforme projeto de detalhamento 256-arq-pe-406-serra-roo</v>
          </cell>
          <cell r="F448" t="str">
            <v>un</v>
          </cell>
          <cell r="G448">
            <v>1</v>
          </cell>
          <cell r="H448">
            <v>1450</v>
          </cell>
          <cell r="I448">
            <v>1450</v>
          </cell>
        </row>
        <row r="449">
          <cell r="C449" t="str">
            <v>16.03.02.04</v>
          </cell>
          <cell r="D449" t="str">
            <v>GCF-04 - 4,32 x 1,15 m - guarda-corpo de ferro, pintura esmalte sintético acetinado cor branca, conforme projeto de detalhamento 256-arq-pe-407-serra-roo</v>
          </cell>
          <cell r="F449" t="str">
            <v xml:space="preserve">un </v>
          </cell>
          <cell r="G449">
            <v>64</v>
          </cell>
          <cell r="H449">
            <v>600</v>
          </cell>
          <cell r="I449">
            <v>38400</v>
          </cell>
        </row>
        <row r="450">
          <cell r="C450">
            <v>232</v>
          </cell>
          <cell r="D450" t="str">
            <v>GCF-04 - 4,32 x 1,15 m - guarda-corpo de ferro, pintura esmalte sintético acetinado cor branca, conforme projeto de detalhamento 256-arq-pe-407-serra-roo</v>
          </cell>
          <cell r="F450" t="str">
            <v>un</v>
          </cell>
          <cell r="G450">
            <v>1</v>
          </cell>
          <cell r="H450">
            <v>600</v>
          </cell>
          <cell r="I450">
            <v>600</v>
          </cell>
        </row>
        <row r="451">
          <cell r="C451" t="str">
            <v>16.03.02.05</v>
          </cell>
          <cell r="D451" t="str">
            <v>GCF-05 - 5,7 x 1,15 m - guarda-corpo de ferro, pintura esmalte sintético acetinado cor branca, conforme projeto de detalhamento 256-arq-pe-408-serra-roo</v>
          </cell>
          <cell r="F451" t="str">
            <v xml:space="preserve">un </v>
          </cell>
          <cell r="G451">
            <v>5</v>
          </cell>
          <cell r="H451">
            <v>790</v>
          </cell>
          <cell r="I451">
            <v>3950</v>
          </cell>
        </row>
        <row r="452">
          <cell r="C452">
            <v>233</v>
          </cell>
          <cell r="D452" t="str">
            <v>GCF-05 - 5,7 x 1,15 m - guarda-corpo de ferro, pintura esmalte sintético acetinado cor branca, conforme projeto de detalhamento 256-arq-pe-408-serra-roo</v>
          </cell>
          <cell r="F452" t="str">
            <v>un</v>
          </cell>
          <cell r="G452">
            <v>1</v>
          </cell>
          <cell r="H452">
            <v>790</v>
          </cell>
          <cell r="I452">
            <v>790</v>
          </cell>
        </row>
        <row r="453">
          <cell r="C453" t="str">
            <v>16.03.02.06</v>
          </cell>
          <cell r="D453" t="str">
            <v>GCF-06 - 6,13 x 1,15 m - guarda-corpo de ferro, pintura esmalte sintético acetinado cor branca, conforme projeto de detalhamento 256-arq-pe-409-serra-roo</v>
          </cell>
          <cell r="F453" t="str">
            <v xml:space="preserve">un </v>
          </cell>
          <cell r="G453">
            <v>4</v>
          </cell>
          <cell r="H453">
            <v>850</v>
          </cell>
          <cell r="I453">
            <v>3400</v>
          </cell>
        </row>
        <row r="454">
          <cell r="C454">
            <v>234</v>
          </cell>
          <cell r="D454" t="str">
            <v>GCF-06 - 6,13 x 1,15 m - guarda-corpo de ferro, pintura esmalte sintético acetinado cor branca, conforme projeto de detalhamento 256-arq-pe-409-serra-roo</v>
          </cell>
          <cell r="F454" t="str">
            <v>un</v>
          </cell>
          <cell r="G454">
            <v>1</v>
          </cell>
          <cell r="H454">
            <v>850</v>
          </cell>
          <cell r="I454">
            <v>850</v>
          </cell>
        </row>
        <row r="455">
          <cell r="C455" t="str">
            <v>16.03.02.07</v>
          </cell>
          <cell r="D455" t="str">
            <v>GCF-07 - 7,355 x 1,15 m - guarda-corpo de ferro, pintura esmalte sintético acetinado cor branca, conforme projeto de detalhamento 256-arq-pe-410-serra-roo</v>
          </cell>
          <cell r="F455" t="str">
            <v xml:space="preserve">un </v>
          </cell>
          <cell r="G455">
            <v>4</v>
          </cell>
          <cell r="H455">
            <v>750</v>
          </cell>
          <cell r="I455">
            <v>3000</v>
          </cell>
        </row>
        <row r="456">
          <cell r="C456">
            <v>235</v>
          </cell>
          <cell r="D456" t="str">
            <v>GCF-07 - 7,355 x 1,15 m - guarda-corpo de ferro, pintura esmalte sintético acetinado cor branca, conforme projeto de detalhamento 256-arq-pe-410-serra-roo</v>
          </cell>
          <cell r="F456" t="str">
            <v>un</v>
          </cell>
          <cell r="G456">
            <v>1</v>
          </cell>
          <cell r="H456">
            <v>750</v>
          </cell>
          <cell r="I456">
            <v>750</v>
          </cell>
        </row>
        <row r="457">
          <cell r="C457" t="str">
            <v>16.03.02.08</v>
          </cell>
          <cell r="D457" t="str">
            <v>GCF-08 - 9,03 x 1,15 m - guarda-corpo de ferro, pintura esmalte sintético acetinado cor branca, conforme projeto de detalhamento 256-arq-pe-411-serra-roo</v>
          </cell>
          <cell r="F457" t="str">
            <v xml:space="preserve">un </v>
          </cell>
          <cell r="G457">
            <v>2</v>
          </cell>
          <cell r="H457">
            <v>1900</v>
          </cell>
          <cell r="I457">
            <v>3800</v>
          </cell>
        </row>
        <row r="458">
          <cell r="C458">
            <v>236</v>
          </cell>
          <cell r="D458" t="str">
            <v>GCF-08 - 9,03 x 1,15 m - guarda-corpo de ferro, pintura esmalte sintético acetinado cor branca, conforme projeto de detalhamento 256-arq-pe-411-serra-roo</v>
          </cell>
          <cell r="F458" t="str">
            <v>un</v>
          </cell>
          <cell r="G458">
            <v>1</v>
          </cell>
          <cell r="H458">
            <v>1900</v>
          </cell>
          <cell r="I458">
            <v>1900</v>
          </cell>
        </row>
        <row r="459">
          <cell r="C459" t="str">
            <v>16.03.02.09</v>
          </cell>
          <cell r="D459" t="str">
            <v>GCF-09 - 4,42 x 1,15 m - guarda-corpo de ferro, pintura esmalte sintético acetinado cor branca, conforme projeto de detalhamento 256-arq-pe-412-serra-roo</v>
          </cell>
          <cell r="F459" t="str">
            <v xml:space="preserve">un </v>
          </cell>
          <cell r="G459">
            <v>2</v>
          </cell>
          <cell r="H459">
            <v>670</v>
          </cell>
          <cell r="I459">
            <v>1340</v>
          </cell>
        </row>
        <row r="460">
          <cell r="C460">
            <v>237</v>
          </cell>
          <cell r="D460" t="str">
            <v>GCF-09 - 4,42 x 1,15 m - guarda-corpo de ferro, pintura esmalte sintético acetinado cor branca, conforme projeto de detalhamento 256-arq-pe-412-serra-roo</v>
          </cell>
          <cell r="F460" t="str">
            <v>un</v>
          </cell>
          <cell r="G460">
            <v>1</v>
          </cell>
          <cell r="H460">
            <v>670</v>
          </cell>
          <cell r="I460">
            <v>670</v>
          </cell>
        </row>
        <row r="461">
          <cell r="C461" t="str">
            <v>16.03.02.10</v>
          </cell>
          <cell r="D461" t="str">
            <v>GCF-10 - 7,56 x 1,15 m - guarda-corpo de ferro, pintura esmalte sintético acetinado cor branca, conforme projeto de detalhamento 256-arq-pe-413-serra-roo</v>
          </cell>
          <cell r="F461" t="str">
            <v xml:space="preserve">un </v>
          </cell>
          <cell r="G461">
            <v>2</v>
          </cell>
          <cell r="H461">
            <v>1050</v>
          </cell>
          <cell r="I461">
            <v>2100</v>
          </cell>
        </row>
        <row r="462">
          <cell r="C462">
            <v>238</v>
          </cell>
          <cell r="D462" t="str">
            <v>GCF-10 - 7,56 x 1,15 m - guarda-corpo de ferro, pintura esmalte sintético acetinado cor branca, conforme projeto de detalhamento 256-arq-pe-413-serra-roo</v>
          </cell>
          <cell r="F462" t="str">
            <v>un</v>
          </cell>
          <cell r="G462">
            <v>1</v>
          </cell>
          <cell r="H462">
            <v>1050</v>
          </cell>
          <cell r="I462">
            <v>1050</v>
          </cell>
        </row>
        <row r="463">
          <cell r="C463" t="str">
            <v>16.03.02.11</v>
          </cell>
          <cell r="D463" t="str">
            <v>GCF-11 - 5,13 x 1,15 m - guarda-corpo de ferro, pintura esmalte sintético acetinado cor branca, conforme projeto de detalhamento 256-arq-pe-414-serra-roo</v>
          </cell>
          <cell r="F463" t="str">
            <v xml:space="preserve">un </v>
          </cell>
          <cell r="G463">
            <v>1</v>
          </cell>
          <cell r="H463">
            <v>700</v>
          </cell>
          <cell r="I463">
            <v>700</v>
          </cell>
        </row>
        <row r="464">
          <cell r="C464">
            <v>239</v>
          </cell>
          <cell r="D464" t="str">
            <v>GCF-11 - 5,13 x 1,15 m - guarda-corpo de ferro, pintura esmalte sintético acetinado cor branca, conforme projeto de detalhamento 256-arq-pe-414-serra-roo</v>
          </cell>
          <cell r="F464" t="str">
            <v>un</v>
          </cell>
          <cell r="G464">
            <v>1</v>
          </cell>
          <cell r="H464">
            <v>700</v>
          </cell>
          <cell r="I464">
            <v>700</v>
          </cell>
        </row>
        <row r="465">
          <cell r="C465" t="str">
            <v>16.03.02.12</v>
          </cell>
          <cell r="D465" t="str">
            <v>GCF-11A - 5,33 x 1,15 m - guarda-corpo de ferro, pintura esmalte sintético acetinado cor branca, conforme projeto de detalhamento 256-arq-pe-415-serra-roo</v>
          </cell>
          <cell r="F465" t="str">
            <v xml:space="preserve">un </v>
          </cell>
          <cell r="G465">
            <v>1</v>
          </cell>
          <cell r="H465">
            <v>735</v>
          </cell>
          <cell r="I465">
            <v>735</v>
          </cell>
        </row>
        <row r="466">
          <cell r="C466">
            <v>240</v>
          </cell>
          <cell r="D466" t="str">
            <v>GCF-11A - 5,33 x 1,15 m - guarda-corpo de ferro, pintura esmalte sintético acetinado cor branca, conforme projeto de detalhamento 256-arq-pe-415-serra-roo</v>
          </cell>
          <cell r="F466" t="str">
            <v>un</v>
          </cell>
          <cell r="G466">
            <v>1</v>
          </cell>
          <cell r="H466">
            <v>735</v>
          </cell>
          <cell r="I466">
            <v>735</v>
          </cell>
        </row>
        <row r="467">
          <cell r="C467" t="str">
            <v>16.03.02.13</v>
          </cell>
          <cell r="D467" t="str">
            <v>GCF-12 - 4,84 x 1,15 m - guarda-corpo de ferro, pintura esmalte sintético acetinado cor branca, conforme projeto de detalhamento 256-arq-pe-416-serra-roo</v>
          </cell>
          <cell r="F467" t="str">
            <v xml:space="preserve">un </v>
          </cell>
          <cell r="G467">
            <v>1</v>
          </cell>
          <cell r="H467">
            <v>670</v>
          </cell>
          <cell r="I467">
            <v>670</v>
          </cell>
        </row>
        <row r="468">
          <cell r="C468">
            <v>241</v>
          </cell>
          <cell r="D468" t="str">
            <v>GCF-12 - 4,84 x 1,15 m - guarda-corpo de ferro, pintura esmalte sintético acetinado cor branca, conforme projeto de detalhamento 256-arq-pe-416-serra-roo</v>
          </cell>
          <cell r="F468" t="str">
            <v>un</v>
          </cell>
          <cell r="G468">
            <v>1</v>
          </cell>
          <cell r="H468">
            <v>670</v>
          </cell>
          <cell r="I468">
            <v>670</v>
          </cell>
        </row>
        <row r="469">
          <cell r="C469" t="str">
            <v>16.03.02.14</v>
          </cell>
          <cell r="D469" t="str">
            <v>GCF-13 - 1,39 x 1,15 m - guarda-corpo de ferro, pintura esmalte sintético acetinado cor branca, conforme projeto de detalhamento 256-arq-pe-417-serra-roo</v>
          </cell>
          <cell r="F469" t="str">
            <v xml:space="preserve">un </v>
          </cell>
          <cell r="G469">
            <v>1</v>
          </cell>
          <cell r="H469">
            <v>200</v>
          </cell>
          <cell r="I469">
            <v>200</v>
          </cell>
        </row>
        <row r="470">
          <cell r="C470">
            <v>242</v>
          </cell>
          <cell r="D470" t="str">
            <v>GCF-13 - 1,39 x 1,15 m - guarda-corpo de ferro, pintura esmalte sintético acetinado cor branca, conforme projeto de detalhamento 256-arq-pe-417-serra-roo</v>
          </cell>
          <cell r="F470" t="str">
            <v>un</v>
          </cell>
          <cell r="G470">
            <v>1</v>
          </cell>
          <cell r="H470">
            <v>200</v>
          </cell>
          <cell r="I470">
            <v>200</v>
          </cell>
        </row>
        <row r="471">
          <cell r="C471" t="str">
            <v>16.03.03.01</v>
          </cell>
          <cell r="D471" t="str">
            <v>PF-01 - 0,92 x 2,1 m - porta de ferro, de abrir, 1 folha, pintura esmalte sintético cor grafite acetinado, conforme projeto de detalhamento 256-arq-pe-421-serra-roo</v>
          </cell>
          <cell r="F471" t="str">
            <v xml:space="preserve">un </v>
          </cell>
          <cell r="G471">
            <v>1</v>
          </cell>
          <cell r="H471">
            <v>580</v>
          </cell>
          <cell r="I471">
            <v>580</v>
          </cell>
        </row>
        <row r="472">
          <cell r="C472">
            <v>243</v>
          </cell>
          <cell r="D472" t="str">
            <v>PF-01 - 0,92 x 2,1 m - porta de ferro, de abrir, 1 folha, pintura esmalte sintético cor grafite acetinado, conforme projeto de detalhamento 256-arq-pe-421-serra-roo</v>
          </cell>
          <cell r="F472" t="str">
            <v>un</v>
          </cell>
          <cell r="G472">
            <v>1</v>
          </cell>
          <cell r="H472">
            <v>580</v>
          </cell>
          <cell r="I472">
            <v>580</v>
          </cell>
        </row>
        <row r="473">
          <cell r="C473" t="str">
            <v>16.03.03.02</v>
          </cell>
          <cell r="D473" t="str">
            <v>GRA-01 - 6,99 x 2,9 m - gradil de ferro c/ pintura esmalte simtetico acetinado cor branca, conforme o projeto de detalhamento fl 256-psg-pe-001-terr</v>
          </cell>
          <cell r="F473" t="str">
            <v xml:space="preserve">un </v>
          </cell>
          <cell r="G473">
            <v>4</v>
          </cell>
          <cell r="H473">
            <v>7095</v>
          </cell>
          <cell r="I473">
            <v>28380</v>
          </cell>
        </row>
        <row r="474">
          <cell r="C474">
            <v>244</v>
          </cell>
          <cell r="D474" t="str">
            <v>GRA-01 - 6,99 x 2,9 m - gradil de ferro c/ pintura esmalte simtetico acetinado cor branca, conforme o projeto de detalhamento fl 256-psg-pe-001-terr</v>
          </cell>
          <cell r="F474" t="str">
            <v>un</v>
          </cell>
          <cell r="G474">
            <v>1</v>
          </cell>
          <cell r="H474">
            <v>7095</v>
          </cell>
          <cell r="I474">
            <v>7095</v>
          </cell>
        </row>
        <row r="475">
          <cell r="C475" t="str">
            <v>16.03.03.03</v>
          </cell>
          <cell r="D475" t="str">
            <v>Gradil externo - alt. 1,20 m - rampas e escadas</v>
          </cell>
          <cell r="F475" t="str">
            <v xml:space="preserve">m </v>
          </cell>
          <cell r="G475">
            <v>45</v>
          </cell>
          <cell r="H475">
            <v>225</v>
          </cell>
          <cell r="I475">
            <v>10125</v>
          </cell>
        </row>
        <row r="476">
          <cell r="C476">
            <v>245</v>
          </cell>
          <cell r="D476" t="str">
            <v>Gradil externo - alt. 1,20 m - rampas e escadas</v>
          </cell>
          <cell r="F476" t="str">
            <v>m</v>
          </cell>
          <cell r="G476">
            <v>1</v>
          </cell>
          <cell r="H476">
            <v>225</v>
          </cell>
          <cell r="I476">
            <v>225</v>
          </cell>
        </row>
        <row r="477">
          <cell r="C477" t="str">
            <v>16.03.03.04</v>
          </cell>
          <cell r="D477" t="str">
            <v>POF-02 - 5,5 x 3,77 m - portão de ferro de enrolar c/ acionamento automático</v>
          </cell>
          <cell r="F477" t="str">
            <v xml:space="preserve">un </v>
          </cell>
          <cell r="G477">
            <v>1</v>
          </cell>
          <cell r="H477">
            <v>7500</v>
          </cell>
          <cell r="I477">
            <v>7500</v>
          </cell>
        </row>
        <row r="478">
          <cell r="C478">
            <v>246</v>
          </cell>
          <cell r="D478" t="str">
            <v>POF-02 - 5,5 x 3,77 m - portão de ferro de enrolar c/ acionamento automático</v>
          </cell>
          <cell r="F478" t="str">
            <v>un</v>
          </cell>
          <cell r="G478">
            <v>1</v>
          </cell>
          <cell r="H478">
            <v>7500</v>
          </cell>
          <cell r="I478">
            <v>7500</v>
          </cell>
        </row>
        <row r="479">
          <cell r="C479" t="str">
            <v>16.03.03.05</v>
          </cell>
          <cell r="D479" t="str">
            <v>Chumbamento de esquadrias de ferro</v>
          </cell>
          <cell r="F479" t="str">
            <v>m2</v>
          </cell>
          <cell r="G479">
            <v>158</v>
          </cell>
          <cell r="H479">
            <v>19</v>
          </cell>
          <cell r="I479">
            <v>3002</v>
          </cell>
        </row>
        <row r="480">
          <cell r="C480">
            <v>247</v>
          </cell>
          <cell r="D480" t="str">
            <v>Chumbamento de esquadrias de ferro</v>
          </cell>
          <cell r="F480" t="str">
            <v>m2</v>
          </cell>
          <cell r="G480">
            <v>1</v>
          </cell>
          <cell r="H480">
            <v>19</v>
          </cell>
          <cell r="I480">
            <v>19</v>
          </cell>
        </row>
        <row r="481">
          <cell r="C481" t="str">
            <v>16.03.04.01</v>
          </cell>
          <cell r="D481" t="str">
            <v>AF-01 - 1 x 0,6 m - alçapão de ferro, pintura esmalte sintético cor grafite acetinado, conforme projeto de detalhamento 256-arq-pe-422-serra-roo</v>
          </cell>
          <cell r="F481" t="str">
            <v xml:space="preserve">un </v>
          </cell>
          <cell r="G481">
            <v>2</v>
          </cell>
          <cell r="H481">
            <v>260</v>
          </cell>
          <cell r="I481">
            <v>520</v>
          </cell>
        </row>
        <row r="482">
          <cell r="C482">
            <v>248</v>
          </cell>
          <cell r="D482" t="str">
            <v>AF-01 - 1 x 0,6 m - alçapão de ferro, pintura esmalte sintético cor grafite acetinado, conforme projeto de detalhamento 256-arq-pe-422-serra-roo</v>
          </cell>
          <cell r="F482" t="str">
            <v>un</v>
          </cell>
          <cell r="G482">
            <v>1</v>
          </cell>
          <cell r="H482">
            <v>260</v>
          </cell>
          <cell r="I482">
            <v>260</v>
          </cell>
        </row>
        <row r="483">
          <cell r="C483" t="str">
            <v>16.03.04.02</v>
          </cell>
          <cell r="D483" t="str">
            <v>AF-02 - 2 x 1,3 m - alçapão de ferro, pintura esmalte sintético cor grafite acetinado, conforme projeto de detalhamento 256-arq-pe-423-serra-roo</v>
          </cell>
          <cell r="F483" t="str">
            <v xml:space="preserve">un </v>
          </cell>
          <cell r="G483">
            <v>1</v>
          </cell>
          <cell r="H483">
            <v>850</v>
          </cell>
          <cell r="I483">
            <v>850</v>
          </cell>
        </row>
        <row r="484">
          <cell r="C484">
            <v>249</v>
          </cell>
          <cell r="D484" t="str">
            <v>AF-02 - 2 x 1,3 m - alçapão de ferro, pintura esmalte sintético cor grafite acetinado, conforme projeto de detalhamento 256-arq-pe-423-serra-roo</v>
          </cell>
          <cell r="F484" t="str">
            <v>un</v>
          </cell>
          <cell r="G484">
            <v>1</v>
          </cell>
          <cell r="H484">
            <v>850</v>
          </cell>
          <cell r="I484">
            <v>850</v>
          </cell>
        </row>
        <row r="485">
          <cell r="C485" t="str">
            <v>16.03.05.01</v>
          </cell>
          <cell r="D485" t="str">
            <v>EF-02 - 3,6 x 1 m - escada marinheiro de ferro com guarda-corpo, pintura esmalte sintético cor grafite acetinado, conforme projeto de detalhamento fl. 256-arq-pe-424-serra-r00</v>
          </cell>
          <cell r="F485" t="str">
            <v xml:space="preserve">un </v>
          </cell>
          <cell r="G485">
            <v>1</v>
          </cell>
          <cell r="H485">
            <v>1050</v>
          </cell>
          <cell r="I485">
            <v>1050</v>
          </cell>
        </row>
        <row r="486">
          <cell r="C486">
            <v>250</v>
          </cell>
          <cell r="D486" t="str">
            <v>EF-02 - 3,6 x 1 m - escada marinheiro de ferro com guarda-corpo, pintura esmalte sintético cor grafite acetinado, conforme projeto de detalhamento fl. 256-arq-pe-424-serra-r00</v>
          </cell>
          <cell r="F486" t="str">
            <v>un</v>
          </cell>
          <cell r="G486">
            <v>1</v>
          </cell>
          <cell r="H486">
            <v>1050</v>
          </cell>
          <cell r="I486">
            <v>1050</v>
          </cell>
        </row>
        <row r="487">
          <cell r="C487" t="str">
            <v>16.03.06.01</v>
          </cell>
          <cell r="D487" t="str">
            <v>Grelha para canaleta l=0,30m</v>
          </cell>
          <cell r="F487" t="str">
            <v xml:space="preserve">m </v>
          </cell>
          <cell r="G487">
            <v>10</v>
          </cell>
          <cell r="H487">
            <v>140</v>
          </cell>
          <cell r="I487">
            <v>1400</v>
          </cell>
        </row>
        <row r="488">
          <cell r="C488">
            <v>251</v>
          </cell>
          <cell r="D488" t="str">
            <v>Grelha para canaleta l=0,30m</v>
          </cell>
          <cell r="F488" t="str">
            <v>m</v>
          </cell>
          <cell r="G488">
            <v>1</v>
          </cell>
          <cell r="H488">
            <v>140</v>
          </cell>
          <cell r="I488">
            <v>140</v>
          </cell>
        </row>
        <row r="489">
          <cell r="C489" t="str">
            <v>16.03.06.04</v>
          </cell>
          <cell r="D489" t="str">
            <v>GRE-01 - 3 x 1,4 m - grelha de ferro</v>
          </cell>
          <cell r="F489" t="str">
            <v xml:space="preserve">un </v>
          </cell>
          <cell r="G489">
            <v>2</v>
          </cell>
          <cell r="H489">
            <v>1470</v>
          </cell>
          <cell r="I489">
            <v>2940</v>
          </cell>
        </row>
        <row r="490">
          <cell r="C490">
            <v>252</v>
          </cell>
          <cell r="D490" t="str">
            <v>GRE-01 - 3 x 1,4 m - grelha de ferro</v>
          </cell>
          <cell r="F490" t="str">
            <v>m</v>
          </cell>
          <cell r="G490">
            <v>1</v>
          </cell>
          <cell r="H490">
            <v>1470</v>
          </cell>
          <cell r="I490">
            <v>1470</v>
          </cell>
        </row>
        <row r="491">
          <cell r="C491" t="str">
            <v>16.03.06.05</v>
          </cell>
          <cell r="D491" t="str">
            <v>Grelha para ventilação permanente larg. 60 cm</v>
          </cell>
          <cell r="F491" t="str">
            <v xml:space="preserve">m </v>
          </cell>
          <cell r="G491">
            <v>132</v>
          </cell>
          <cell r="H491">
            <v>265</v>
          </cell>
          <cell r="I491">
            <v>34980</v>
          </cell>
        </row>
        <row r="492">
          <cell r="C492">
            <v>253</v>
          </cell>
          <cell r="D492" t="str">
            <v>Grelha para ventilação permanente larg. 60 cm</v>
          </cell>
          <cell r="F492" t="str">
            <v>m</v>
          </cell>
          <cell r="G492">
            <v>1</v>
          </cell>
          <cell r="H492">
            <v>265</v>
          </cell>
          <cell r="I492">
            <v>265</v>
          </cell>
        </row>
        <row r="493">
          <cell r="C493" t="str">
            <v>16.03.06.06</v>
          </cell>
          <cell r="D493" t="str">
            <v>Grelha para ventilação permanente larg. 80 cm</v>
          </cell>
          <cell r="F493" t="str">
            <v xml:space="preserve">m </v>
          </cell>
          <cell r="G493">
            <v>30</v>
          </cell>
          <cell r="H493">
            <v>280</v>
          </cell>
          <cell r="I493">
            <v>8400</v>
          </cell>
        </row>
        <row r="494">
          <cell r="C494">
            <v>254</v>
          </cell>
          <cell r="D494" t="str">
            <v>Grelha para ventilação permanente larg. 80 cm</v>
          </cell>
          <cell r="F494" t="str">
            <v>m</v>
          </cell>
          <cell r="G494">
            <v>1</v>
          </cell>
          <cell r="H494">
            <v>280</v>
          </cell>
          <cell r="I494">
            <v>280</v>
          </cell>
        </row>
        <row r="495">
          <cell r="C495" t="str">
            <v>16.03.06.07</v>
          </cell>
          <cell r="D495" t="str">
            <v>Chumbamento de grelha metálicas</v>
          </cell>
          <cell r="F495" t="str">
            <v>m2</v>
          </cell>
          <cell r="G495">
            <v>115</v>
          </cell>
          <cell r="H495">
            <v>23.5</v>
          </cell>
          <cell r="I495">
            <v>2702.5</v>
          </cell>
        </row>
        <row r="496">
          <cell r="C496">
            <v>255</v>
          </cell>
          <cell r="D496" t="str">
            <v>Chumbamento de grelha metálicas</v>
          </cell>
          <cell r="F496" t="str">
            <v>m2</v>
          </cell>
          <cell r="G496">
            <v>1</v>
          </cell>
          <cell r="H496">
            <v>23.5</v>
          </cell>
          <cell r="I496">
            <v>23.5</v>
          </cell>
        </row>
        <row r="497">
          <cell r="C497" t="str">
            <v>16.03.07.02</v>
          </cell>
          <cell r="D497" t="str">
            <v>CP-01 - 1,41 x 1,95 m - chapa perfurada permetal, pintura eletrostática cor branca, conforme projeto detalhamento 256-arq-pe-401-serra-roo</v>
          </cell>
          <cell r="F497" t="str">
            <v xml:space="preserve">un </v>
          </cell>
          <cell r="G497">
            <v>236</v>
          </cell>
          <cell r="H497">
            <v>595</v>
          </cell>
          <cell r="I497">
            <v>140420</v>
          </cell>
        </row>
        <row r="498">
          <cell r="C498">
            <v>256</v>
          </cell>
          <cell r="D498" t="str">
            <v>1,41 x 1,95 m - chapa perfurada permetal, pintura eletrostática cor branca, conforme projeto detalhamento 256-arq-pe-401-serra-roo</v>
          </cell>
          <cell r="F498" t="str">
            <v>un</v>
          </cell>
          <cell r="G498">
            <v>1</v>
          </cell>
          <cell r="H498">
            <v>595</v>
          </cell>
          <cell r="I498">
            <v>595</v>
          </cell>
        </row>
        <row r="499">
          <cell r="C499" t="str">
            <v>16.03.07.03</v>
          </cell>
          <cell r="D499" t="str">
            <v>CP-02 - 0,47 x 2,35 m - chapa perfurada permetal, pintura eletrostática cor branca, conforme projeto detalhamento 256-arq-pe-402-serra-roo</v>
          </cell>
          <cell r="F499" t="str">
            <v xml:space="preserve">un </v>
          </cell>
          <cell r="G499">
            <v>260</v>
          </cell>
          <cell r="H499">
            <v>245</v>
          </cell>
          <cell r="I499">
            <v>63700</v>
          </cell>
        </row>
        <row r="500">
          <cell r="C500">
            <v>257</v>
          </cell>
          <cell r="D500" t="str">
            <v>0,47 x 2,35 m - chapa perfurada permetal, pintura eletrostática cor branca, conforme projeto detalhamento 256-arq-pe-402-serra-roo</v>
          </cell>
          <cell r="F500" t="str">
            <v>un</v>
          </cell>
          <cell r="G500">
            <v>1</v>
          </cell>
          <cell r="H500">
            <v>245</v>
          </cell>
          <cell r="I500">
            <v>245</v>
          </cell>
        </row>
        <row r="501">
          <cell r="C501" t="str">
            <v>16.03.07.04</v>
          </cell>
          <cell r="D501" t="str">
            <v>CP-03 - 1,265 x 1,95 m - chapa perfurada permetal, pintura eletrostática cor branca, conforme projeto detalhamento 256-arq-pe-403-serra-roo</v>
          </cell>
          <cell r="F501" t="str">
            <v xml:space="preserve">un </v>
          </cell>
          <cell r="G501">
            <v>28</v>
          </cell>
          <cell r="H501">
            <v>535</v>
          </cell>
          <cell r="I501">
            <v>14980</v>
          </cell>
        </row>
        <row r="502">
          <cell r="C502">
            <v>258</v>
          </cell>
          <cell r="D502" t="str">
            <v>1,265 x 1,95 m - chapa perfurada permetal, pintura eletrostática cor branca, conforme projeto detalhamento 256-arq-pe-403-serra-roo</v>
          </cell>
          <cell r="F502" t="str">
            <v>un</v>
          </cell>
          <cell r="G502">
            <v>1</v>
          </cell>
          <cell r="H502">
            <v>535</v>
          </cell>
          <cell r="I502">
            <v>535</v>
          </cell>
        </row>
        <row r="503">
          <cell r="C503" t="str">
            <v>16.03.09.01</v>
          </cell>
          <cell r="D503" t="str">
            <v>Escada metálica do 17º pavimento.</v>
          </cell>
          <cell r="F503" t="str">
            <v xml:space="preserve">un </v>
          </cell>
          <cell r="G503">
            <v>2</v>
          </cell>
          <cell r="H503">
            <v>6500</v>
          </cell>
          <cell r="I503">
            <v>13000</v>
          </cell>
        </row>
        <row r="504">
          <cell r="C504">
            <v>259</v>
          </cell>
          <cell r="D504" t="str">
            <v>Escada metálica do 17º pavimento.</v>
          </cell>
          <cell r="F504" t="str">
            <v>un</v>
          </cell>
          <cell r="G504">
            <v>1</v>
          </cell>
          <cell r="H504">
            <v>6500</v>
          </cell>
          <cell r="I504">
            <v>6500</v>
          </cell>
        </row>
        <row r="505">
          <cell r="C505" t="str">
            <v>17.01.01.01</v>
          </cell>
          <cell r="D505" t="str">
            <v>PM-01 - 0,8 x 2,1 m - porta de madeira, de abrir, uma folha com pintura cor branca, conforme projeto de detalhamento fl. 256-arq-pe-301-made-r00</v>
          </cell>
          <cell r="F505" t="str">
            <v xml:space="preserve">un </v>
          </cell>
          <cell r="G505">
            <v>358</v>
          </cell>
          <cell r="H505">
            <v>293.41999999999996</v>
          </cell>
          <cell r="I505">
            <v>105044.36</v>
          </cell>
        </row>
        <row r="506">
          <cell r="C506">
            <v>260</v>
          </cell>
          <cell r="D506" t="str">
            <v>Dobradiça 3"x2 ½", mod. CR 1500</v>
          </cell>
          <cell r="F506" t="str">
            <v>un</v>
          </cell>
          <cell r="G506">
            <v>3</v>
          </cell>
          <cell r="H506">
            <v>2.63</v>
          </cell>
          <cell r="I506">
            <v>7.89</v>
          </cell>
        </row>
        <row r="507">
          <cell r="C507">
            <v>261</v>
          </cell>
          <cell r="D507" t="str">
            <v>PM-01 - 0,8 x 2,1 m - porta de madeira, de abrir, uma folha com pintura cor branca, conforme projeto de detalhamento fl. 256-arq-pe-301-made-r00</v>
          </cell>
          <cell r="F507" t="str">
            <v>un</v>
          </cell>
          <cell r="G507">
            <v>1</v>
          </cell>
          <cell r="H507">
            <v>212.06</v>
          </cell>
          <cell r="I507">
            <v>212.06</v>
          </cell>
        </row>
        <row r="508">
          <cell r="C508">
            <v>262</v>
          </cell>
          <cell r="D508" t="str">
            <v>MDO para instalação porta pronta de madeira</v>
          </cell>
          <cell r="F508" t="str">
            <v>un</v>
          </cell>
          <cell r="G508">
            <v>1</v>
          </cell>
          <cell r="H508">
            <v>32</v>
          </cell>
          <cell r="I508">
            <v>32</v>
          </cell>
        </row>
        <row r="509">
          <cell r="C509">
            <v>263</v>
          </cell>
          <cell r="D509" t="str">
            <v>Fechadura externa, mod. CR-236EXT. ST2 55mm da La Fonte®</v>
          </cell>
          <cell r="F509" t="str">
            <v>un</v>
          </cell>
          <cell r="G509">
            <v>1</v>
          </cell>
          <cell r="H509">
            <v>41.47</v>
          </cell>
          <cell r="I509">
            <v>41.47</v>
          </cell>
        </row>
        <row r="510">
          <cell r="C510" t="str">
            <v>17.01.01.02</v>
          </cell>
          <cell r="D510" t="str">
            <v>PM-02 - 0,7 x 2,1 m - porta de madeira, de abrir, uma folha com pintura cor branca, conforme projeto de detalhamento fl. 256-arq-pe-302-made-r00</v>
          </cell>
          <cell r="F510" t="str">
            <v xml:space="preserve">un </v>
          </cell>
          <cell r="G510">
            <v>1</v>
          </cell>
          <cell r="H510">
            <v>293.41999999999996</v>
          </cell>
          <cell r="I510">
            <v>293.42</v>
          </cell>
        </row>
        <row r="511">
          <cell r="C511">
            <v>260</v>
          </cell>
          <cell r="D511" t="str">
            <v>Dobradiça 3"x2 ½", mod. CR 1500</v>
          </cell>
          <cell r="F511" t="str">
            <v>un</v>
          </cell>
          <cell r="G511">
            <v>3</v>
          </cell>
          <cell r="H511">
            <v>2.63</v>
          </cell>
          <cell r="I511">
            <v>7.89</v>
          </cell>
        </row>
        <row r="512">
          <cell r="C512">
            <v>262</v>
          </cell>
          <cell r="D512" t="str">
            <v>MDO para instalação porta pronta de madeira</v>
          </cell>
          <cell r="F512" t="str">
            <v>un</v>
          </cell>
          <cell r="G512">
            <v>1</v>
          </cell>
          <cell r="H512">
            <v>32</v>
          </cell>
          <cell r="I512">
            <v>32</v>
          </cell>
        </row>
        <row r="513">
          <cell r="C513">
            <v>264</v>
          </cell>
          <cell r="D513" t="str">
            <v>PM-02 - 0,7 x 2,1 m - porta de madeira, de abrir, uma folha com pintura cor branca, conforme projeto de detalhamento fl. 256-arq-pe-302-made-r00</v>
          </cell>
          <cell r="F513" t="str">
            <v>un</v>
          </cell>
          <cell r="G513">
            <v>1</v>
          </cell>
          <cell r="H513">
            <v>212.06</v>
          </cell>
          <cell r="I513">
            <v>212.06</v>
          </cell>
        </row>
        <row r="514">
          <cell r="C514">
            <v>263</v>
          </cell>
          <cell r="D514" t="str">
            <v>Fechadura externa, mod. CR-236EXT. ST2 55mm da La Fonte®</v>
          </cell>
          <cell r="F514" t="str">
            <v>un</v>
          </cell>
          <cell r="G514">
            <v>1</v>
          </cell>
          <cell r="H514">
            <v>41.47</v>
          </cell>
          <cell r="I514">
            <v>41.47</v>
          </cell>
        </row>
        <row r="515">
          <cell r="C515" t="str">
            <v>17.01.01.03</v>
          </cell>
          <cell r="D515" t="str">
            <v>PM-02A - 0,7 x 2,1 m - porta de madeira, de abrir, uma folha, com veneziana inferior (0,30x0,40)m, com pintura cor branca, conforme projeto de detalhamento fl. 256-arq-pe-302a-made-r00</v>
          </cell>
          <cell r="F515" t="str">
            <v xml:space="preserve">un </v>
          </cell>
          <cell r="G515">
            <v>5</v>
          </cell>
          <cell r="H515">
            <v>341.22</v>
          </cell>
          <cell r="I515">
            <v>1706.1</v>
          </cell>
        </row>
        <row r="516">
          <cell r="C516">
            <v>260</v>
          </cell>
          <cell r="D516" t="str">
            <v>Dobradiça 3"x2 ½", mod. CR 1500</v>
          </cell>
          <cell r="F516" t="str">
            <v>un</v>
          </cell>
          <cell r="G516">
            <v>3</v>
          </cell>
          <cell r="H516">
            <v>2.63</v>
          </cell>
          <cell r="I516">
            <v>7.89</v>
          </cell>
        </row>
        <row r="517">
          <cell r="C517">
            <v>262</v>
          </cell>
          <cell r="D517" t="str">
            <v>MDO para instalação porta pronta de madeira</v>
          </cell>
          <cell r="F517" t="str">
            <v>un</v>
          </cell>
          <cell r="G517">
            <v>1</v>
          </cell>
          <cell r="H517">
            <v>32</v>
          </cell>
          <cell r="I517">
            <v>32</v>
          </cell>
        </row>
        <row r="518">
          <cell r="C518">
            <v>263</v>
          </cell>
          <cell r="D518" t="str">
            <v>Fechadura externa, mod. CR-236EXT. ST2 55mm da La Fonte®</v>
          </cell>
          <cell r="F518" t="str">
            <v>un</v>
          </cell>
          <cell r="G518">
            <v>1</v>
          </cell>
          <cell r="H518">
            <v>41.47</v>
          </cell>
          <cell r="I518">
            <v>41.47</v>
          </cell>
        </row>
        <row r="519">
          <cell r="C519">
            <v>266</v>
          </cell>
          <cell r="D519" t="str">
            <v>PM-02A - 0,7 x 2,1 m - porta de madeira, de abrir, uma folha, com veneziana inferior (0,30x0,40)m, com pintura cor branca, conforme projeto de detalhamento fl. 256-arq-pe-302a-made-r00</v>
          </cell>
          <cell r="F519" t="str">
            <v>un</v>
          </cell>
          <cell r="G519">
            <v>1</v>
          </cell>
          <cell r="H519">
            <v>259.86</v>
          </cell>
          <cell r="I519">
            <v>259.86</v>
          </cell>
        </row>
        <row r="520">
          <cell r="C520" t="str">
            <v>17.01.01.04</v>
          </cell>
          <cell r="D520" t="str">
            <v>PM-03 - 0,7 x 2,1 m - porta de madeira, de abrir, uma folha, com pintura cor branca, conforme projeto de detalhamento fl. 256-arq-pe-303-made-r00</v>
          </cell>
          <cell r="F520" t="str">
            <v xml:space="preserve">un </v>
          </cell>
          <cell r="G520">
            <v>148</v>
          </cell>
          <cell r="H520">
            <v>293.41999999999996</v>
          </cell>
          <cell r="I520">
            <v>43426.16</v>
          </cell>
        </row>
        <row r="521">
          <cell r="C521">
            <v>260</v>
          </cell>
          <cell r="D521" t="str">
            <v>Dobradiça 3"x2 ½", mod. CR 1500</v>
          </cell>
          <cell r="F521" t="str">
            <v>un</v>
          </cell>
          <cell r="G521">
            <v>3</v>
          </cell>
          <cell r="H521">
            <v>2.63</v>
          </cell>
          <cell r="I521">
            <v>7.89</v>
          </cell>
        </row>
        <row r="522">
          <cell r="C522">
            <v>262</v>
          </cell>
          <cell r="D522" t="str">
            <v>MDO para instalação porta pronta de madeira</v>
          </cell>
          <cell r="F522" t="str">
            <v>un</v>
          </cell>
          <cell r="G522">
            <v>1</v>
          </cell>
          <cell r="H522">
            <v>32</v>
          </cell>
          <cell r="I522">
            <v>32</v>
          </cell>
        </row>
        <row r="523">
          <cell r="C523">
            <v>267</v>
          </cell>
          <cell r="D523" t="str">
            <v>PM-03 - 0,7 x 2,1 m - porta de madeira, de abrir, uma folha, com pintura cor branca, conforme projeto de detalhamento fl. 256-arq-pe-303-made-r00</v>
          </cell>
          <cell r="F523" t="str">
            <v>un</v>
          </cell>
          <cell r="G523">
            <v>1</v>
          </cell>
          <cell r="H523">
            <v>212.06</v>
          </cell>
          <cell r="I523">
            <v>212.06</v>
          </cell>
        </row>
        <row r="524">
          <cell r="C524">
            <v>263</v>
          </cell>
          <cell r="D524" t="str">
            <v>Fechadura externa, mod. CR-236EXT. ST2 55mm da La Fonte®</v>
          </cell>
          <cell r="F524" t="str">
            <v>un</v>
          </cell>
          <cell r="G524">
            <v>1</v>
          </cell>
          <cell r="H524">
            <v>41.47</v>
          </cell>
          <cell r="I524">
            <v>41.47</v>
          </cell>
        </row>
        <row r="525">
          <cell r="C525" t="str">
            <v>17.01.01.05</v>
          </cell>
          <cell r="D525" t="str">
            <v>PM-03A - 0,6 x 2,1 m - porta de madeira, de abrir, uma folha, com veneziana inferior (0,30x0,40)m, com pintura cor branca, conforme projeto de detalhamento fl. 256-arq-pe-303a-made-r00</v>
          </cell>
          <cell r="F525" t="str">
            <v xml:space="preserve">un </v>
          </cell>
          <cell r="G525">
            <v>4</v>
          </cell>
          <cell r="H525">
            <v>289.75</v>
          </cell>
          <cell r="I525">
            <v>1159</v>
          </cell>
        </row>
        <row r="526">
          <cell r="C526">
            <v>260</v>
          </cell>
          <cell r="D526" t="str">
            <v>Dobradiça 3"x2 ½", mod. CR 1500</v>
          </cell>
          <cell r="F526" t="str">
            <v>un</v>
          </cell>
          <cell r="G526">
            <v>3</v>
          </cell>
          <cell r="H526">
            <v>2.63</v>
          </cell>
          <cell r="I526">
            <v>7.89</v>
          </cell>
        </row>
        <row r="527">
          <cell r="C527">
            <v>262</v>
          </cell>
          <cell r="D527" t="str">
            <v>MDO para instalação porta pronta de madeira</v>
          </cell>
          <cell r="F527" t="str">
            <v>un</v>
          </cell>
          <cell r="G527">
            <v>1</v>
          </cell>
          <cell r="H527">
            <v>32</v>
          </cell>
          <cell r="I527">
            <v>32</v>
          </cell>
        </row>
        <row r="528">
          <cell r="C528">
            <v>268</v>
          </cell>
          <cell r="D528" t="str">
            <v>PM-03A - 0,6 x 2,1 m - porta de madeira, de abrir, uma folha, com veneziana inferior (0,30x0,40)m, com pintura cor branca, conforme projeto de detalhamento fl. 256-arq-pe-303a-made-r00</v>
          </cell>
          <cell r="F528" t="str">
            <v>un</v>
          </cell>
          <cell r="G528">
            <v>1</v>
          </cell>
          <cell r="H528">
            <v>212.06</v>
          </cell>
          <cell r="I528">
            <v>212.06</v>
          </cell>
        </row>
        <row r="529">
          <cell r="C529">
            <v>281</v>
          </cell>
          <cell r="D529" t="str">
            <v>Fechadura La Fonte, linha Arquiteto (cromada) CJ 6236 ou similar (interna)</v>
          </cell>
          <cell r="F529" t="str">
            <v>un</v>
          </cell>
          <cell r="G529">
            <v>1</v>
          </cell>
          <cell r="H529">
            <v>37.799999999999997</v>
          </cell>
          <cell r="I529">
            <v>37.799999999999997</v>
          </cell>
        </row>
        <row r="530">
          <cell r="C530" t="str">
            <v>17.01.01.06</v>
          </cell>
          <cell r="D530" t="str">
            <v>PM-04 - 0,17 x 1,8 m - porta de madeira, de abrir,  com pintura esmalte acetinada cor branca, requadro de madeira em toda a voltap/ fixação, conforme projeto de detalhamento fl. 256-arq-pe-304-made-r00</v>
          </cell>
          <cell r="F530" t="str">
            <v xml:space="preserve">un </v>
          </cell>
          <cell r="G530">
            <v>18</v>
          </cell>
          <cell r="H530">
            <v>331.96000000000004</v>
          </cell>
          <cell r="I530">
            <v>5975.28</v>
          </cell>
        </row>
        <row r="531">
          <cell r="C531">
            <v>260</v>
          </cell>
          <cell r="D531" t="str">
            <v>Dobradiça 3"x2 ½", mod. CR 1500</v>
          </cell>
          <cell r="F531" t="str">
            <v>un</v>
          </cell>
          <cell r="G531">
            <v>3</v>
          </cell>
          <cell r="H531">
            <v>2.63</v>
          </cell>
          <cell r="I531">
            <v>7.89</v>
          </cell>
        </row>
        <row r="532">
          <cell r="C532">
            <v>270</v>
          </cell>
          <cell r="D532" t="str">
            <v>Puxador para shaft</v>
          </cell>
          <cell r="F532" t="str">
            <v>un</v>
          </cell>
          <cell r="G532">
            <v>1</v>
          </cell>
          <cell r="H532">
            <v>8</v>
          </cell>
          <cell r="I532">
            <v>8</v>
          </cell>
        </row>
        <row r="533">
          <cell r="C533">
            <v>271</v>
          </cell>
          <cell r="D533" t="str">
            <v>MDO para instalação porta de shaft</v>
          </cell>
          <cell r="F533" t="str">
            <v>cj</v>
          </cell>
          <cell r="G533">
            <v>1</v>
          </cell>
          <cell r="H533">
            <v>40</v>
          </cell>
          <cell r="I533">
            <v>40</v>
          </cell>
        </row>
        <row r="534">
          <cell r="C534">
            <v>272</v>
          </cell>
          <cell r="D534" t="str">
            <v>Fechadura auxiliar La Fonte cromada 119 ou similar (shaft)</v>
          </cell>
          <cell r="F534" t="str">
            <v>un</v>
          </cell>
          <cell r="G534">
            <v>1</v>
          </cell>
          <cell r="H534">
            <v>17.850000000000001</v>
          </cell>
          <cell r="I534">
            <v>17.850000000000001</v>
          </cell>
        </row>
        <row r="535">
          <cell r="C535">
            <v>269</v>
          </cell>
          <cell r="D535" t="str">
            <v>PM-04 - 0,17 x 1,8 m - porta de madeira, de abrir,  com pintura esmalte acetinada cor branca, requadro de madeira em toda a voltap/ fixação, conforme projeto de detalhamento fl. 256-arq-pe-304-made-r00</v>
          </cell>
          <cell r="F535" t="str">
            <v>un</v>
          </cell>
          <cell r="G535">
            <v>1</v>
          </cell>
          <cell r="H535">
            <v>258.22000000000003</v>
          </cell>
          <cell r="I535">
            <v>258.22000000000003</v>
          </cell>
        </row>
        <row r="536">
          <cell r="C536" t="str">
            <v>17.01.01.07</v>
          </cell>
          <cell r="D536" t="str">
            <v>PM-05 - 1,18 x 1,8 m - porta de madeira, de abrir, 2 folhas, com pintura esmalte acetinada cor branca, requadro de madeira em toda a voltap/ fixação, conforme projeto de detalhamento fl. 256-arq-pe-305-made-r00</v>
          </cell>
          <cell r="F536" t="str">
            <v xml:space="preserve">un </v>
          </cell>
          <cell r="G536">
            <v>19</v>
          </cell>
          <cell r="H536">
            <v>483.33</v>
          </cell>
          <cell r="I536">
            <v>9183.27</v>
          </cell>
        </row>
        <row r="537">
          <cell r="C537">
            <v>260</v>
          </cell>
          <cell r="D537" t="str">
            <v>Dobradiça 3"x2 ½", mod. CR 1500</v>
          </cell>
          <cell r="F537" t="str">
            <v>un</v>
          </cell>
          <cell r="G537">
            <v>6</v>
          </cell>
          <cell r="H537">
            <v>2.63</v>
          </cell>
          <cell r="I537">
            <v>15.78</v>
          </cell>
        </row>
        <row r="538">
          <cell r="C538">
            <v>273</v>
          </cell>
          <cell r="D538" t="str">
            <v>Fecho, mod. 400 CRA 20cmx3/4" da La Fonte®</v>
          </cell>
          <cell r="F538" t="str">
            <v>un</v>
          </cell>
          <cell r="G538">
            <v>2</v>
          </cell>
          <cell r="H538">
            <v>25</v>
          </cell>
          <cell r="I538">
            <v>50</v>
          </cell>
        </row>
        <row r="539">
          <cell r="C539">
            <v>270</v>
          </cell>
          <cell r="D539" t="str">
            <v>Puxador para shaft</v>
          </cell>
          <cell r="F539" t="str">
            <v>un</v>
          </cell>
          <cell r="G539">
            <v>2</v>
          </cell>
          <cell r="H539">
            <v>8</v>
          </cell>
          <cell r="I539">
            <v>16</v>
          </cell>
        </row>
        <row r="540">
          <cell r="C540">
            <v>271</v>
          </cell>
          <cell r="D540" t="str">
            <v>MDO para instalação porta de shaft</v>
          </cell>
          <cell r="F540" t="str">
            <v>cj</v>
          </cell>
          <cell r="G540">
            <v>1</v>
          </cell>
          <cell r="H540">
            <v>40</v>
          </cell>
          <cell r="I540">
            <v>40</v>
          </cell>
        </row>
        <row r="541">
          <cell r="C541">
            <v>272</v>
          </cell>
          <cell r="D541" t="str">
            <v>Fechadura auxiliar La Fonte cromada 119 ou similar (shaft)</v>
          </cell>
          <cell r="F541" t="str">
            <v>un</v>
          </cell>
          <cell r="G541">
            <v>1</v>
          </cell>
          <cell r="H541">
            <v>17.850000000000001</v>
          </cell>
          <cell r="I541">
            <v>17.850000000000001</v>
          </cell>
        </row>
        <row r="542">
          <cell r="C542">
            <v>274</v>
          </cell>
          <cell r="D542" t="str">
            <v>PM-05 - 1,18 x 1,8 m - porta de madeira, de abrir, 2 folhas, com pintura esmalte acetinada cor branca, requadro de madeira em toda a voltap/ fixação, conforme projeto de detalhamento fl. 256-arq-pe-305-made-r00</v>
          </cell>
          <cell r="F542" t="str">
            <v>un</v>
          </cell>
          <cell r="G542">
            <v>1</v>
          </cell>
          <cell r="H542">
            <v>343.7</v>
          </cell>
          <cell r="I542">
            <v>343.7</v>
          </cell>
        </row>
        <row r="543">
          <cell r="C543" t="str">
            <v>17.01.01.08</v>
          </cell>
          <cell r="D543" t="str">
            <v>PM-06 - 1,945 x 1,8 m - porta de madeira, de abrir, 4 folhas, com pintura esmalte acetinada cor branca, requadro de madeira em toda a voltap/ fixação, conforme projeto de detalhamento fl. 256-arq-pe-306-made-r00</v>
          </cell>
          <cell r="F543" t="str">
            <v xml:space="preserve">un </v>
          </cell>
          <cell r="G543">
            <v>32</v>
          </cell>
          <cell r="H543">
            <v>859.71</v>
          </cell>
          <cell r="I543">
            <v>27510.720000000001</v>
          </cell>
        </row>
        <row r="544">
          <cell r="C544">
            <v>260</v>
          </cell>
          <cell r="D544" t="str">
            <v>Dobradiça 3"x2 ½", mod. CR 1500</v>
          </cell>
          <cell r="F544" t="str">
            <v>un</v>
          </cell>
          <cell r="G544">
            <v>12</v>
          </cell>
          <cell r="H544">
            <v>2.63</v>
          </cell>
          <cell r="I544">
            <v>31.56</v>
          </cell>
        </row>
        <row r="545">
          <cell r="C545">
            <v>273</v>
          </cell>
          <cell r="D545" t="str">
            <v>Fecho, mod. 400 CRA 20cmx3/4" da La Fonte®</v>
          </cell>
          <cell r="F545" t="str">
            <v>un</v>
          </cell>
          <cell r="G545">
            <v>4</v>
          </cell>
          <cell r="H545">
            <v>25</v>
          </cell>
          <cell r="I545">
            <v>100</v>
          </cell>
        </row>
        <row r="546">
          <cell r="C546">
            <v>270</v>
          </cell>
          <cell r="D546" t="str">
            <v>Puxador para shaft</v>
          </cell>
          <cell r="F546" t="str">
            <v>un</v>
          </cell>
          <cell r="G546">
            <v>4</v>
          </cell>
          <cell r="H546">
            <v>8</v>
          </cell>
          <cell r="I546">
            <v>32</v>
          </cell>
        </row>
        <row r="547">
          <cell r="C547">
            <v>271</v>
          </cell>
          <cell r="D547" t="str">
            <v>MDO para instalação porta de shaft</v>
          </cell>
          <cell r="F547" t="str">
            <v>cj</v>
          </cell>
          <cell r="G547">
            <v>1</v>
          </cell>
          <cell r="H547">
            <v>40</v>
          </cell>
          <cell r="I547">
            <v>40</v>
          </cell>
        </row>
        <row r="548">
          <cell r="C548">
            <v>272</v>
          </cell>
          <cell r="D548" t="str">
            <v>Fechadura auxiliar La Fonte cromada 119 ou similar (shaft)</v>
          </cell>
          <cell r="F548" t="str">
            <v>un</v>
          </cell>
          <cell r="G548">
            <v>2</v>
          </cell>
          <cell r="H548">
            <v>17.850000000000001</v>
          </cell>
          <cell r="I548">
            <v>35.700000000000003</v>
          </cell>
        </row>
        <row r="549">
          <cell r="C549">
            <v>275</v>
          </cell>
          <cell r="D549" t="str">
            <v>PM-06 - 1,945 x 1,8 m - porta de madeira, de abrir, 4 folhas, com pintura esmalte acetinada cor branca, requadro de madeira em toda a voltap/ fixação, conforme projeto de detalhamento fl. 256-arq-pe-306-made-r00</v>
          </cell>
          <cell r="F549" t="str">
            <v>un</v>
          </cell>
          <cell r="G549">
            <v>1</v>
          </cell>
          <cell r="H549">
            <v>620.45000000000005</v>
          </cell>
          <cell r="I549">
            <v>620.45000000000005</v>
          </cell>
        </row>
        <row r="550">
          <cell r="C550" t="str">
            <v>17.01.01.09</v>
          </cell>
          <cell r="D550" t="str">
            <v>PM-07 - 0,8 x 2,1 m - porta de madeira, de abrir, uma folha com pintura cor branca, conforme projeto de detalhamento fl. 256-arq-pe-307-made-r00</v>
          </cell>
          <cell r="F550" t="str">
            <v xml:space="preserve">un </v>
          </cell>
          <cell r="G550">
            <v>1</v>
          </cell>
          <cell r="H550">
            <v>433.41999999999996</v>
          </cell>
          <cell r="I550">
            <v>433.42</v>
          </cell>
        </row>
        <row r="551">
          <cell r="C551">
            <v>260</v>
          </cell>
          <cell r="D551" t="str">
            <v>Dobradiça 3"x2 ½", mod. CR 1500</v>
          </cell>
          <cell r="F551" t="str">
            <v>un</v>
          </cell>
          <cell r="G551">
            <v>3</v>
          </cell>
          <cell r="H551">
            <v>2.63</v>
          </cell>
          <cell r="I551">
            <v>7.89</v>
          </cell>
        </row>
        <row r="552">
          <cell r="C552">
            <v>276</v>
          </cell>
          <cell r="D552" t="str">
            <v>PM-07 - 0,8 x 2,1 m - porta de madeira, de abrir, uma folha com pintura cor branca, conforme projeto de detalhamento fl. 256-arq-pe-307-made-r00</v>
          </cell>
          <cell r="F552" t="str">
            <v>un</v>
          </cell>
          <cell r="G552">
            <v>1</v>
          </cell>
          <cell r="H552">
            <v>212.06</v>
          </cell>
          <cell r="I552">
            <v>212.06</v>
          </cell>
        </row>
        <row r="553">
          <cell r="C553">
            <v>262</v>
          </cell>
          <cell r="D553" t="str">
            <v>MDO para instalação porta pronta de madeira</v>
          </cell>
          <cell r="F553" t="str">
            <v>un</v>
          </cell>
          <cell r="G553">
            <v>1</v>
          </cell>
          <cell r="H553">
            <v>32</v>
          </cell>
          <cell r="I553">
            <v>32</v>
          </cell>
        </row>
        <row r="554">
          <cell r="C554">
            <v>263</v>
          </cell>
          <cell r="D554" t="str">
            <v>Fechadura externa, mod. CR-236EXT. ST2 55mm da La Fonte®</v>
          </cell>
          <cell r="F554" t="str">
            <v>un</v>
          </cell>
          <cell r="G554">
            <v>1</v>
          </cell>
          <cell r="H554">
            <v>41.47</v>
          </cell>
          <cell r="I554">
            <v>41.47</v>
          </cell>
        </row>
        <row r="555">
          <cell r="C555" t="str">
            <v>277</v>
          </cell>
          <cell r="D555" t="str">
            <v>Puxador para porta</v>
          </cell>
          <cell r="F555" t="str">
            <v>un</v>
          </cell>
          <cell r="G555">
            <v>1</v>
          </cell>
          <cell r="H555">
            <v>60</v>
          </cell>
          <cell r="I555">
            <v>60</v>
          </cell>
        </row>
        <row r="556">
          <cell r="C556" t="str">
            <v>279</v>
          </cell>
          <cell r="D556" t="str">
            <v>Barra de proteçao em chapa de inox</v>
          </cell>
          <cell r="F556" t="str">
            <v>un</v>
          </cell>
          <cell r="G556">
            <v>1</v>
          </cell>
          <cell r="H556">
            <v>80</v>
          </cell>
          <cell r="I556">
            <v>80</v>
          </cell>
        </row>
        <row r="557">
          <cell r="C557" t="str">
            <v>17.01.01.10</v>
          </cell>
          <cell r="D557" t="str">
            <v>PM-08 - 1,1 x 2,1 m - porta de madeira, de abrir, 2 folhas, com 2 visores (0,30x0,60)m, com pintura cor branca, conforme projeto de detalhamento fl. 256-arq-pe-308-made-r00</v>
          </cell>
          <cell r="F557" t="str">
            <v xml:space="preserve">un </v>
          </cell>
          <cell r="G557">
            <v>1</v>
          </cell>
          <cell r="H557">
            <v>601</v>
          </cell>
          <cell r="I557">
            <v>601</v>
          </cell>
        </row>
        <row r="558">
          <cell r="C558">
            <v>260</v>
          </cell>
          <cell r="D558" t="str">
            <v>Dobradiça 3"x2 ½", mod. CR 1500</v>
          </cell>
          <cell r="F558" t="str">
            <v>un</v>
          </cell>
          <cell r="G558">
            <v>6</v>
          </cell>
          <cell r="H558">
            <v>2.63</v>
          </cell>
          <cell r="I558">
            <v>15.78</v>
          </cell>
        </row>
        <row r="559">
          <cell r="C559">
            <v>262</v>
          </cell>
          <cell r="D559" t="str">
            <v>MDO para instalação porta pronta de madeira</v>
          </cell>
          <cell r="F559" t="str">
            <v>un</v>
          </cell>
          <cell r="G559">
            <v>1</v>
          </cell>
          <cell r="H559">
            <v>32</v>
          </cell>
          <cell r="I559">
            <v>32</v>
          </cell>
        </row>
        <row r="560">
          <cell r="C560">
            <v>283</v>
          </cell>
          <cell r="D560" t="str">
            <v>Fechadura interna, mod. CR-6236INT-WC ST2 55mm da La Fonte®</v>
          </cell>
          <cell r="F560" t="str">
            <v>un</v>
          </cell>
          <cell r="G560">
            <v>1</v>
          </cell>
          <cell r="H560">
            <v>37.799999999999997</v>
          </cell>
          <cell r="I560">
            <v>37.799999999999997</v>
          </cell>
        </row>
        <row r="561">
          <cell r="C561">
            <v>273</v>
          </cell>
          <cell r="D561" t="str">
            <v>Fecho, mod. 400 CRA 20cmx3/4" da La Fonte®</v>
          </cell>
          <cell r="F561" t="str">
            <v>un</v>
          </cell>
          <cell r="G561">
            <v>2</v>
          </cell>
          <cell r="H561">
            <v>25</v>
          </cell>
          <cell r="I561">
            <v>50</v>
          </cell>
        </row>
        <row r="562">
          <cell r="C562">
            <v>282</v>
          </cell>
          <cell r="D562" t="str">
            <v>PM-08 - 1,1 x 2,1 m - porta de madeira, de abrir, 2 folhas, com 2 visores (0,30x0,60)m, com pintura cor branca, conforme projeto de detalhamento fl. 256-arq-pe-308-made-r00</v>
          </cell>
          <cell r="F562" t="str">
            <v>un</v>
          </cell>
          <cell r="G562">
            <v>1</v>
          </cell>
          <cell r="H562">
            <v>465.42</v>
          </cell>
          <cell r="I562">
            <v>465.42</v>
          </cell>
        </row>
        <row r="563">
          <cell r="C563" t="str">
            <v>17.01.01.11</v>
          </cell>
          <cell r="D563" t="str">
            <v>PM-09 - 1,26 x 1,8 m - porta de madeira, de abrir, 2 folhas, com pintura esmalte acetinada cor branca, requadro de madeira em toda a voltap/ fixação, conforme projeto de detalhamento fl. 256-arq-pe-309-made-r00</v>
          </cell>
          <cell r="F563" t="str">
            <v xml:space="preserve">un </v>
          </cell>
          <cell r="G563">
            <v>1</v>
          </cell>
          <cell r="H563">
            <v>493.54</v>
          </cell>
          <cell r="I563">
            <v>493.54</v>
          </cell>
        </row>
        <row r="564">
          <cell r="C564">
            <v>260</v>
          </cell>
          <cell r="D564" t="str">
            <v>Dobradiça 3"x2 ½", mod. CR 1500</v>
          </cell>
          <cell r="F564" t="str">
            <v>un</v>
          </cell>
          <cell r="G564">
            <v>6</v>
          </cell>
          <cell r="H564">
            <v>2.63</v>
          </cell>
          <cell r="I564">
            <v>15.78</v>
          </cell>
        </row>
        <row r="565">
          <cell r="C565">
            <v>273</v>
          </cell>
          <cell r="D565" t="str">
            <v>Fecho, mod. 400 CRA 20cmx3/4" da La Fonte®</v>
          </cell>
          <cell r="F565" t="str">
            <v>un</v>
          </cell>
          <cell r="G565">
            <v>2</v>
          </cell>
          <cell r="H565">
            <v>25</v>
          </cell>
          <cell r="I565">
            <v>50</v>
          </cell>
        </row>
        <row r="566">
          <cell r="C566">
            <v>270</v>
          </cell>
          <cell r="D566" t="str">
            <v>Puxador para shaft</v>
          </cell>
          <cell r="F566" t="str">
            <v>un</v>
          </cell>
          <cell r="G566">
            <v>2</v>
          </cell>
          <cell r="H566">
            <v>8</v>
          </cell>
          <cell r="I566">
            <v>16</v>
          </cell>
        </row>
        <row r="567">
          <cell r="C567">
            <v>271</v>
          </cell>
          <cell r="D567" t="str">
            <v>MDO para instalação porta de shaft</v>
          </cell>
          <cell r="F567" t="str">
            <v>cj</v>
          </cell>
          <cell r="G567">
            <v>1</v>
          </cell>
          <cell r="H567">
            <v>40</v>
          </cell>
          <cell r="I567">
            <v>40</v>
          </cell>
        </row>
        <row r="568">
          <cell r="C568">
            <v>272</v>
          </cell>
          <cell r="D568" t="str">
            <v>Fechadura auxiliar La Fonte cromada 119 ou similar (shaft)</v>
          </cell>
          <cell r="F568" t="str">
            <v>un</v>
          </cell>
          <cell r="G568">
            <v>1</v>
          </cell>
          <cell r="H568">
            <v>17.850000000000001</v>
          </cell>
          <cell r="I568">
            <v>17.850000000000001</v>
          </cell>
        </row>
        <row r="569">
          <cell r="C569">
            <v>284</v>
          </cell>
          <cell r="D569" t="str">
            <v>PM-09 - 1,26 x 1,8 m - porta de madeira, de abrir, 2 folhas, com pintura esmalte acetinada cor branca, requadro de madeira em toda a voltap/ fixação, conforme projeto de detalhamento fl. 256-arq-pe-309-made-r00</v>
          </cell>
          <cell r="F569" t="str">
            <v>un</v>
          </cell>
          <cell r="G569">
            <v>1</v>
          </cell>
          <cell r="H569">
            <v>353.91</v>
          </cell>
          <cell r="I569">
            <v>353.91</v>
          </cell>
        </row>
        <row r="570">
          <cell r="C570" t="str">
            <v>17.01.01.12</v>
          </cell>
          <cell r="D570" t="str">
            <v>PM-10 - 0,88 x 1,8 m - porta de madeira, de abrir, 1 folha, com pintura esmalte acetinada cor branca, requadro de madeira em toda a voltap/ fixação, conforme projeto de detalhamento fl. 256-arq-pe-310-made-r00</v>
          </cell>
          <cell r="F570" t="str">
            <v xml:space="preserve">un </v>
          </cell>
          <cell r="G570">
            <v>2</v>
          </cell>
          <cell r="H570">
            <v>344.16</v>
          </cell>
          <cell r="I570">
            <v>688.32</v>
          </cell>
        </row>
        <row r="571">
          <cell r="C571">
            <v>260</v>
          </cell>
          <cell r="D571" t="str">
            <v>Dobradiça 3"x2 ½", mod. CR 1500</v>
          </cell>
          <cell r="F571" t="str">
            <v>un</v>
          </cell>
          <cell r="G571">
            <v>3</v>
          </cell>
          <cell r="H571">
            <v>2.63</v>
          </cell>
          <cell r="I571">
            <v>7.89</v>
          </cell>
        </row>
        <row r="572">
          <cell r="C572">
            <v>270</v>
          </cell>
          <cell r="D572" t="str">
            <v>Puxador para shaft</v>
          </cell>
          <cell r="F572" t="str">
            <v>un</v>
          </cell>
          <cell r="G572">
            <v>1</v>
          </cell>
          <cell r="H572">
            <v>8</v>
          </cell>
          <cell r="I572">
            <v>8</v>
          </cell>
        </row>
        <row r="573">
          <cell r="C573">
            <v>271</v>
          </cell>
          <cell r="D573" t="str">
            <v>MDO para instalação porta de shaft</v>
          </cell>
          <cell r="F573" t="str">
            <v>cj</v>
          </cell>
          <cell r="G573">
            <v>1</v>
          </cell>
          <cell r="H573">
            <v>40</v>
          </cell>
          <cell r="I573">
            <v>40</v>
          </cell>
        </row>
        <row r="574">
          <cell r="C574">
            <v>272</v>
          </cell>
          <cell r="D574" t="str">
            <v>Fechadura auxiliar La Fonte cromada 119 ou similar (shaft)</v>
          </cell>
          <cell r="F574" t="str">
            <v>un</v>
          </cell>
          <cell r="G574">
            <v>1</v>
          </cell>
          <cell r="H574">
            <v>17.850000000000001</v>
          </cell>
          <cell r="I574">
            <v>17.850000000000001</v>
          </cell>
        </row>
        <row r="575">
          <cell r="C575">
            <v>285</v>
          </cell>
          <cell r="D575" t="str">
            <v>PM-10 - 0,88 x 1,8 m - porta de madeira, de abrir, 1 folha, com pintura esmalte acetinada cor branca, requadro de madeira em toda a voltap/ fixação, conforme projeto de detalhamento fl. 256-arq-pe-310-made-r00</v>
          </cell>
          <cell r="F575" t="str">
            <v>un</v>
          </cell>
          <cell r="G575">
            <v>1</v>
          </cell>
          <cell r="H575">
            <v>270.42</v>
          </cell>
          <cell r="I575">
            <v>270.42</v>
          </cell>
        </row>
        <row r="576">
          <cell r="C576" t="str">
            <v>17.01.01.13</v>
          </cell>
          <cell r="D576" t="str">
            <v>PM-11 - 0,57 x 1,8 m - porta de madeira, de abrir, 1 folha, com pintura esmalte acetinada cor branca, requadro de madeira em toda a voltap/ fixação, conforme projeto de detalhamento fl. 256-arq-pe-311-made-r00</v>
          </cell>
          <cell r="F576" t="str">
            <v xml:space="preserve">un </v>
          </cell>
          <cell r="G576">
            <v>1</v>
          </cell>
          <cell r="H576">
            <v>301.88</v>
          </cell>
          <cell r="I576">
            <v>301.88</v>
          </cell>
        </row>
        <row r="577">
          <cell r="C577">
            <v>260</v>
          </cell>
          <cell r="D577" t="str">
            <v>Dobradiça 3"x2 ½", mod. CR 1500</v>
          </cell>
          <cell r="F577" t="str">
            <v>un</v>
          </cell>
          <cell r="G577">
            <v>3</v>
          </cell>
          <cell r="H577">
            <v>2.63</v>
          </cell>
          <cell r="I577">
            <v>7.89</v>
          </cell>
        </row>
        <row r="578">
          <cell r="C578">
            <v>270</v>
          </cell>
          <cell r="D578" t="str">
            <v>Puxador para shaft</v>
          </cell>
          <cell r="F578" t="str">
            <v>un</v>
          </cell>
          <cell r="G578">
            <v>1</v>
          </cell>
          <cell r="H578">
            <v>8</v>
          </cell>
          <cell r="I578">
            <v>8</v>
          </cell>
        </row>
        <row r="579">
          <cell r="C579">
            <v>271</v>
          </cell>
          <cell r="D579" t="str">
            <v>MDO para instalação porta de shaft</v>
          </cell>
          <cell r="F579" t="str">
            <v>cj</v>
          </cell>
          <cell r="G579">
            <v>1</v>
          </cell>
          <cell r="H579">
            <v>40</v>
          </cell>
          <cell r="I579">
            <v>40</v>
          </cell>
        </row>
        <row r="580">
          <cell r="C580">
            <v>272</v>
          </cell>
          <cell r="D580" t="str">
            <v>Fechadura auxiliar La Fonte cromada 119 ou similar (shaft)</v>
          </cell>
          <cell r="F580" t="str">
            <v>un</v>
          </cell>
          <cell r="G580">
            <v>1</v>
          </cell>
          <cell r="H580">
            <v>17.850000000000001</v>
          </cell>
          <cell r="I580">
            <v>17.850000000000001</v>
          </cell>
        </row>
        <row r="581">
          <cell r="C581">
            <v>286</v>
          </cell>
          <cell r="D581" t="str">
            <v>PM-11 - 0,57 x 1,8 m - porta de madeira, de abrir, 1 folha, com pintura esmalte acetinada cor branca, requadro de madeira em toda a voltap/ fixação, conforme projeto de detalhamento fl. 256-arq-pe-311-made-r00</v>
          </cell>
          <cell r="F581" t="str">
            <v>un</v>
          </cell>
          <cell r="G581">
            <v>1</v>
          </cell>
          <cell r="H581">
            <v>228.14</v>
          </cell>
          <cell r="I581">
            <v>228.14</v>
          </cell>
        </row>
        <row r="582">
          <cell r="C582" t="str">
            <v>17.01.01.14</v>
          </cell>
          <cell r="D582" t="str">
            <v>PM-12 - 0,88 x 1,8 m - porta de madeira, de abrir, 2 folhas, com pintura esmalte acetinada cor branca, requadro de madeira em toda a voltap/ fixação, conforme projeto de detalhamento fl. 256-arq-pe-312-made-r00</v>
          </cell>
          <cell r="F582" t="str">
            <v xml:space="preserve">un </v>
          </cell>
          <cell r="G582">
            <v>16</v>
          </cell>
          <cell r="H582">
            <v>442.56</v>
          </cell>
          <cell r="I582">
            <v>7080.96</v>
          </cell>
        </row>
        <row r="583">
          <cell r="C583">
            <v>260</v>
          </cell>
          <cell r="D583" t="str">
            <v>Dobradiça 3"x2 ½", mod. CR 1500</v>
          </cell>
          <cell r="F583" t="str">
            <v>un</v>
          </cell>
          <cell r="G583">
            <v>6</v>
          </cell>
          <cell r="H583">
            <v>2.63</v>
          </cell>
          <cell r="I583">
            <v>15.78</v>
          </cell>
        </row>
        <row r="584">
          <cell r="C584">
            <v>273</v>
          </cell>
          <cell r="D584" t="str">
            <v>Fecho, mod. 400 CRA 20cmx3/4" da La Fonte®</v>
          </cell>
          <cell r="F584" t="str">
            <v>un</v>
          </cell>
          <cell r="G584">
            <v>2</v>
          </cell>
          <cell r="H584">
            <v>25</v>
          </cell>
          <cell r="I584">
            <v>50</v>
          </cell>
        </row>
        <row r="585">
          <cell r="C585">
            <v>270</v>
          </cell>
          <cell r="D585" t="str">
            <v>Puxador para shaft</v>
          </cell>
          <cell r="F585" t="str">
            <v>un</v>
          </cell>
          <cell r="G585">
            <v>2</v>
          </cell>
          <cell r="H585">
            <v>8</v>
          </cell>
          <cell r="I585">
            <v>16</v>
          </cell>
        </row>
        <row r="586">
          <cell r="C586">
            <v>271</v>
          </cell>
          <cell r="D586" t="str">
            <v>MDO para instalação porta de shaft</v>
          </cell>
          <cell r="F586" t="str">
            <v>cj</v>
          </cell>
          <cell r="G586">
            <v>1</v>
          </cell>
          <cell r="H586">
            <v>40</v>
          </cell>
          <cell r="I586">
            <v>40</v>
          </cell>
        </row>
        <row r="587">
          <cell r="C587">
            <v>272</v>
          </cell>
          <cell r="D587" t="str">
            <v>Fechadura auxiliar La Fonte cromada 119 ou similar (shaft)</v>
          </cell>
          <cell r="F587" t="str">
            <v>un</v>
          </cell>
          <cell r="G587">
            <v>1</v>
          </cell>
          <cell r="H587">
            <v>17.850000000000001</v>
          </cell>
          <cell r="I587">
            <v>17.850000000000001</v>
          </cell>
        </row>
        <row r="588">
          <cell r="C588">
            <v>287</v>
          </cell>
          <cell r="D588" t="str">
            <v>PM-12 - 0,88 x 1,8 m - porta de madeira, de abrir, 2 folhas, com pintura esmalte acetinada cor branca, requadro de madeira em toda a voltap/ fixação, conforme projeto de detalhamento fl. 256-arq-pe-312-made-r00</v>
          </cell>
          <cell r="F588" t="str">
            <v>un</v>
          </cell>
          <cell r="G588">
            <v>1</v>
          </cell>
          <cell r="H588">
            <v>302.93</v>
          </cell>
          <cell r="I588">
            <v>302.93</v>
          </cell>
        </row>
        <row r="589">
          <cell r="C589" t="str">
            <v>17.01.01.15</v>
          </cell>
          <cell r="D589" t="str">
            <v>PM-13 - 0,4 x 1,8 m - porta de madeira, de abrir, 1 folha, com pintura esmalte acetinada cor branca, requadro de madeira em toda a voltap/ fixação, conforme projeto de detalhamento fl. 256-arq-pe-313-made-r00</v>
          </cell>
          <cell r="F589" t="str">
            <v xml:space="preserve">un </v>
          </cell>
          <cell r="G589">
            <v>19</v>
          </cell>
          <cell r="H589">
            <v>403.89</v>
          </cell>
          <cell r="I589">
            <v>7673.91</v>
          </cell>
        </row>
        <row r="590">
          <cell r="C590">
            <v>260</v>
          </cell>
          <cell r="D590" t="str">
            <v>Dobradiça 3"x2 ½", mod. CR 1500</v>
          </cell>
          <cell r="F590" t="str">
            <v>un</v>
          </cell>
          <cell r="G590">
            <v>3</v>
          </cell>
          <cell r="H590">
            <v>2.63</v>
          </cell>
          <cell r="I590">
            <v>7.89</v>
          </cell>
        </row>
        <row r="591">
          <cell r="C591">
            <v>270</v>
          </cell>
          <cell r="D591" t="str">
            <v>Puxador para shaft</v>
          </cell>
          <cell r="F591" t="str">
            <v>un</v>
          </cell>
          <cell r="G591">
            <v>1</v>
          </cell>
          <cell r="H591">
            <v>8</v>
          </cell>
          <cell r="I591">
            <v>8</v>
          </cell>
        </row>
        <row r="592">
          <cell r="C592">
            <v>271</v>
          </cell>
          <cell r="D592" t="str">
            <v>MDO para instalação porta de shaft</v>
          </cell>
          <cell r="F592" t="str">
            <v>cj</v>
          </cell>
          <cell r="G592">
            <v>1</v>
          </cell>
          <cell r="H592">
            <v>40</v>
          </cell>
          <cell r="I592">
            <v>40</v>
          </cell>
        </row>
        <row r="593">
          <cell r="C593">
            <v>272</v>
          </cell>
          <cell r="D593" t="str">
            <v>Fechadura auxiliar La Fonte cromada 119 ou similar (shaft)</v>
          </cell>
          <cell r="F593" t="str">
            <v>un</v>
          </cell>
          <cell r="G593">
            <v>1</v>
          </cell>
          <cell r="H593">
            <v>17.850000000000001</v>
          </cell>
          <cell r="I593">
            <v>17.850000000000001</v>
          </cell>
        </row>
        <row r="594">
          <cell r="C594">
            <v>288</v>
          </cell>
          <cell r="D594" t="str">
            <v>PM-13 - 0,4 x 1,8 m - porta de madeira, de abrir, 1 folha, com pintura esmalte acetinada cor branca, requadro de madeira em toda a voltap/ fixação, conforme projeto de detalhamento fl. 256-arq-pe-313-made-r00</v>
          </cell>
          <cell r="F594" t="str">
            <v>un</v>
          </cell>
          <cell r="G594">
            <v>1</v>
          </cell>
          <cell r="H594">
            <v>330.15</v>
          </cell>
          <cell r="I594">
            <v>330.15</v>
          </cell>
        </row>
        <row r="595">
          <cell r="C595" t="str">
            <v>17.01.01.16</v>
          </cell>
          <cell r="D595" t="str">
            <v>PM-14 - 1,28 x 1,8 m - porta de madeira, de abrir, 2 folhas, com pintura esmalte acetinada cor branca, requadro de madeira em toda a voltap/ fixação, conforme projeto de detalhamento fl. 256-arq-pe-314-made-r00</v>
          </cell>
          <cell r="F595" t="str">
            <v xml:space="preserve">un </v>
          </cell>
          <cell r="G595">
            <v>2</v>
          </cell>
          <cell r="H595">
            <v>496.24</v>
          </cell>
          <cell r="I595">
            <v>992.48</v>
          </cell>
        </row>
        <row r="596">
          <cell r="C596">
            <v>260</v>
          </cell>
          <cell r="D596" t="str">
            <v>Dobradiça 3"x2 ½", mod. CR 1500</v>
          </cell>
          <cell r="F596" t="str">
            <v>un</v>
          </cell>
          <cell r="G596">
            <v>6</v>
          </cell>
          <cell r="H596">
            <v>2.63</v>
          </cell>
          <cell r="I596">
            <v>15.78</v>
          </cell>
        </row>
        <row r="597">
          <cell r="C597">
            <v>273</v>
          </cell>
          <cell r="D597" t="str">
            <v>Fecho, mod. 400 CRA 20cmx3/4" da La Fonte®</v>
          </cell>
          <cell r="F597" t="str">
            <v>un</v>
          </cell>
          <cell r="G597">
            <v>2</v>
          </cell>
          <cell r="H597">
            <v>25</v>
          </cell>
          <cell r="I597">
            <v>50</v>
          </cell>
        </row>
        <row r="598">
          <cell r="C598">
            <v>270</v>
          </cell>
          <cell r="D598" t="str">
            <v>Puxador para shaft</v>
          </cell>
          <cell r="F598" t="str">
            <v>un</v>
          </cell>
          <cell r="G598">
            <v>2</v>
          </cell>
          <cell r="H598">
            <v>8</v>
          </cell>
          <cell r="I598">
            <v>16</v>
          </cell>
        </row>
        <row r="599">
          <cell r="C599">
            <v>271</v>
          </cell>
          <cell r="D599" t="str">
            <v>MDO para instalação porta de shaft</v>
          </cell>
          <cell r="F599" t="str">
            <v>cj</v>
          </cell>
          <cell r="G599">
            <v>1</v>
          </cell>
          <cell r="H599">
            <v>40</v>
          </cell>
          <cell r="I599">
            <v>40</v>
          </cell>
        </row>
        <row r="600">
          <cell r="C600">
            <v>272</v>
          </cell>
          <cell r="D600" t="str">
            <v>Fechadura auxiliar La Fonte cromada 119 ou similar (shaft)</v>
          </cell>
          <cell r="F600" t="str">
            <v>un</v>
          </cell>
          <cell r="G600">
            <v>1</v>
          </cell>
          <cell r="H600">
            <v>17.850000000000001</v>
          </cell>
          <cell r="I600">
            <v>17.850000000000001</v>
          </cell>
        </row>
        <row r="601">
          <cell r="C601">
            <v>289</v>
          </cell>
          <cell r="D601" t="str">
            <v>PM-14 - 1,28 x 1,8 m - porta de madeira, de abrir, 2 folhas, com pintura esmalte acetinada cor branca, requadro de madeira em toda a voltap/ fixação, conforme projeto de detalhamento fl. 256-arq-pe-314-made-r00</v>
          </cell>
          <cell r="F601" t="str">
            <v>un</v>
          </cell>
          <cell r="G601">
            <v>1</v>
          </cell>
          <cell r="H601">
            <v>356.61</v>
          </cell>
          <cell r="I601">
            <v>356.61</v>
          </cell>
        </row>
        <row r="602">
          <cell r="C602" t="str">
            <v>17.01.01.17</v>
          </cell>
          <cell r="D602" t="str">
            <v>PM-15 - 0,59 x 1,8 m - porta de madeira, de abrir, 1 folha, com pintura esmalte acetinada cor branca, requadro de madeira em toda a voltap/ fixação, conforme projeto de detalhamento fl. 256-arq-pe-315-made-r00</v>
          </cell>
          <cell r="F602" t="str">
            <v xml:space="preserve">un </v>
          </cell>
          <cell r="G602">
            <v>5</v>
          </cell>
          <cell r="H602">
            <v>305.39</v>
          </cell>
          <cell r="I602">
            <v>1526.95</v>
          </cell>
        </row>
        <row r="603">
          <cell r="C603">
            <v>260</v>
          </cell>
          <cell r="D603" t="str">
            <v>Dobradiça 3"x2 ½", mod. CR 1500</v>
          </cell>
          <cell r="F603" t="str">
            <v>un</v>
          </cell>
          <cell r="G603">
            <v>3</v>
          </cell>
          <cell r="H603">
            <v>2.63</v>
          </cell>
          <cell r="I603">
            <v>7.89</v>
          </cell>
        </row>
        <row r="604">
          <cell r="C604">
            <v>270</v>
          </cell>
          <cell r="D604" t="str">
            <v>Puxador para shaft</v>
          </cell>
          <cell r="F604" t="str">
            <v>un</v>
          </cell>
          <cell r="G604">
            <v>1</v>
          </cell>
          <cell r="H604">
            <v>8</v>
          </cell>
          <cell r="I604">
            <v>8</v>
          </cell>
        </row>
        <row r="605">
          <cell r="C605">
            <v>271</v>
          </cell>
          <cell r="D605" t="str">
            <v>MDO para instalação porta de shaft</v>
          </cell>
          <cell r="F605" t="str">
            <v>cj</v>
          </cell>
          <cell r="G605">
            <v>1</v>
          </cell>
          <cell r="H605">
            <v>40</v>
          </cell>
          <cell r="I605">
            <v>40</v>
          </cell>
        </row>
        <row r="606">
          <cell r="C606">
            <v>272</v>
          </cell>
          <cell r="D606" t="str">
            <v>Fechadura auxiliar La Fonte cromada 119 ou similar (shaft)</v>
          </cell>
          <cell r="F606" t="str">
            <v>un</v>
          </cell>
          <cell r="G606">
            <v>1</v>
          </cell>
          <cell r="H606">
            <v>17.850000000000001</v>
          </cell>
          <cell r="I606">
            <v>17.850000000000001</v>
          </cell>
        </row>
        <row r="607">
          <cell r="C607">
            <v>290</v>
          </cell>
          <cell r="D607" t="str">
            <v>PM-15 - 0,59 x 1,8 m - porta de madeira, de abrir, 1 folha, com pintura esmalte acetinada cor branca, requadro de madeira em toda a voltap/ fixação, conforme projeto de detalhamento fl. 256-arq-pe-315-made-r00</v>
          </cell>
          <cell r="F607" t="str">
            <v>un</v>
          </cell>
          <cell r="G607">
            <v>1</v>
          </cell>
          <cell r="H607">
            <v>231.65</v>
          </cell>
          <cell r="I607">
            <v>231.65</v>
          </cell>
        </row>
        <row r="608">
          <cell r="C608" t="str">
            <v>17.01.01.18</v>
          </cell>
          <cell r="D608" t="str">
            <v>PM-16 - 1,58 x 1,8 m - porta de madeira, de abrir, 2 folhas, com pintura esmalte acetinada cor branca, requadro de madeira em toda a voltap/ fixação, conforme projeto de detalhamento fl. 256-arq-pe-316-made-r00</v>
          </cell>
          <cell r="F608" t="str">
            <v xml:space="preserve">un </v>
          </cell>
          <cell r="G608">
            <v>2</v>
          </cell>
          <cell r="H608">
            <v>537.17000000000007</v>
          </cell>
          <cell r="I608">
            <v>1074.3399999999999</v>
          </cell>
        </row>
        <row r="609">
          <cell r="C609">
            <v>280</v>
          </cell>
          <cell r="D609" t="str">
            <v>Dobradiça 3½"x3", mod. 485 CRA da La Fonte®</v>
          </cell>
          <cell r="F609" t="str">
            <v>un</v>
          </cell>
          <cell r="G609">
            <v>6</v>
          </cell>
          <cell r="H609">
            <v>2.63</v>
          </cell>
          <cell r="I609">
            <v>15.78</v>
          </cell>
        </row>
        <row r="610">
          <cell r="C610">
            <v>270</v>
          </cell>
          <cell r="D610" t="str">
            <v>Puxador para shaft</v>
          </cell>
          <cell r="F610" t="str">
            <v>un</v>
          </cell>
          <cell r="G610">
            <v>2</v>
          </cell>
          <cell r="H610">
            <v>8</v>
          </cell>
          <cell r="I610">
            <v>16</v>
          </cell>
        </row>
        <row r="611">
          <cell r="C611">
            <v>273</v>
          </cell>
          <cell r="D611" t="str">
            <v>Fecho, mod. 400 CRA 20cmx3/4" da La Fonte®</v>
          </cell>
          <cell r="F611" t="str">
            <v>un</v>
          </cell>
          <cell r="G611">
            <v>2</v>
          </cell>
          <cell r="H611">
            <v>25</v>
          </cell>
          <cell r="I611">
            <v>50</v>
          </cell>
        </row>
        <row r="612">
          <cell r="C612">
            <v>271</v>
          </cell>
          <cell r="D612" t="str">
            <v>MDO para instalação porta de shaft</v>
          </cell>
          <cell r="F612" t="str">
            <v>cj</v>
          </cell>
          <cell r="G612">
            <v>1</v>
          </cell>
          <cell r="H612">
            <v>40</v>
          </cell>
          <cell r="I612">
            <v>40</v>
          </cell>
        </row>
        <row r="613">
          <cell r="C613">
            <v>272</v>
          </cell>
          <cell r="D613" t="str">
            <v>Fechadura auxiliar La Fonte cromada 119 ou similar (shaft)</v>
          </cell>
          <cell r="F613" t="str">
            <v>un</v>
          </cell>
          <cell r="G613">
            <v>1</v>
          </cell>
          <cell r="H613">
            <v>17.850000000000001</v>
          </cell>
          <cell r="I613">
            <v>17.850000000000001</v>
          </cell>
        </row>
        <row r="614">
          <cell r="C614">
            <v>291</v>
          </cell>
          <cell r="D614" t="str">
            <v>PM-16 - 1,58 x 1,8 m - porta de madeira, de abrir, 2 folhas, com pintura esmalte acetinada cor branca, requadro de madeira em toda a voltap/ fixação, conforme projeto de detalhamento fl. 256-arq-pe-316-made-r00</v>
          </cell>
          <cell r="F614" t="str">
            <v>un</v>
          </cell>
          <cell r="G614">
            <v>1</v>
          </cell>
          <cell r="H614">
            <v>397.54</v>
          </cell>
          <cell r="I614">
            <v>397.54</v>
          </cell>
        </row>
        <row r="615">
          <cell r="C615" t="str">
            <v>17.01.01.19</v>
          </cell>
          <cell r="D615" t="str">
            <v>PM-17 - 0,96 x 1,8 m - porta de madeira, de abrir, 2 folhas, com pintura esmalte acetinada cor branca, requadro de madeira em toda a voltap/ fixação, conforme projeto de detalhamento fl. 256-arq-pe-317-made-r00</v>
          </cell>
          <cell r="F615" t="str">
            <v xml:space="preserve">un </v>
          </cell>
          <cell r="G615">
            <v>1</v>
          </cell>
          <cell r="H615">
            <v>453.36</v>
          </cell>
          <cell r="I615">
            <v>453.36</v>
          </cell>
        </row>
        <row r="616">
          <cell r="C616">
            <v>280</v>
          </cell>
          <cell r="D616" t="str">
            <v>Dobradiça 3½"x3", mod. 485 CRA da La Fonte®</v>
          </cell>
          <cell r="F616" t="str">
            <v>un</v>
          </cell>
          <cell r="G616">
            <v>6</v>
          </cell>
          <cell r="H616">
            <v>2.63</v>
          </cell>
          <cell r="I616">
            <v>15.78</v>
          </cell>
        </row>
        <row r="617">
          <cell r="C617">
            <v>273</v>
          </cell>
          <cell r="D617" t="str">
            <v>Fecho, mod. 400 CRA 20cmx3/4" da La Fonte®</v>
          </cell>
          <cell r="F617" t="str">
            <v>un</v>
          </cell>
          <cell r="G617">
            <v>2</v>
          </cell>
          <cell r="H617">
            <v>25</v>
          </cell>
          <cell r="I617">
            <v>50</v>
          </cell>
        </row>
        <row r="618">
          <cell r="C618">
            <v>270</v>
          </cell>
          <cell r="D618" t="str">
            <v>Puxador para shaft</v>
          </cell>
          <cell r="F618" t="str">
            <v>un</v>
          </cell>
          <cell r="G618">
            <v>2</v>
          </cell>
          <cell r="H618">
            <v>8</v>
          </cell>
          <cell r="I618">
            <v>16</v>
          </cell>
        </row>
        <row r="619">
          <cell r="C619">
            <v>271</v>
          </cell>
          <cell r="D619" t="str">
            <v>MDO para instalação porta de shaft</v>
          </cell>
          <cell r="F619" t="str">
            <v>cj</v>
          </cell>
          <cell r="G619">
            <v>1</v>
          </cell>
          <cell r="H619">
            <v>40</v>
          </cell>
          <cell r="I619">
            <v>40</v>
          </cell>
        </row>
        <row r="620">
          <cell r="C620">
            <v>272</v>
          </cell>
          <cell r="D620" t="str">
            <v>Fechadura auxiliar La Fonte cromada 119 ou similar (shaft)</v>
          </cell>
          <cell r="F620" t="str">
            <v>un</v>
          </cell>
          <cell r="G620">
            <v>1</v>
          </cell>
          <cell r="H620">
            <v>17.850000000000001</v>
          </cell>
          <cell r="I620">
            <v>17.850000000000001</v>
          </cell>
        </row>
        <row r="621">
          <cell r="C621">
            <v>292</v>
          </cell>
          <cell r="D621" t="str">
            <v>PM-17 - 0,96 x 1,8 m - porta de madeira, de abrir, 2 folhas, com pintura esmalte acetinada cor branca, requadro de madeira em toda a voltap/ fixação, conforme projeto de detalhamento fl. 256-arq-pe-317-made-r00</v>
          </cell>
          <cell r="F621" t="str">
            <v>un</v>
          </cell>
          <cell r="G621">
            <v>1</v>
          </cell>
          <cell r="H621">
            <v>313.73</v>
          </cell>
          <cell r="I621">
            <v>313.73</v>
          </cell>
        </row>
        <row r="622">
          <cell r="C622" t="str">
            <v>17.01.01.20</v>
          </cell>
          <cell r="D622" t="str">
            <v>PM-18 - 1,23 x 1,8 m - porta de madeira, de abrir, 2 folhas, com pintura esmalte acetinada cor branca, requadro de madeira em toda a voltap/ fixação, conforme projeto de detalhamento fl. 256-arq-pe-318-made-r00</v>
          </cell>
          <cell r="F622" t="str">
            <v xml:space="preserve">un </v>
          </cell>
          <cell r="G622">
            <v>1</v>
          </cell>
          <cell r="H622">
            <v>490.08</v>
          </cell>
          <cell r="I622">
            <v>490.08</v>
          </cell>
        </row>
        <row r="623">
          <cell r="C623">
            <v>280</v>
          </cell>
          <cell r="D623" t="str">
            <v>Dobradiça 3½"x3", mod. 485 CRA da La Fonte®</v>
          </cell>
          <cell r="F623" t="str">
            <v>un</v>
          </cell>
          <cell r="G623">
            <v>6</v>
          </cell>
          <cell r="H623">
            <v>2.63</v>
          </cell>
          <cell r="I623">
            <v>15.78</v>
          </cell>
        </row>
        <row r="624">
          <cell r="C624">
            <v>273</v>
          </cell>
          <cell r="D624" t="str">
            <v>Fecho, mod. 400 CRA 20cmx3/4" da La Fonte®</v>
          </cell>
          <cell r="F624" t="str">
            <v>un</v>
          </cell>
          <cell r="G624">
            <v>2</v>
          </cell>
          <cell r="H624">
            <v>25</v>
          </cell>
          <cell r="I624">
            <v>50</v>
          </cell>
        </row>
        <row r="625">
          <cell r="C625">
            <v>270</v>
          </cell>
          <cell r="D625" t="str">
            <v>Puxador para shaft</v>
          </cell>
          <cell r="F625" t="str">
            <v>un</v>
          </cell>
          <cell r="G625">
            <v>2</v>
          </cell>
          <cell r="H625">
            <v>8</v>
          </cell>
          <cell r="I625">
            <v>16</v>
          </cell>
        </row>
        <row r="626">
          <cell r="C626">
            <v>271</v>
          </cell>
          <cell r="D626" t="str">
            <v>MDO para instalação porta de shaft</v>
          </cell>
          <cell r="F626" t="str">
            <v>cj</v>
          </cell>
          <cell r="G626">
            <v>1</v>
          </cell>
          <cell r="H626">
            <v>40</v>
          </cell>
          <cell r="I626">
            <v>40</v>
          </cell>
        </row>
        <row r="627">
          <cell r="C627">
            <v>272</v>
          </cell>
          <cell r="D627" t="str">
            <v>Fechadura auxiliar La Fonte cromada 119 ou similar (shaft)</v>
          </cell>
          <cell r="F627" t="str">
            <v>un</v>
          </cell>
          <cell r="G627">
            <v>1</v>
          </cell>
          <cell r="H627">
            <v>17.850000000000001</v>
          </cell>
          <cell r="I627">
            <v>17.850000000000001</v>
          </cell>
        </row>
        <row r="628">
          <cell r="C628">
            <v>293</v>
          </cell>
          <cell r="D628" t="str">
            <v>PM-18 - 1,23 x 1,8 m - porta de madeira, de abrir, 2 folhas, com pintura esmalte acetinada cor branca, requadro de madeira em toda a voltap/ fixação, conforme projeto de detalhamento fl. 256-arq-pe-318-made-r00</v>
          </cell>
          <cell r="F628" t="str">
            <v>un</v>
          </cell>
          <cell r="G628">
            <v>1</v>
          </cell>
          <cell r="H628">
            <v>350.45</v>
          </cell>
          <cell r="I628">
            <v>350.45</v>
          </cell>
        </row>
        <row r="629">
          <cell r="C629" t="str">
            <v>17.01.01.21</v>
          </cell>
          <cell r="D629" t="str">
            <v>PM-19 - 1,88 x 1,8 m - porta de madeira, de abrir, 4 folhas, com pintura esmalte acetinada cor branca, requadro de madeira em toda a voltap/ fixação, conforme projeto de detalhamento fl. 256-arq-pe-319-made-r00</v>
          </cell>
          <cell r="F629" t="str">
            <v xml:space="preserve">un </v>
          </cell>
          <cell r="G629">
            <v>1</v>
          </cell>
          <cell r="H629">
            <v>848.8</v>
          </cell>
          <cell r="I629">
            <v>848.8</v>
          </cell>
        </row>
        <row r="630">
          <cell r="C630">
            <v>260</v>
          </cell>
          <cell r="D630" t="str">
            <v>Dobradiça 3"x2 ½", mod. CR 1500</v>
          </cell>
          <cell r="F630" t="str">
            <v>un</v>
          </cell>
          <cell r="G630">
            <v>12</v>
          </cell>
          <cell r="H630">
            <v>2.63</v>
          </cell>
          <cell r="I630">
            <v>31.56</v>
          </cell>
        </row>
        <row r="631">
          <cell r="C631">
            <v>270</v>
          </cell>
          <cell r="D631" t="str">
            <v>Puxador para shaft</v>
          </cell>
          <cell r="F631" t="str">
            <v>un</v>
          </cell>
          <cell r="G631">
            <v>4</v>
          </cell>
          <cell r="H631">
            <v>8</v>
          </cell>
          <cell r="I631">
            <v>32</v>
          </cell>
        </row>
        <row r="632">
          <cell r="C632">
            <v>273</v>
          </cell>
          <cell r="D632" t="str">
            <v>Fecho, mod. 400 CRA 20cmx3/4" da La Fonte®</v>
          </cell>
          <cell r="F632" t="str">
            <v>un</v>
          </cell>
          <cell r="G632">
            <v>4</v>
          </cell>
          <cell r="H632">
            <v>25</v>
          </cell>
          <cell r="I632">
            <v>100</v>
          </cell>
        </row>
        <row r="633">
          <cell r="C633">
            <v>271</v>
          </cell>
          <cell r="D633" t="str">
            <v>MDO para instalação porta de shaft</v>
          </cell>
          <cell r="F633" t="str">
            <v>cj</v>
          </cell>
          <cell r="G633">
            <v>1</v>
          </cell>
          <cell r="H633">
            <v>40</v>
          </cell>
          <cell r="I633">
            <v>40</v>
          </cell>
        </row>
        <row r="634">
          <cell r="C634">
            <v>272</v>
          </cell>
          <cell r="D634" t="str">
            <v>Fechadura auxiliar La Fonte cromada 119 ou similar (shaft)</v>
          </cell>
          <cell r="F634" t="str">
            <v>un</v>
          </cell>
          <cell r="G634">
            <v>2</v>
          </cell>
          <cell r="H634">
            <v>17.850000000000001</v>
          </cell>
          <cell r="I634">
            <v>35.700000000000003</v>
          </cell>
        </row>
        <row r="635">
          <cell r="C635">
            <v>294</v>
          </cell>
          <cell r="D635" t="str">
            <v>PM-19 - 1,88 x 1,8 m - porta de madeira, de abrir, 4 folhas, com pintura esmalte acetinada cor branca, requadro de madeira em toda a voltap/ fixação, conforme projeto de detalhamento fl. 256-arq-pe-319-made-r00</v>
          </cell>
          <cell r="F635" t="str">
            <v>un</v>
          </cell>
          <cell r="G635">
            <v>1</v>
          </cell>
          <cell r="H635">
            <v>609.54</v>
          </cell>
          <cell r="I635">
            <v>609.54</v>
          </cell>
        </row>
        <row r="636">
          <cell r="C636" t="str">
            <v>17.01.01.22</v>
          </cell>
          <cell r="D636" t="str">
            <v>PM-20 - 3,23 x 1,8 m - porta de madeira, de abrir, 4 folhas, com pintura esmalte acetinada cor branca, requadro de madeira em toda a voltap/ fixação, conforme projeto de detalhamento fl. 256-arq-pe-319-made-r01</v>
          </cell>
          <cell r="F636" t="str">
            <v xml:space="preserve">un </v>
          </cell>
          <cell r="G636">
            <v>1</v>
          </cell>
          <cell r="H636">
            <v>1169.26</v>
          </cell>
          <cell r="I636">
            <v>1169.26</v>
          </cell>
        </row>
        <row r="637">
          <cell r="C637">
            <v>280</v>
          </cell>
          <cell r="D637" t="str">
            <v>Dobradiça 3½"x3", mod. 485 CRA da La Fonte®</v>
          </cell>
          <cell r="F637" t="str">
            <v>un</v>
          </cell>
          <cell r="G637">
            <v>12</v>
          </cell>
          <cell r="H637">
            <v>2.63</v>
          </cell>
          <cell r="I637">
            <v>31.56</v>
          </cell>
        </row>
        <row r="638">
          <cell r="C638">
            <v>273</v>
          </cell>
          <cell r="D638" t="str">
            <v>Fecho, mod. 400 CRA 20cmx3/4" da La Fonte®</v>
          </cell>
          <cell r="F638" t="str">
            <v>un</v>
          </cell>
          <cell r="G638">
            <v>4</v>
          </cell>
          <cell r="H638">
            <v>25</v>
          </cell>
          <cell r="I638">
            <v>100</v>
          </cell>
        </row>
        <row r="639">
          <cell r="C639">
            <v>270</v>
          </cell>
          <cell r="D639" t="str">
            <v>Puxador para shaft</v>
          </cell>
          <cell r="F639" t="str">
            <v>un</v>
          </cell>
          <cell r="G639">
            <v>4</v>
          </cell>
          <cell r="H639">
            <v>8</v>
          </cell>
          <cell r="I639">
            <v>32</v>
          </cell>
        </row>
        <row r="640">
          <cell r="C640">
            <v>271</v>
          </cell>
          <cell r="D640" t="str">
            <v>MDO para instalação porta de shaft</v>
          </cell>
          <cell r="F640" t="str">
            <v>cj</v>
          </cell>
          <cell r="G640">
            <v>1</v>
          </cell>
          <cell r="H640">
            <v>40</v>
          </cell>
          <cell r="I640">
            <v>40</v>
          </cell>
        </row>
        <row r="641">
          <cell r="C641">
            <v>272</v>
          </cell>
          <cell r="D641" t="str">
            <v>Fechadura auxiliar La Fonte cromada 119 ou similar (shaft)</v>
          </cell>
          <cell r="F641" t="str">
            <v>un</v>
          </cell>
          <cell r="G641">
            <v>2</v>
          </cell>
          <cell r="H641">
            <v>17.850000000000001</v>
          </cell>
          <cell r="I641">
            <v>35.700000000000003</v>
          </cell>
        </row>
        <row r="642">
          <cell r="C642">
            <v>295</v>
          </cell>
          <cell r="D642" t="str">
            <v>PM-20 - 3,23 x 1,8 m - porta de madeira, de abrir, 4 folhas, com pintura esmalte acetinada cor branca, requadro de madeira em toda a voltap/ fixação, conforme projeto de detalhamento fl. 256-arq-pe-319-made-r01</v>
          </cell>
          <cell r="F642" t="str">
            <v>un</v>
          </cell>
          <cell r="G642">
            <v>1</v>
          </cell>
          <cell r="H642">
            <v>930</v>
          </cell>
          <cell r="I642">
            <v>930</v>
          </cell>
        </row>
        <row r="643">
          <cell r="C643" t="str">
            <v>17.01.01.23</v>
          </cell>
          <cell r="D643" t="str">
            <v>PM-21 - 1,58 x 1,8 m - porta de madeira, de abrir, 1 folha, com pintura esmalte acetinada cor branca, requadro de madeira em toda a voltap/ fixação, conforme projeto de detalhamento fl. 256-arq-pe-310-made-r00</v>
          </cell>
          <cell r="F643" t="str">
            <v xml:space="preserve">un </v>
          </cell>
          <cell r="G643">
            <v>1</v>
          </cell>
          <cell r="H643">
            <v>762.86</v>
          </cell>
          <cell r="I643">
            <v>762.86</v>
          </cell>
        </row>
        <row r="644">
          <cell r="C644">
            <v>260</v>
          </cell>
          <cell r="D644" t="str">
            <v>Dobradiça 3"x2 ½", mod. CR 1500</v>
          </cell>
          <cell r="F644" t="str">
            <v>un</v>
          </cell>
          <cell r="G644">
            <v>3</v>
          </cell>
          <cell r="H644">
            <v>2.63</v>
          </cell>
          <cell r="I644">
            <v>7.89</v>
          </cell>
        </row>
        <row r="645">
          <cell r="C645">
            <v>273</v>
          </cell>
          <cell r="D645" t="str">
            <v>Fecho, mod. 400 CRA 20cmx3/4" da La Fonte®</v>
          </cell>
          <cell r="F645" t="str">
            <v>un</v>
          </cell>
          <cell r="G645">
            <v>4</v>
          </cell>
          <cell r="H645">
            <v>25</v>
          </cell>
          <cell r="I645">
            <v>100</v>
          </cell>
        </row>
        <row r="646">
          <cell r="C646">
            <v>270</v>
          </cell>
          <cell r="D646" t="str">
            <v>Puxador para shaft</v>
          </cell>
          <cell r="F646" t="str">
            <v>un</v>
          </cell>
          <cell r="G646">
            <v>4</v>
          </cell>
          <cell r="H646">
            <v>8</v>
          </cell>
          <cell r="I646">
            <v>32</v>
          </cell>
        </row>
        <row r="647">
          <cell r="C647">
            <v>271</v>
          </cell>
          <cell r="D647" t="str">
            <v>MDO para instalação porta de shaft</v>
          </cell>
          <cell r="F647" t="str">
            <v>cj</v>
          </cell>
          <cell r="G647">
            <v>1</v>
          </cell>
          <cell r="H647">
            <v>40</v>
          </cell>
          <cell r="I647">
            <v>40</v>
          </cell>
        </row>
        <row r="648">
          <cell r="C648">
            <v>272</v>
          </cell>
          <cell r="D648" t="str">
            <v>Fechadura auxiliar La Fonte cromada 119 ou similar (shaft)</v>
          </cell>
          <cell r="F648" t="str">
            <v>un</v>
          </cell>
          <cell r="G648">
            <v>1</v>
          </cell>
          <cell r="H648">
            <v>17.850000000000001</v>
          </cell>
          <cell r="I648">
            <v>17.850000000000001</v>
          </cell>
        </row>
        <row r="649">
          <cell r="C649">
            <v>296</v>
          </cell>
          <cell r="D649" t="str">
            <v>PM-21 - 1,58 x 1,8 m - porta de madeira, de abrir, 1 folha, com pintura esmalte acetinada cor branca, requadro de madeira em toda a voltap/ fixação, conforme projeto de detalhamento fl. 256-arq-pe-310-made-r00</v>
          </cell>
          <cell r="F649" t="str">
            <v>un</v>
          </cell>
          <cell r="G649">
            <v>1</v>
          </cell>
          <cell r="H649">
            <v>565.12</v>
          </cell>
          <cell r="I649">
            <v>565.12</v>
          </cell>
        </row>
        <row r="650">
          <cell r="C650" t="str">
            <v>19.01.01.01</v>
          </cell>
          <cell r="D650" t="str">
            <v>Vidro laminado 6mm incolor</v>
          </cell>
          <cell r="F650" t="str">
            <v xml:space="preserve">m2 </v>
          </cell>
          <cell r="G650">
            <v>510</v>
          </cell>
          <cell r="H650">
            <v>106.92</v>
          </cell>
          <cell r="I650">
            <v>54529.2</v>
          </cell>
        </row>
        <row r="651">
          <cell r="C651">
            <v>297</v>
          </cell>
          <cell r="D651" t="str">
            <v>Vidro laminado 6mm incolor</v>
          </cell>
          <cell r="F651" t="str">
            <v>m2</v>
          </cell>
          <cell r="G651">
            <v>1.1000000000000001</v>
          </cell>
          <cell r="H651">
            <v>97.2</v>
          </cell>
          <cell r="I651">
            <v>106.92</v>
          </cell>
        </row>
        <row r="652">
          <cell r="C652" t="str">
            <v>19.01.04.01</v>
          </cell>
          <cell r="D652" t="str">
            <v>Vidro comum 6mm</v>
          </cell>
          <cell r="F652" t="str">
            <v xml:space="preserve">m2 </v>
          </cell>
          <cell r="G652">
            <v>3354</v>
          </cell>
          <cell r="H652">
            <v>35.045999999999999</v>
          </cell>
          <cell r="I652">
            <v>117544.28</v>
          </cell>
        </row>
        <row r="653">
          <cell r="C653">
            <v>299</v>
          </cell>
          <cell r="D653" t="str">
            <v>Vidro comum 6mm</v>
          </cell>
          <cell r="F653" t="str">
            <v>m2</v>
          </cell>
          <cell r="G653">
            <v>1.1000000000000001</v>
          </cell>
          <cell r="H653">
            <v>31.86</v>
          </cell>
          <cell r="I653">
            <v>35.045999999999999</v>
          </cell>
        </row>
        <row r="654">
          <cell r="C654" t="str">
            <v>19.01.04.02</v>
          </cell>
          <cell r="D654" t="str">
            <v>Vidro comum pontilhado 4mm</v>
          </cell>
          <cell r="F654" t="str">
            <v xml:space="preserve">m2 </v>
          </cell>
          <cell r="G654">
            <v>45</v>
          </cell>
          <cell r="H654">
            <v>23.143999999999998</v>
          </cell>
          <cell r="I654">
            <v>1041.48</v>
          </cell>
        </row>
        <row r="655">
          <cell r="C655">
            <v>300</v>
          </cell>
          <cell r="D655" t="str">
            <v>Vidro pontilhado 4 mm</v>
          </cell>
          <cell r="F655" t="str">
            <v>m2</v>
          </cell>
          <cell r="G655">
            <v>1.1000000000000001</v>
          </cell>
          <cell r="H655">
            <v>21.04</v>
          </cell>
          <cell r="I655">
            <v>23.143999999999998</v>
          </cell>
        </row>
        <row r="656">
          <cell r="C656" t="str">
            <v>20.01.01.01</v>
          </cell>
          <cell r="D656" t="str">
            <v>Cobertura em telha metálica</v>
          </cell>
          <cell r="F656" t="str">
            <v xml:space="preserve">m2 </v>
          </cell>
          <cell r="G656">
            <v>137</v>
          </cell>
          <cell r="H656">
            <v>157.91</v>
          </cell>
          <cell r="I656">
            <v>21633.67</v>
          </cell>
        </row>
        <row r="657">
          <cell r="C657">
            <v>302</v>
          </cell>
          <cell r="D657" t="str">
            <v>Cobertura em telha metálica, inclusive estrutura metálica</v>
          </cell>
          <cell r="F657" t="str">
            <v>m2</v>
          </cell>
          <cell r="G657">
            <v>1</v>
          </cell>
          <cell r="H657">
            <v>157.91</v>
          </cell>
          <cell r="I657">
            <v>157.91</v>
          </cell>
        </row>
        <row r="658">
          <cell r="C658" t="str">
            <v>20.03.01.01</v>
          </cell>
          <cell r="D658" t="str">
            <v>Calha em chapa galvanizada</v>
          </cell>
          <cell r="F658" t="str">
            <v xml:space="preserve">m </v>
          </cell>
          <cell r="G658">
            <v>20</v>
          </cell>
          <cell r="H658">
            <v>45.16</v>
          </cell>
          <cell r="I658">
            <v>903.2</v>
          </cell>
        </row>
        <row r="659">
          <cell r="C659">
            <v>303</v>
          </cell>
          <cell r="D659" t="str">
            <v>Calha em chapa galvanizada com 300mm</v>
          </cell>
          <cell r="F659" t="str">
            <v>m</v>
          </cell>
          <cell r="G659">
            <v>1</v>
          </cell>
          <cell r="H659">
            <v>45.16</v>
          </cell>
          <cell r="I659">
            <v>45.16</v>
          </cell>
        </row>
        <row r="660">
          <cell r="C660" t="str">
            <v>20.03.02.01</v>
          </cell>
          <cell r="D660" t="str">
            <v>Rufo em chapa galvanizada</v>
          </cell>
          <cell r="F660" t="str">
            <v xml:space="preserve">m </v>
          </cell>
          <cell r="G660">
            <v>69</v>
          </cell>
          <cell r="H660">
            <v>30</v>
          </cell>
          <cell r="I660">
            <v>2070</v>
          </cell>
        </row>
        <row r="661">
          <cell r="C661">
            <v>304</v>
          </cell>
          <cell r="D661" t="str">
            <v>Rufo em chapa galvanizada</v>
          </cell>
          <cell r="F661" t="str">
            <v>m</v>
          </cell>
          <cell r="G661">
            <v>1</v>
          </cell>
          <cell r="H661">
            <v>30</v>
          </cell>
          <cell r="I661">
            <v>30</v>
          </cell>
        </row>
        <row r="662">
          <cell r="C662" t="str">
            <v>21.01.01.01</v>
          </cell>
          <cell r="D662" t="str">
            <v>Regularização de superfícies</v>
          </cell>
          <cell r="F662" t="str">
            <v xml:space="preserve">m2 </v>
          </cell>
          <cell r="G662">
            <v>8627</v>
          </cell>
          <cell r="H662">
            <v>16.464879999999997</v>
          </cell>
          <cell r="I662">
            <v>142042.51999999999</v>
          </cell>
        </row>
        <row r="663">
          <cell r="C663" t="str">
            <v>555A</v>
          </cell>
          <cell r="D663" t="str">
            <v>Cimento Portland Composto CPII-E32 (saco 50kg)</v>
          </cell>
          <cell r="F663" t="str">
            <v>sc</v>
          </cell>
          <cell r="G663">
            <v>0.58320000000000005</v>
          </cell>
          <cell r="H663">
            <v>13.4</v>
          </cell>
          <cell r="I663">
            <v>7.8148799999999996</v>
          </cell>
        </row>
        <row r="664">
          <cell r="C664">
            <v>305</v>
          </cell>
          <cell r="D664" t="str">
            <v>MDO para regularização de superfícies para receber impermeabilização</v>
          </cell>
          <cell r="F664" t="str">
            <v>m2</v>
          </cell>
          <cell r="G664">
            <v>1</v>
          </cell>
          <cell r="H664">
            <v>5</v>
          </cell>
          <cell r="I664">
            <v>5</v>
          </cell>
        </row>
        <row r="665">
          <cell r="C665">
            <v>84</v>
          </cell>
          <cell r="D665" t="str">
            <v>Areia</v>
          </cell>
          <cell r="F665" t="str">
            <v>m3</v>
          </cell>
          <cell r="G665">
            <v>7.2999999999999995E-2</v>
          </cell>
          <cell r="H665">
            <v>50</v>
          </cell>
          <cell r="I665">
            <v>3.65</v>
          </cell>
        </row>
        <row r="666">
          <cell r="C666" t="str">
            <v>21.01.01.02</v>
          </cell>
          <cell r="D666" t="str">
            <v>Proteção mecânica primária sobre superfícies impermeabilizadas</v>
          </cell>
          <cell r="F666" t="str">
            <v xml:space="preserve">m2 </v>
          </cell>
          <cell r="G666">
            <v>8785</v>
          </cell>
          <cell r="H666">
            <v>10.717319999999999</v>
          </cell>
          <cell r="I666">
            <v>94151.66</v>
          </cell>
        </row>
        <row r="667">
          <cell r="C667" t="str">
            <v>555A</v>
          </cell>
          <cell r="D667" t="str">
            <v>Cimento Portland Composto CPII-E32 (saco 50kg)</v>
          </cell>
          <cell r="F667" t="str">
            <v>sc</v>
          </cell>
          <cell r="G667">
            <v>0.12479999999999999</v>
          </cell>
          <cell r="H667">
            <v>13.4</v>
          </cell>
          <cell r="I667">
            <v>1.67232</v>
          </cell>
        </row>
        <row r="668">
          <cell r="C668">
            <v>306</v>
          </cell>
          <cell r="D668" t="str">
            <v>MDO para execução de proteção mecânica sobre superfícies impermeabilizadas</v>
          </cell>
          <cell r="F668" t="str">
            <v>m2</v>
          </cell>
          <cell r="G668">
            <v>1</v>
          </cell>
          <cell r="H668">
            <v>7.22</v>
          </cell>
          <cell r="I668">
            <v>7.22</v>
          </cell>
        </row>
        <row r="669">
          <cell r="C669">
            <v>84</v>
          </cell>
          <cell r="D669" t="str">
            <v>Areia</v>
          </cell>
          <cell r="F669" t="str">
            <v>m3</v>
          </cell>
          <cell r="G669">
            <v>3.6499999999999998E-2</v>
          </cell>
          <cell r="H669">
            <v>50</v>
          </cell>
          <cell r="I669">
            <v>1.825</v>
          </cell>
        </row>
        <row r="670">
          <cell r="C670" t="str">
            <v>21.01.01.04</v>
          </cell>
          <cell r="D670" t="str">
            <v>Impermeabilização de áreas frias</v>
          </cell>
          <cell r="F670" t="str">
            <v xml:space="preserve">m2 </v>
          </cell>
          <cell r="G670">
            <v>2099</v>
          </cell>
          <cell r="H670">
            <v>11.7</v>
          </cell>
          <cell r="I670">
            <v>24558.3</v>
          </cell>
        </row>
        <row r="671">
          <cell r="C671">
            <v>313</v>
          </cell>
          <cell r="D671" t="str">
            <v>Cimento polimérico 2 demãos</v>
          </cell>
          <cell r="F671" t="str">
            <v>m2</v>
          </cell>
          <cell r="G671">
            <v>1</v>
          </cell>
          <cell r="H671">
            <v>11.7</v>
          </cell>
          <cell r="I671">
            <v>11.7</v>
          </cell>
        </row>
        <row r="672">
          <cell r="C672" t="str">
            <v>21.01.01.05</v>
          </cell>
          <cell r="D672" t="str">
            <v>Impermeabilização de lajes de cobertura</v>
          </cell>
          <cell r="F672" t="str">
            <v xml:space="preserve">m2 </v>
          </cell>
          <cell r="G672">
            <v>456.5</v>
          </cell>
          <cell r="H672">
            <v>29.8</v>
          </cell>
          <cell r="I672">
            <v>13603.7</v>
          </cell>
        </row>
        <row r="673">
          <cell r="C673">
            <v>309</v>
          </cell>
          <cell r="D673" t="str">
            <v>Manta asfáltica 4mm tipo III PL/EL</v>
          </cell>
          <cell r="F673" t="str">
            <v>m2</v>
          </cell>
          <cell r="G673">
            <v>1</v>
          </cell>
          <cell r="H673">
            <v>29.8</v>
          </cell>
          <cell r="I673">
            <v>29.8</v>
          </cell>
        </row>
        <row r="674">
          <cell r="C674" t="str">
            <v>21.01.01.06</v>
          </cell>
          <cell r="D674" t="str">
            <v>Impermeabilização de jardineiras</v>
          </cell>
          <cell r="F674" t="str">
            <v xml:space="preserve">m2 </v>
          </cell>
          <cell r="G674">
            <v>1032.5</v>
          </cell>
          <cell r="H674">
            <v>53.4</v>
          </cell>
          <cell r="I674">
            <v>55135.5</v>
          </cell>
        </row>
        <row r="675">
          <cell r="C675">
            <v>311</v>
          </cell>
          <cell r="D675" t="str">
            <v>Manta asfáltica 3mm tipo III PL/EL + Manta asfáltica antiraiz 4mm tipo III PL/EL</v>
          </cell>
          <cell r="F675" t="str">
            <v>m2</v>
          </cell>
          <cell r="G675">
            <v>1</v>
          </cell>
          <cell r="H675">
            <v>53.4</v>
          </cell>
          <cell r="I675">
            <v>53.4</v>
          </cell>
        </row>
        <row r="676">
          <cell r="C676" t="str">
            <v>21.01.01.07</v>
          </cell>
          <cell r="D676" t="str">
            <v>Impermeabilização de reservatórios inferior</v>
          </cell>
          <cell r="F676" t="str">
            <v xml:space="preserve">m2 </v>
          </cell>
          <cell r="G676">
            <v>377</v>
          </cell>
          <cell r="H676">
            <v>24.810219</v>
          </cell>
          <cell r="I676">
            <v>9353.4500000000007</v>
          </cell>
        </row>
        <row r="677">
          <cell r="C677">
            <v>312</v>
          </cell>
          <cell r="D677" t="str">
            <v>Resina termoplástica estruturada</v>
          </cell>
          <cell r="F677" t="str">
            <v>m2</v>
          </cell>
          <cell r="G677">
            <v>0.62729999999999997</v>
          </cell>
          <cell r="H677">
            <v>32.6</v>
          </cell>
          <cell r="I677">
            <v>20.44998</v>
          </cell>
        </row>
        <row r="678">
          <cell r="C678">
            <v>313</v>
          </cell>
          <cell r="D678" t="str">
            <v>Cimento polimérico 2 demãos</v>
          </cell>
          <cell r="F678" t="str">
            <v>m2</v>
          </cell>
          <cell r="G678">
            <v>0.37267</v>
          </cell>
          <cell r="H678">
            <v>11.7</v>
          </cell>
          <cell r="I678">
            <v>4.360239</v>
          </cell>
        </row>
        <row r="679">
          <cell r="C679" t="str">
            <v>21.01.01.08</v>
          </cell>
          <cell r="D679" t="str">
            <v>Impermeabilização de espelho d água</v>
          </cell>
          <cell r="F679" t="str">
            <v xml:space="preserve">m2 </v>
          </cell>
          <cell r="G679">
            <v>54</v>
          </cell>
          <cell r="H679">
            <v>53.4</v>
          </cell>
          <cell r="I679">
            <v>2883.6</v>
          </cell>
        </row>
        <row r="680">
          <cell r="C680">
            <v>310</v>
          </cell>
          <cell r="D680" t="str">
            <v>Manta asfáltica 3mm tipo III PL/EL + Manta asfáltica 4mm tipo III PL/EL</v>
          </cell>
          <cell r="F680" t="str">
            <v>m2</v>
          </cell>
          <cell r="G680">
            <v>1</v>
          </cell>
          <cell r="H680">
            <v>53.4</v>
          </cell>
          <cell r="I680">
            <v>53.4</v>
          </cell>
        </row>
        <row r="681">
          <cell r="C681" t="str">
            <v>21.01.01.09</v>
          </cell>
          <cell r="D681" t="str">
            <v>Impermeabilização de terraços, com argamassa polimérica</v>
          </cell>
          <cell r="F681" t="str">
            <v xml:space="preserve">m2 </v>
          </cell>
          <cell r="G681">
            <v>3421</v>
          </cell>
          <cell r="H681">
            <v>9.5359999999999996</v>
          </cell>
          <cell r="I681">
            <v>32622.66</v>
          </cell>
        </row>
        <row r="682">
          <cell r="C682">
            <v>309</v>
          </cell>
          <cell r="D682" t="str">
            <v>Manta asfáltica 4mm tipo III PL/EL</v>
          </cell>
          <cell r="F682" t="str">
            <v>m2</v>
          </cell>
          <cell r="G682">
            <v>0.32</v>
          </cell>
          <cell r="H682">
            <v>29.8</v>
          </cell>
          <cell r="I682">
            <v>9.5359999999999996</v>
          </cell>
        </row>
        <row r="683">
          <cell r="C683" t="str">
            <v>21.01.01.10</v>
          </cell>
          <cell r="D683" t="str">
            <v>Impermeabilização de poço de elevador</v>
          </cell>
          <cell r="F683" t="str">
            <v xml:space="preserve">m2 </v>
          </cell>
          <cell r="G683">
            <v>189</v>
          </cell>
          <cell r="H683">
            <v>14.5</v>
          </cell>
          <cell r="I683">
            <v>2740.5</v>
          </cell>
        </row>
        <row r="684">
          <cell r="C684">
            <v>314</v>
          </cell>
          <cell r="D684" t="str">
            <v>Impermeabilização com cimento polimérico, bi-componente, com consumo 3kg/m²</v>
          </cell>
          <cell r="F684" t="str">
            <v>m2</v>
          </cell>
          <cell r="G684">
            <v>1</v>
          </cell>
          <cell r="H684">
            <v>14.5</v>
          </cell>
          <cell r="I684">
            <v>14.5</v>
          </cell>
        </row>
        <row r="685">
          <cell r="C685" t="str">
            <v>21.01.01.11</v>
          </cell>
          <cell r="D685" t="str">
            <v>Impermeabilização de lajes piso</v>
          </cell>
          <cell r="F685" t="str">
            <v xml:space="preserve">m2 </v>
          </cell>
          <cell r="G685">
            <v>3006.5</v>
          </cell>
          <cell r="H685">
            <v>29.8</v>
          </cell>
          <cell r="I685">
            <v>89593.7</v>
          </cell>
        </row>
        <row r="686">
          <cell r="C686">
            <v>309</v>
          </cell>
          <cell r="D686" t="str">
            <v>Manta asfáltica 4mm tipo III PL/EL</v>
          </cell>
          <cell r="F686" t="str">
            <v>m2</v>
          </cell>
          <cell r="G686">
            <v>1</v>
          </cell>
          <cell r="H686">
            <v>29.8</v>
          </cell>
          <cell r="I686">
            <v>29.8</v>
          </cell>
        </row>
        <row r="687">
          <cell r="C687" t="str">
            <v>21.01.01.12</v>
          </cell>
          <cell r="D687" t="str">
            <v>Impermeabilização de deck</v>
          </cell>
          <cell r="F687" t="str">
            <v xml:space="preserve">m2 </v>
          </cell>
          <cell r="G687">
            <v>35</v>
          </cell>
          <cell r="H687">
            <v>53.4</v>
          </cell>
          <cell r="I687">
            <v>1869</v>
          </cell>
        </row>
        <row r="688">
          <cell r="C688">
            <v>310</v>
          </cell>
          <cell r="D688" t="str">
            <v>Manta asfáltica 3mm tipo III PL/EL + Manta asfáltica 4mm tipo III PL/EL</v>
          </cell>
          <cell r="F688" t="str">
            <v>m2</v>
          </cell>
          <cell r="G688">
            <v>1</v>
          </cell>
          <cell r="H688">
            <v>53.4</v>
          </cell>
          <cell r="I688">
            <v>53.4</v>
          </cell>
        </row>
        <row r="689">
          <cell r="C689" t="str">
            <v>21.01.01.13</v>
          </cell>
          <cell r="D689" t="str">
            <v>Impermeabilização de reservatórios de águas pluviais</v>
          </cell>
          <cell r="F689" t="str">
            <v xml:space="preserve">m2 </v>
          </cell>
          <cell r="G689">
            <v>101</v>
          </cell>
          <cell r="H689">
            <v>24.24</v>
          </cell>
          <cell r="I689">
            <v>2448.2399999999998</v>
          </cell>
        </row>
        <row r="690">
          <cell r="C690">
            <v>312</v>
          </cell>
          <cell r="D690" t="str">
            <v>Resina termoplástica estruturada</v>
          </cell>
          <cell r="F690" t="str">
            <v>m2</v>
          </cell>
          <cell r="G690">
            <v>0.6</v>
          </cell>
          <cell r="H690">
            <v>32.6</v>
          </cell>
          <cell r="I690">
            <v>19.559999999999999</v>
          </cell>
        </row>
        <row r="691">
          <cell r="C691">
            <v>313</v>
          </cell>
          <cell r="D691" t="str">
            <v>Cimento polimérico 2 demãos</v>
          </cell>
          <cell r="F691" t="str">
            <v>m2</v>
          </cell>
          <cell r="G691">
            <v>0.4</v>
          </cell>
          <cell r="H691">
            <v>11.7</v>
          </cell>
          <cell r="I691">
            <v>4.68</v>
          </cell>
        </row>
        <row r="692">
          <cell r="C692" t="str">
            <v>21.01.01.14</v>
          </cell>
          <cell r="D692" t="str">
            <v>Impermeabiização de canaletas em parede diafragma</v>
          </cell>
          <cell r="F692" t="str">
            <v xml:space="preserve">m2 </v>
          </cell>
          <cell r="G692">
            <v>1308</v>
          </cell>
          <cell r="H692">
            <v>26.9</v>
          </cell>
          <cell r="I692">
            <v>35185.199999999997</v>
          </cell>
        </row>
        <row r="693">
          <cell r="C693">
            <v>307</v>
          </cell>
          <cell r="D693" t="str">
            <v>Cimento polimérico estruturado</v>
          </cell>
          <cell r="F693" t="str">
            <v>m2</v>
          </cell>
          <cell r="G693">
            <v>1</v>
          </cell>
          <cell r="H693">
            <v>26.9</v>
          </cell>
          <cell r="I693">
            <v>26.9</v>
          </cell>
        </row>
        <row r="694">
          <cell r="C694" t="str">
            <v>21.01.01.15</v>
          </cell>
          <cell r="D694" t="str">
            <v>Tratamento de junta de dilatação</v>
          </cell>
          <cell r="F694" t="str">
            <v xml:space="preserve">m </v>
          </cell>
          <cell r="G694">
            <v>999</v>
          </cell>
          <cell r="H694">
            <v>29.5</v>
          </cell>
          <cell r="I694">
            <v>29470.5</v>
          </cell>
        </row>
        <row r="695">
          <cell r="C695" t="str">
            <v>4445</v>
          </cell>
          <cell r="D695" t="str">
            <v>Tratamento de junta dilatação c/ 2 faixas de manta</v>
          </cell>
          <cell r="F695" t="str">
            <v>m</v>
          </cell>
          <cell r="G695">
            <v>1</v>
          </cell>
          <cell r="H695">
            <v>29.5</v>
          </cell>
          <cell r="I695">
            <v>29.5</v>
          </cell>
        </row>
        <row r="696">
          <cell r="C696" t="str">
            <v>21.01.01.16</v>
          </cell>
          <cell r="D696" t="str">
            <v>Impermeabilização de respaldo de fundaçao</v>
          </cell>
          <cell r="F696" t="str">
            <v>m2</v>
          </cell>
          <cell r="G696">
            <v>122</v>
          </cell>
          <cell r="H696">
            <v>13.999988</v>
          </cell>
          <cell r="I696">
            <v>1708</v>
          </cell>
        </row>
        <row r="697">
          <cell r="C697">
            <v>315</v>
          </cell>
          <cell r="D697" t="str">
            <v>Tinta Asfáltica Neutrol</v>
          </cell>
          <cell r="F697" t="str">
            <v>un</v>
          </cell>
          <cell r="G697">
            <v>2.1738999999999999E-3</v>
          </cell>
          <cell r="H697">
            <v>920</v>
          </cell>
          <cell r="I697">
            <v>1.9999880000000001</v>
          </cell>
        </row>
        <row r="698">
          <cell r="C698" t="str">
            <v>316</v>
          </cell>
          <cell r="D698" t="str">
            <v>MDO para impermeabilização</v>
          </cell>
          <cell r="F698" t="str">
            <v>m2</v>
          </cell>
          <cell r="G698">
            <v>1</v>
          </cell>
          <cell r="H698">
            <v>12</v>
          </cell>
          <cell r="I698">
            <v>12</v>
          </cell>
        </row>
        <row r="699">
          <cell r="C699" t="str">
            <v>22.01.01.01</v>
          </cell>
          <cell r="D699" t="str">
            <v>Chapisco convencional com argamassa de cimento e areia 1:3 em paredes internas</v>
          </cell>
          <cell r="F699" t="str">
            <v xml:space="preserve">m2 </v>
          </cell>
          <cell r="G699">
            <v>6262</v>
          </cell>
          <cell r="H699">
            <v>3.9405700000000001</v>
          </cell>
          <cell r="I699">
            <v>24675.85</v>
          </cell>
        </row>
        <row r="700">
          <cell r="C700" t="str">
            <v>555A</v>
          </cell>
          <cell r="D700" t="str">
            <v>Cimento Portland Composto CPII-E32 (saco 50kg)</v>
          </cell>
          <cell r="F700" t="str">
            <v>sc</v>
          </cell>
          <cell r="G700">
            <v>5.8400000000000001E-2</v>
          </cell>
          <cell r="H700">
            <v>13.4</v>
          </cell>
          <cell r="I700">
            <v>0.78256000000000003</v>
          </cell>
        </row>
        <row r="701">
          <cell r="C701">
            <v>317</v>
          </cell>
          <cell r="D701" t="str">
            <v>MDO para chapisco convencional em paredes internas</v>
          </cell>
          <cell r="F701" t="str">
            <v>m2</v>
          </cell>
          <cell r="G701">
            <v>1</v>
          </cell>
          <cell r="H701">
            <v>2.2000000000000002</v>
          </cell>
          <cell r="I701">
            <v>2.2000000000000002</v>
          </cell>
        </row>
        <row r="702">
          <cell r="C702">
            <v>318</v>
          </cell>
          <cell r="D702" t="str">
            <v>Aditivo de alto desempenho para massa Bianco da Otto Baumgart® (tambor 200 litros)</v>
          </cell>
          <cell r="F702" t="str">
            <v>un</v>
          </cell>
          <cell r="G702">
            <v>9.8999999999999999E-4</v>
          </cell>
          <cell r="H702">
            <v>599</v>
          </cell>
          <cell r="I702">
            <v>0.59301000000000004</v>
          </cell>
        </row>
        <row r="703">
          <cell r="C703">
            <v>84</v>
          </cell>
          <cell r="D703" t="str">
            <v>Areia</v>
          </cell>
          <cell r="F703" t="str">
            <v>m3</v>
          </cell>
          <cell r="G703">
            <v>7.3000000000000001E-3</v>
          </cell>
          <cell r="H703">
            <v>50</v>
          </cell>
          <cell r="I703">
            <v>0.36499999999999999</v>
          </cell>
        </row>
        <row r="704">
          <cell r="C704" t="str">
            <v>22.01.01.02</v>
          </cell>
          <cell r="D704" t="str">
            <v>Chapisco com argamassa tipo xapiscofix® em paredes internas</v>
          </cell>
          <cell r="F704" t="str">
            <v xml:space="preserve">m2 </v>
          </cell>
          <cell r="G704">
            <v>1566</v>
          </cell>
          <cell r="H704">
            <v>3.28</v>
          </cell>
          <cell r="I704">
            <v>5136.4799999999996</v>
          </cell>
        </row>
        <row r="705">
          <cell r="C705">
            <v>319</v>
          </cell>
          <cell r="D705" t="str">
            <v>MDO para chapisco com argamassa tipo xapiscofix® em paredes internas</v>
          </cell>
          <cell r="F705" t="str">
            <v>m2</v>
          </cell>
          <cell r="G705">
            <v>1</v>
          </cell>
          <cell r="H705">
            <v>2.2999999999999998</v>
          </cell>
          <cell r="I705">
            <v>2.2999999999999998</v>
          </cell>
        </row>
        <row r="706">
          <cell r="C706">
            <v>320</v>
          </cell>
          <cell r="D706" t="str">
            <v>Argamassa adesiva para chapisco Xapiscofix da Quatzolit® (saco 20kg)</v>
          </cell>
          <cell r="F706" t="str">
            <v>sc</v>
          </cell>
          <cell r="G706">
            <v>0.2</v>
          </cell>
          <cell r="H706">
            <v>4.9000000000000004</v>
          </cell>
          <cell r="I706">
            <v>0.98</v>
          </cell>
        </row>
        <row r="707">
          <cell r="C707" t="str">
            <v>22.01.02.01</v>
          </cell>
          <cell r="D707" t="str">
            <v>Massa única com argamass pré fabricada em paredes internas e=2,0 cm</v>
          </cell>
          <cell r="F707" t="str">
            <v xml:space="preserve">m2 </v>
          </cell>
          <cell r="G707">
            <v>6035</v>
          </cell>
          <cell r="H707">
            <v>20.399999999999999</v>
          </cell>
          <cell r="I707">
            <v>123114</v>
          </cell>
        </row>
        <row r="708">
          <cell r="C708">
            <v>149</v>
          </cell>
          <cell r="D708" t="str">
            <v>Argamassa ensacada múltiplo uso (saco 40 kg)</v>
          </cell>
          <cell r="F708" t="str">
            <v>sc</v>
          </cell>
          <cell r="G708">
            <v>1</v>
          </cell>
          <cell r="H708">
            <v>5.9</v>
          </cell>
          <cell r="I708">
            <v>5.9</v>
          </cell>
        </row>
        <row r="709">
          <cell r="C709">
            <v>321</v>
          </cell>
          <cell r="D709" t="str">
            <v>MDO para massa única interna</v>
          </cell>
          <cell r="F709" t="str">
            <v>m2</v>
          </cell>
          <cell r="G709">
            <v>1</v>
          </cell>
          <cell r="H709">
            <v>14.5</v>
          </cell>
          <cell r="I709">
            <v>14.5</v>
          </cell>
        </row>
        <row r="710">
          <cell r="C710" t="str">
            <v>22.01.03.01</v>
          </cell>
          <cell r="D710" t="str">
            <v>Emboço com argamassa pré fabricadas em paredes internas e=2,0 cm</v>
          </cell>
          <cell r="F710" t="str">
            <v xml:space="preserve">m2 </v>
          </cell>
          <cell r="G710">
            <v>1569</v>
          </cell>
          <cell r="H710">
            <v>20.399999999999999</v>
          </cell>
          <cell r="I710">
            <v>32007.599999999999</v>
          </cell>
        </row>
        <row r="711">
          <cell r="C711">
            <v>149</v>
          </cell>
          <cell r="D711" t="str">
            <v>Argamassa ensacada múltiplo uso (saco 40 kg)</v>
          </cell>
          <cell r="F711" t="str">
            <v>sc</v>
          </cell>
          <cell r="G711">
            <v>1</v>
          </cell>
          <cell r="H711">
            <v>5.9</v>
          </cell>
          <cell r="I711">
            <v>5.9</v>
          </cell>
        </row>
        <row r="712">
          <cell r="C712">
            <v>322</v>
          </cell>
          <cell r="D712" t="str">
            <v>MDO para emboço interno - panos</v>
          </cell>
          <cell r="F712" t="str">
            <v>m2</v>
          </cell>
          <cell r="G712">
            <v>1</v>
          </cell>
          <cell r="H712">
            <v>14.5</v>
          </cell>
          <cell r="I712">
            <v>14.5</v>
          </cell>
        </row>
        <row r="713">
          <cell r="C713" t="str">
            <v>22.01.03.02</v>
          </cell>
          <cell r="D713" t="str">
            <v>Emboço em poço de elevador</v>
          </cell>
          <cell r="F713" t="str">
            <v xml:space="preserve">m2 </v>
          </cell>
          <cell r="G713">
            <v>224</v>
          </cell>
          <cell r="H713">
            <v>21.58</v>
          </cell>
          <cell r="I713">
            <v>4833.92</v>
          </cell>
        </row>
        <row r="714">
          <cell r="C714">
            <v>149</v>
          </cell>
          <cell r="D714" t="str">
            <v>Argamassa ensacada múltiplo uso (saco 40 kg)</v>
          </cell>
          <cell r="F714" t="str">
            <v>sc</v>
          </cell>
          <cell r="G714">
            <v>1.2</v>
          </cell>
          <cell r="H714">
            <v>5.9</v>
          </cell>
          <cell r="I714">
            <v>7.08</v>
          </cell>
        </row>
        <row r="715">
          <cell r="C715">
            <v>322</v>
          </cell>
          <cell r="D715" t="str">
            <v>MDO para emboço interno - panos</v>
          </cell>
          <cell r="F715" t="str">
            <v>m2</v>
          </cell>
          <cell r="G715">
            <v>1</v>
          </cell>
          <cell r="H715">
            <v>14.5</v>
          </cell>
          <cell r="I715">
            <v>14.5</v>
          </cell>
        </row>
        <row r="716">
          <cell r="C716" t="str">
            <v>22.02.01.01</v>
          </cell>
          <cell r="D716" t="str">
            <v>Cerâmica Cecrisa White Basic Matte 30x30 cm ou similar das marcas Eliane, Gyotoku e Portobello</v>
          </cell>
          <cell r="F716" t="str">
            <v xml:space="preserve">m2 </v>
          </cell>
          <cell r="G716">
            <v>1804</v>
          </cell>
          <cell r="H716">
            <v>36.514279999999999</v>
          </cell>
          <cell r="I716">
            <v>65871.759999999995</v>
          </cell>
        </row>
        <row r="717">
          <cell r="C717">
            <v>323</v>
          </cell>
          <cell r="D717" t="str">
            <v>Rejunte Juntaplus larga da Eliane® (Saco 5 kg)</v>
          </cell>
          <cell r="F717" t="str">
            <v>sc</v>
          </cell>
          <cell r="G717">
            <v>0.152</v>
          </cell>
          <cell r="H717">
            <v>11.39</v>
          </cell>
          <cell r="I717">
            <v>1.7312799999999999</v>
          </cell>
        </row>
        <row r="718">
          <cell r="C718">
            <v>326</v>
          </cell>
          <cell r="D718" t="str">
            <v>MDO para assentamento de azulejo cerâmico</v>
          </cell>
          <cell r="F718" t="str">
            <v>m2</v>
          </cell>
          <cell r="G718">
            <v>1</v>
          </cell>
          <cell r="H718">
            <v>18.5</v>
          </cell>
          <cell r="I718">
            <v>18.5</v>
          </cell>
        </row>
        <row r="719">
          <cell r="C719">
            <v>324</v>
          </cell>
          <cell r="D719" t="str">
            <v>Argamassa colante uso interno, ref. ACI da Quartzolit (saco 20kg)</v>
          </cell>
          <cell r="F719" t="str">
            <v>sc</v>
          </cell>
          <cell r="G719">
            <v>0.25</v>
          </cell>
          <cell r="H719">
            <v>4.5</v>
          </cell>
          <cell r="I719">
            <v>1.125</v>
          </cell>
        </row>
        <row r="720">
          <cell r="C720">
            <v>325</v>
          </cell>
          <cell r="D720" t="str">
            <v>Cerâmica Cecrisa White Basic Matte 30x30 cm ou similar das marcas Eliane, Gyotoku e Portobello</v>
          </cell>
          <cell r="F720" t="str">
            <v>m2</v>
          </cell>
          <cell r="G720">
            <v>1.1000000000000001</v>
          </cell>
          <cell r="H720">
            <v>13.78</v>
          </cell>
          <cell r="I720">
            <v>15.157999999999999</v>
          </cell>
        </row>
        <row r="721">
          <cell r="C721" t="str">
            <v>22.02.01.02</v>
          </cell>
          <cell r="D721" t="str">
            <v>Duramax WH 45 x 45cm Portinari</v>
          </cell>
          <cell r="F721" t="str">
            <v xml:space="preserve">m2 </v>
          </cell>
          <cell r="G721">
            <v>204</v>
          </cell>
          <cell r="H721">
            <v>41.70628</v>
          </cell>
          <cell r="I721">
            <v>8508.08</v>
          </cell>
        </row>
        <row r="722">
          <cell r="C722">
            <v>323</v>
          </cell>
          <cell r="D722" t="str">
            <v>Rejunte Juntaplus larga da Eliane® (Saco 5 kg)</v>
          </cell>
          <cell r="F722" t="str">
            <v>sc</v>
          </cell>
          <cell r="G722">
            <v>0.152</v>
          </cell>
          <cell r="H722">
            <v>11.39</v>
          </cell>
          <cell r="I722">
            <v>1.7312799999999999</v>
          </cell>
        </row>
        <row r="723">
          <cell r="C723">
            <v>326</v>
          </cell>
          <cell r="D723" t="str">
            <v>MDO para assentamento de azulejo cerâmico</v>
          </cell>
          <cell r="F723" t="str">
            <v>m2</v>
          </cell>
          <cell r="G723">
            <v>1</v>
          </cell>
          <cell r="H723">
            <v>18.5</v>
          </cell>
          <cell r="I723">
            <v>18.5</v>
          </cell>
        </row>
        <row r="724">
          <cell r="C724">
            <v>324</v>
          </cell>
          <cell r="D724" t="str">
            <v>Argamassa colante uso interno, ref. ACI da Quartzolit (saco 20kg)</v>
          </cell>
          <cell r="F724" t="str">
            <v>sc</v>
          </cell>
          <cell r="G724">
            <v>0.25</v>
          </cell>
          <cell r="H724">
            <v>4.5</v>
          </cell>
          <cell r="I724">
            <v>1.125</v>
          </cell>
        </row>
        <row r="725">
          <cell r="C725">
            <v>326</v>
          </cell>
          <cell r="D725" t="str">
            <v>MDO para assentamento de azulejo cerâmico</v>
          </cell>
          <cell r="F725" t="str">
            <v>m2</v>
          </cell>
          <cell r="G725">
            <v>1.1000000000000001</v>
          </cell>
          <cell r="H725">
            <v>18.5</v>
          </cell>
          <cell r="I725">
            <v>20.350000000000001</v>
          </cell>
        </row>
        <row r="726">
          <cell r="C726" t="str">
            <v>22.03.01.01</v>
          </cell>
          <cell r="D726" t="str">
            <v>Revestimento em granito Branco Itaúnas</v>
          </cell>
          <cell r="F726" t="str">
            <v xml:space="preserve">m2 </v>
          </cell>
          <cell r="G726">
            <v>43</v>
          </cell>
          <cell r="H726">
            <v>341.904</v>
          </cell>
          <cell r="I726">
            <v>14701.87</v>
          </cell>
        </row>
        <row r="727">
          <cell r="C727">
            <v>327</v>
          </cell>
          <cell r="D727" t="str">
            <v>MDO para assentamento de granito em paredes</v>
          </cell>
          <cell r="F727" t="str">
            <v>m2</v>
          </cell>
          <cell r="G727">
            <v>1</v>
          </cell>
          <cell r="H727">
            <v>33.21</v>
          </cell>
          <cell r="I727">
            <v>33.21</v>
          </cell>
        </row>
        <row r="728">
          <cell r="C728">
            <v>328</v>
          </cell>
          <cell r="D728" t="str">
            <v>Revestimento em granito polido Branco Itaúnas</v>
          </cell>
          <cell r="F728" t="str">
            <v>m2</v>
          </cell>
          <cell r="G728">
            <v>1.1000000000000001</v>
          </cell>
          <cell r="H728">
            <v>276</v>
          </cell>
          <cell r="I728">
            <v>303.60000000000002</v>
          </cell>
        </row>
        <row r="729">
          <cell r="C729">
            <v>329</v>
          </cell>
          <cell r="D729" t="str">
            <v>Argamassa colante ferma marmore granito interna da Quartzolit® (sc 20Kg)</v>
          </cell>
          <cell r="F729" t="str">
            <v>sc</v>
          </cell>
          <cell r="G729">
            <v>0.25</v>
          </cell>
          <cell r="H729">
            <v>17</v>
          </cell>
          <cell r="I729">
            <v>4.25</v>
          </cell>
        </row>
        <row r="730">
          <cell r="C730">
            <v>330</v>
          </cell>
          <cell r="D730" t="str">
            <v>Rejunte SH porcelanato da Quartzolit® (caixa 5kg)</v>
          </cell>
          <cell r="F730" t="str">
            <v>CX</v>
          </cell>
          <cell r="G730">
            <v>8.4400000000000003E-2</v>
          </cell>
          <cell r="H730">
            <v>10</v>
          </cell>
          <cell r="I730">
            <v>0.84399999999999997</v>
          </cell>
        </row>
        <row r="731">
          <cell r="C731" t="str">
            <v>22.03.03.01</v>
          </cell>
          <cell r="D731" t="str">
            <v>Batente em granito branco Itaúna</v>
          </cell>
          <cell r="F731" t="str">
            <v xml:space="preserve">cj </v>
          </cell>
          <cell r="G731">
            <v>14</v>
          </cell>
          <cell r="H731">
            <v>696.11</v>
          </cell>
          <cell r="I731">
            <v>9745.5400000000009</v>
          </cell>
        </row>
        <row r="732">
          <cell r="C732">
            <v>329</v>
          </cell>
          <cell r="D732" t="str">
            <v>Argamassa colante ferma marmore granito interna da Quartzolit® (sc 20Kg)</v>
          </cell>
          <cell r="F732" t="str">
            <v>sc</v>
          </cell>
          <cell r="G732">
            <v>0.81</v>
          </cell>
          <cell r="H732">
            <v>17</v>
          </cell>
          <cell r="I732">
            <v>13.77</v>
          </cell>
        </row>
        <row r="733">
          <cell r="C733">
            <v>330</v>
          </cell>
          <cell r="D733" t="str">
            <v>Rejunte SH porcelanato da Quartzolit® (caixa 5kg)</v>
          </cell>
          <cell r="F733" t="str">
            <v>CX</v>
          </cell>
          <cell r="G733">
            <v>3.4000000000000002E-2</v>
          </cell>
          <cell r="H733">
            <v>10</v>
          </cell>
          <cell r="I733">
            <v>0.34</v>
          </cell>
        </row>
        <row r="734">
          <cell r="C734">
            <v>331</v>
          </cell>
          <cell r="D734" t="str">
            <v>Batente em granito branco Itaúna</v>
          </cell>
          <cell r="F734" t="str">
            <v>cj</v>
          </cell>
          <cell r="G734">
            <v>1.1000000000000001</v>
          </cell>
          <cell r="H734">
            <v>620</v>
          </cell>
          <cell r="I734">
            <v>682</v>
          </cell>
        </row>
        <row r="735">
          <cell r="C735" t="str">
            <v>22.04.01.01</v>
          </cell>
          <cell r="D735" t="str">
            <v>Gesso liso em paredes internas</v>
          </cell>
          <cell r="F735" t="str">
            <v xml:space="preserve">m2 </v>
          </cell>
          <cell r="G735">
            <v>10341</v>
          </cell>
          <cell r="H735">
            <v>13</v>
          </cell>
          <cell r="I735">
            <v>134433</v>
          </cell>
        </row>
        <row r="736">
          <cell r="C736">
            <v>332</v>
          </cell>
          <cell r="D736" t="str">
            <v>Gesso liso em paredes</v>
          </cell>
          <cell r="F736" t="str">
            <v>m2</v>
          </cell>
          <cell r="G736">
            <v>1</v>
          </cell>
          <cell r="H736">
            <v>13</v>
          </cell>
          <cell r="I736">
            <v>13</v>
          </cell>
        </row>
        <row r="737">
          <cell r="C737" t="str">
            <v>22.04.01.02</v>
          </cell>
          <cell r="D737" t="str">
            <v>Gesso liso em paredes internas - Faixas</v>
          </cell>
          <cell r="F737" t="str">
            <v xml:space="preserve">m2 </v>
          </cell>
          <cell r="G737">
            <v>3252</v>
          </cell>
          <cell r="H737">
            <v>13</v>
          </cell>
          <cell r="I737">
            <v>42276</v>
          </cell>
        </row>
        <row r="738">
          <cell r="C738">
            <v>332</v>
          </cell>
          <cell r="D738" t="str">
            <v>Gesso liso em paredes</v>
          </cell>
          <cell r="F738" t="str">
            <v>m2</v>
          </cell>
          <cell r="G738">
            <v>1</v>
          </cell>
          <cell r="H738">
            <v>13</v>
          </cell>
          <cell r="I738">
            <v>13</v>
          </cell>
        </row>
        <row r="739">
          <cell r="C739" t="str">
            <v>22.06.01.01</v>
          </cell>
          <cell r="D739" t="str">
            <v>Tratamento de concreto para poço de elevadores</v>
          </cell>
          <cell r="F739" t="str">
            <v xml:space="preserve">m2 </v>
          </cell>
          <cell r="G739">
            <v>1502</v>
          </cell>
          <cell r="H739">
            <v>7.5</v>
          </cell>
          <cell r="I739">
            <v>11265</v>
          </cell>
        </row>
        <row r="740">
          <cell r="C740">
            <v>333</v>
          </cell>
          <cell r="D740" t="str">
            <v>MDO para tratamento de concreto em poço de elevador</v>
          </cell>
          <cell r="F740" t="str">
            <v>m2</v>
          </cell>
          <cell r="G740">
            <v>1</v>
          </cell>
          <cell r="H740">
            <v>7.5</v>
          </cell>
          <cell r="I740">
            <v>7.5</v>
          </cell>
        </row>
        <row r="741">
          <cell r="C741" t="str">
            <v>22.06.01.02</v>
          </cell>
          <cell r="D741" t="str">
            <v>Tratamento de concreto para parede diafragma</v>
          </cell>
          <cell r="F741" t="str">
            <v xml:space="preserve">m2 </v>
          </cell>
          <cell r="G741">
            <v>1421</v>
          </cell>
          <cell r="H741">
            <v>7.5</v>
          </cell>
          <cell r="I741">
            <v>10657.5</v>
          </cell>
        </row>
        <row r="742">
          <cell r="C742">
            <v>334</v>
          </cell>
          <cell r="D742" t="str">
            <v>Tratamento de concreto para parede diafragma</v>
          </cell>
          <cell r="F742" t="str">
            <v>m2</v>
          </cell>
          <cell r="G742">
            <v>1</v>
          </cell>
          <cell r="H742">
            <v>7.5</v>
          </cell>
          <cell r="I742">
            <v>7.5</v>
          </cell>
        </row>
        <row r="743">
          <cell r="C743" t="str">
            <v>23.01.01.01</v>
          </cell>
          <cell r="D743" t="str">
            <v>Chapisco convencional com argamassa de cimento e areia 1:3 em paredes externas</v>
          </cell>
          <cell r="F743" t="str">
            <v xml:space="preserve">m2 </v>
          </cell>
          <cell r="G743">
            <v>11777.3</v>
          </cell>
          <cell r="H743">
            <v>5.3975550000000005</v>
          </cell>
          <cell r="I743">
            <v>63568.62</v>
          </cell>
        </row>
        <row r="744">
          <cell r="C744" t="str">
            <v>555A</v>
          </cell>
          <cell r="D744" t="str">
            <v>Cimento Portland Composto CPII-E32 (saco 50kg)</v>
          </cell>
          <cell r="F744" t="str">
            <v>sc</v>
          </cell>
          <cell r="G744">
            <v>5.8400000000000001E-2</v>
          </cell>
          <cell r="H744">
            <v>13.4</v>
          </cell>
          <cell r="I744">
            <v>0.78256000000000003</v>
          </cell>
        </row>
        <row r="745">
          <cell r="C745">
            <v>335</v>
          </cell>
          <cell r="D745" t="str">
            <v>Cola concentrada para argamassa Sikafix da Sika® (balde 18kg)</v>
          </cell>
          <cell r="F745" t="str">
            <v>un</v>
          </cell>
          <cell r="G745">
            <v>1.1110999999999999E-2</v>
          </cell>
          <cell r="H745">
            <v>45</v>
          </cell>
          <cell r="I745">
            <v>0.49999500000000002</v>
          </cell>
        </row>
        <row r="746">
          <cell r="C746">
            <v>336</v>
          </cell>
          <cell r="D746" t="str">
            <v>MDO para chapisco convencional em paredes externas</v>
          </cell>
          <cell r="F746" t="str">
            <v>m2</v>
          </cell>
          <cell r="G746">
            <v>1</v>
          </cell>
          <cell r="H746">
            <v>3.75</v>
          </cell>
          <cell r="I746">
            <v>3.75</v>
          </cell>
        </row>
        <row r="747">
          <cell r="C747">
            <v>84</v>
          </cell>
          <cell r="D747" t="str">
            <v>Areia</v>
          </cell>
          <cell r="F747" t="str">
            <v>m3</v>
          </cell>
          <cell r="G747">
            <v>7.3000000000000001E-3</v>
          </cell>
          <cell r="H747">
            <v>50</v>
          </cell>
          <cell r="I747">
            <v>0.36499999999999999</v>
          </cell>
        </row>
        <row r="748">
          <cell r="C748" t="str">
            <v>23.01.01.02</v>
          </cell>
          <cell r="D748" t="str">
            <v>Chapisco com argamassa tipo xapiscofix® em paredes externas</v>
          </cell>
          <cell r="F748" t="str">
            <v xml:space="preserve">m2 </v>
          </cell>
          <cell r="G748">
            <v>2911</v>
          </cell>
          <cell r="H748">
            <v>5.48</v>
          </cell>
          <cell r="I748">
            <v>15952.28</v>
          </cell>
        </row>
        <row r="749">
          <cell r="C749">
            <v>337</v>
          </cell>
          <cell r="D749" t="str">
            <v>MDO para chapisco com argamassa tipo xapiscofix® em paredes externas</v>
          </cell>
          <cell r="F749" t="str">
            <v>m2</v>
          </cell>
          <cell r="G749">
            <v>1</v>
          </cell>
          <cell r="H749">
            <v>4.5</v>
          </cell>
          <cell r="I749">
            <v>4.5</v>
          </cell>
        </row>
        <row r="750">
          <cell r="C750">
            <v>338</v>
          </cell>
          <cell r="D750" t="str">
            <v>Argamassa adesiva para chapisco Xapiscofix da Quatzolit® (saco 20kg)</v>
          </cell>
          <cell r="F750" t="str">
            <v>sc</v>
          </cell>
          <cell r="G750">
            <v>0.2</v>
          </cell>
          <cell r="H750">
            <v>4.9000000000000004</v>
          </cell>
          <cell r="I750">
            <v>0.98</v>
          </cell>
        </row>
        <row r="751">
          <cell r="C751" t="str">
            <v>23.01.02.01</v>
          </cell>
          <cell r="D751" t="str">
            <v>Emboço com argamassa múltiplo uso em paredes externas - panos e=3,0 cm</v>
          </cell>
          <cell r="F751" t="str">
            <v xml:space="preserve">m2 </v>
          </cell>
          <cell r="G751">
            <v>13530.3</v>
          </cell>
          <cell r="H751">
            <v>27.85</v>
          </cell>
          <cell r="I751">
            <v>376818.86</v>
          </cell>
        </row>
        <row r="752">
          <cell r="C752">
            <v>149</v>
          </cell>
          <cell r="D752" t="str">
            <v>Argamassa ensacada múltiplo uso (saco 40 kg)</v>
          </cell>
          <cell r="F752" t="str">
            <v>sc</v>
          </cell>
          <cell r="G752">
            <v>1.5</v>
          </cell>
          <cell r="H752">
            <v>5.9</v>
          </cell>
          <cell r="I752">
            <v>8.85</v>
          </cell>
        </row>
        <row r="753">
          <cell r="C753">
            <v>339</v>
          </cell>
          <cell r="D753" t="str">
            <v>MDO para emboço externo - panos</v>
          </cell>
          <cell r="F753" t="str">
            <v>m2</v>
          </cell>
          <cell r="G753">
            <v>1</v>
          </cell>
          <cell r="H753">
            <v>19</v>
          </cell>
          <cell r="I753">
            <v>19</v>
          </cell>
        </row>
        <row r="754">
          <cell r="C754" t="str">
            <v>23.01.02.02</v>
          </cell>
          <cell r="D754" t="str">
            <v>Emboço com argamassa múltiplo uso em paredes externas - faixas e=3,0 cm</v>
          </cell>
          <cell r="F754" t="str">
            <v xml:space="preserve">m </v>
          </cell>
          <cell r="G754">
            <v>7356</v>
          </cell>
          <cell r="H754">
            <v>13.925000000000001</v>
          </cell>
          <cell r="I754">
            <v>102432.3</v>
          </cell>
        </row>
        <row r="755">
          <cell r="C755">
            <v>149</v>
          </cell>
          <cell r="D755" t="str">
            <v>Argamassa ensacada múltiplo uso (saco 40 kg)</v>
          </cell>
          <cell r="F755" t="str">
            <v>sc</v>
          </cell>
          <cell r="G755">
            <v>0.75</v>
          </cell>
          <cell r="H755">
            <v>5.9</v>
          </cell>
          <cell r="I755">
            <v>4.4249999999999998</v>
          </cell>
        </row>
        <row r="756">
          <cell r="C756">
            <v>340</v>
          </cell>
          <cell r="D756" t="str">
            <v>MDO para emboço externo - faixas</v>
          </cell>
          <cell r="F756" t="str">
            <v>m</v>
          </cell>
          <cell r="G756">
            <v>1</v>
          </cell>
          <cell r="H756">
            <v>9.5</v>
          </cell>
          <cell r="I756">
            <v>9.5</v>
          </cell>
        </row>
        <row r="757">
          <cell r="C757" t="str">
            <v>23.01.02.03</v>
          </cell>
          <cell r="D757" t="str">
            <v>Friso sobre emboço externo</v>
          </cell>
          <cell r="F757" t="str">
            <v xml:space="preserve">m </v>
          </cell>
          <cell r="G757">
            <v>5010</v>
          </cell>
          <cell r="H757">
            <v>6</v>
          </cell>
          <cell r="I757">
            <v>30060</v>
          </cell>
        </row>
        <row r="758">
          <cell r="C758">
            <v>341</v>
          </cell>
          <cell r="D758" t="str">
            <v>MDO para friso sobre emboço externo</v>
          </cell>
          <cell r="F758" t="str">
            <v>m</v>
          </cell>
          <cell r="G758">
            <v>1</v>
          </cell>
          <cell r="H758">
            <v>6</v>
          </cell>
          <cell r="I758">
            <v>6</v>
          </cell>
        </row>
        <row r="759">
          <cell r="C759" t="str">
            <v>23.04.02.01</v>
          </cell>
          <cell r="D759" t="str">
            <v>Moldura em EPS para fachada</v>
          </cell>
          <cell r="F759" t="str">
            <v xml:space="preserve">m </v>
          </cell>
          <cell r="G759">
            <v>321</v>
          </cell>
          <cell r="H759">
            <v>80</v>
          </cell>
          <cell r="I759">
            <v>25680</v>
          </cell>
        </row>
        <row r="760">
          <cell r="C760">
            <v>342</v>
          </cell>
          <cell r="D760" t="str">
            <v>Moldura em EPS para fachada</v>
          </cell>
          <cell r="F760" t="str">
            <v>m</v>
          </cell>
          <cell r="G760">
            <v>1</v>
          </cell>
          <cell r="H760">
            <v>80</v>
          </cell>
          <cell r="I760">
            <v>80</v>
          </cell>
        </row>
        <row r="761">
          <cell r="C761" t="str">
            <v>23.04.02.02</v>
          </cell>
          <cell r="D761" t="str">
            <v>Moldura em EPS para muro de fechamento</v>
          </cell>
          <cell r="F761" t="str">
            <v xml:space="preserve">m </v>
          </cell>
          <cell r="G761">
            <v>256</v>
          </cell>
          <cell r="H761">
            <v>94</v>
          </cell>
          <cell r="I761">
            <v>24064</v>
          </cell>
        </row>
        <row r="762">
          <cell r="C762">
            <v>343</v>
          </cell>
          <cell r="D762" t="str">
            <v>Moldura em EPS para muro de fechamento</v>
          </cell>
          <cell r="F762" t="str">
            <v>m</v>
          </cell>
          <cell r="G762">
            <v>1</v>
          </cell>
          <cell r="H762">
            <v>94</v>
          </cell>
          <cell r="I762">
            <v>94</v>
          </cell>
        </row>
        <row r="763">
          <cell r="C763" t="str">
            <v>24.01.01.01</v>
          </cell>
          <cell r="D763" t="str">
            <v>Chapisco interno com argamassa cimento/areia 1:3</v>
          </cell>
          <cell r="F763" t="str">
            <v xml:space="preserve">m2 </v>
          </cell>
          <cell r="G763">
            <v>1530</v>
          </cell>
          <cell r="H763">
            <v>4.0405699999999998</v>
          </cell>
          <cell r="I763">
            <v>6182.07</v>
          </cell>
        </row>
        <row r="764">
          <cell r="C764" t="str">
            <v>555A</v>
          </cell>
          <cell r="D764" t="str">
            <v>Cimento Portland Composto CPII-E32 (saco 50kg)</v>
          </cell>
          <cell r="F764" t="str">
            <v>sc</v>
          </cell>
          <cell r="G764">
            <v>5.8400000000000001E-2</v>
          </cell>
          <cell r="H764">
            <v>13.4</v>
          </cell>
          <cell r="I764">
            <v>0.78256000000000003</v>
          </cell>
        </row>
        <row r="765">
          <cell r="C765">
            <v>344</v>
          </cell>
          <cell r="D765" t="str">
            <v>Aditivo de alto desempenho para massa Bianco da Otto Baumgart® (tambor 200 litros)</v>
          </cell>
          <cell r="F765" t="str">
            <v>un</v>
          </cell>
          <cell r="G765">
            <v>9.8999999999999999E-4</v>
          </cell>
          <cell r="H765">
            <v>599</v>
          </cell>
          <cell r="I765">
            <v>0.59301000000000004</v>
          </cell>
        </row>
        <row r="766">
          <cell r="C766">
            <v>345</v>
          </cell>
          <cell r="D766" t="str">
            <v>MDO para chapisco em forro</v>
          </cell>
          <cell r="F766" t="str">
            <v>m2</v>
          </cell>
          <cell r="G766">
            <v>1</v>
          </cell>
          <cell r="H766">
            <v>2.2999999999999998</v>
          </cell>
          <cell r="I766">
            <v>2.2999999999999998</v>
          </cell>
        </row>
        <row r="767">
          <cell r="C767">
            <v>84</v>
          </cell>
          <cell r="D767" t="str">
            <v>Areia</v>
          </cell>
          <cell r="F767" t="str">
            <v>m3</v>
          </cell>
          <cell r="G767">
            <v>7.3000000000000001E-3</v>
          </cell>
          <cell r="H767">
            <v>50</v>
          </cell>
          <cell r="I767">
            <v>0.36499999999999999</v>
          </cell>
        </row>
        <row r="768">
          <cell r="C768" t="str">
            <v>24.01.02.01</v>
          </cell>
          <cell r="D768" t="str">
            <v>Massa única com argamass pré fabricada em tetos e=2,5 cm</v>
          </cell>
          <cell r="F768" t="str">
            <v xml:space="preserve">m2 </v>
          </cell>
          <cell r="G768">
            <v>44</v>
          </cell>
          <cell r="H768">
            <v>24.67</v>
          </cell>
          <cell r="I768">
            <v>1085.48</v>
          </cell>
        </row>
        <row r="769">
          <cell r="C769">
            <v>149</v>
          </cell>
          <cell r="D769" t="str">
            <v>Argamassa ensacada múltiplo uso (saco 40 kg)</v>
          </cell>
          <cell r="F769" t="str">
            <v>sc</v>
          </cell>
          <cell r="G769">
            <v>1.3</v>
          </cell>
          <cell r="H769">
            <v>5.9</v>
          </cell>
          <cell r="I769">
            <v>7.67</v>
          </cell>
        </row>
        <row r="770">
          <cell r="C770">
            <v>346</v>
          </cell>
          <cell r="D770" t="str">
            <v>MDO para massa única em tetos</v>
          </cell>
          <cell r="F770" t="str">
            <v>m2</v>
          </cell>
          <cell r="G770">
            <v>1</v>
          </cell>
          <cell r="H770">
            <v>17</v>
          </cell>
          <cell r="I770">
            <v>17</v>
          </cell>
        </row>
        <row r="771">
          <cell r="C771" t="str">
            <v>24.02.01.01</v>
          </cell>
          <cell r="D771" t="str">
            <v>Forro de gesso em placas 60x60cm</v>
          </cell>
          <cell r="F771" t="str">
            <v xml:space="preserve">m2 </v>
          </cell>
          <cell r="G771">
            <v>932</v>
          </cell>
          <cell r="H771">
            <v>18</v>
          </cell>
          <cell r="I771">
            <v>16776</v>
          </cell>
        </row>
        <row r="772">
          <cell r="C772">
            <v>347</v>
          </cell>
          <cell r="D772" t="str">
            <v>Forro de gesso em placas de 0,60x0,60m</v>
          </cell>
          <cell r="F772" t="str">
            <v>m2</v>
          </cell>
          <cell r="G772">
            <v>1</v>
          </cell>
          <cell r="H772">
            <v>18</v>
          </cell>
          <cell r="I772">
            <v>18</v>
          </cell>
        </row>
        <row r="773">
          <cell r="C773" t="str">
            <v>24.02.01.02</v>
          </cell>
          <cell r="D773" t="str">
            <v>Tabica de gesso</v>
          </cell>
          <cell r="F773" t="str">
            <v xml:space="preserve">m </v>
          </cell>
          <cell r="G773">
            <v>4933</v>
          </cell>
          <cell r="H773">
            <v>5</v>
          </cell>
          <cell r="I773">
            <v>24665</v>
          </cell>
        </row>
        <row r="774">
          <cell r="C774">
            <v>348</v>
          </cell>
          <cell r="D774" t="str">
            <v>Tabica de gesso</v>
          </cell>
          <cell r="F774" t="str">
            <v>m</v>
          </cell>
          <cell r="G774">
            <v>1</v>
          </cell>
          <cell r="H774">
            <v>5</v>
          </cell>
          <cell r="I774">
            <v>5</v>
          </cell>
        </row>
        <row r="775">
          <cell r="C775" t="str">
            <v>24.02.01.05</v>
          </cell>
          <cell r="D775" t="str">
            <v>Fechamento em gesso alt. 25 cm</v>
          </cell>
          <cell r="F775" t="str">
            <v xml:space="preserve">m </v>
          </cell>
          <cell r="G775">
            <v>88</v>
          </cell>
          <cell r="H775">
            <v>20</v>
          </cell>
          <cell r="I775">
            <v>1760</v>
          </cell>
        </row>
        <row r="776">
          <cell r="C776">
            <v>349</v>
          </cell>
          <cell r="D776" t="str">
            <v>Fechamento em gesso alt. 25 cm</v>
          </cell>
          <cell r="F776" t="str">
            <v>m</v>
          </cell>
          <cell r="G776">
            <v>1</v>
          </cell>
          <cell r="H776">
            <v>20</v>
          </cell>
          <cell r="I776">
            <v>20</v>
          </cell>
        </row>
        <row r="777">
          <cell r="C777" t="str">
            <v>24.02.01.06</v>
          </cell>
          <cell r="D777" t="str">
            <v>Sanca de gesso - larg. 20 cm e alt. 20 cm</v>
          </cell>
          <cell r="F777" t="str">
            <v xml:space="preserve">m </v>
          </cell>
          <cell r="G777">
            <v>89</v>
          </cell>
          <cell r="H777">
            <v>25</v>
          </cell>
          <cell r="I777">
            <v>2225</v>
          </cell>
        </row>
        <row r="778">
          <cell r="C778">
            <v>350</v>
          </cell>
          <cell r="D778" t="str">
            <v>Sanca de gesso 20 x 20 cm</v>
          </cell>
          <cell r="F778" t="str">
            <v>m</v>
          </cell>
          <cell r="G778">
            <v>1</v>
          </cell>
          <cell r="H778">
            <v>25</v>
          </cell>
          <cell r="I778">
            <v>25</v>
          </cell>
        </row>
        <row r="779">
          <cell r="C779" t="str">
            <v>24.02.02.03</v>
          </cell>
          <cell r="D779" t="str">
            <v>Forro de gesso acartonado FGE - pano</v>
          </cell>
          <cell r="F779" t="str">
            <v xml:space="preserve">m2 </v>
          </cell>
          <cell r="G779">
            <v>3495</v>
          </cell>
          <cell r="H779">
            <v>28</v>
          </cell>
          <cell r="I779">
            <v>97860</v>
          </cell>
        </row>
        <row r="780">
          <cell r="C780">
            <v>351</v>
          </cell>
          <cell r="D780" t="str">
            <v>Forro de gesso acartonado FGE</v>
          </cell>
          <cell r="F780" t="str">
            <v>m2</v>
          </cell>
          <cell r="G780">
            <v>1</v>
          </cell>
          <cell r="H780">
            <v>28</v>
          </cell>
          <cell r="I780">
            <v>28</v>
          </cell>
        </row>
        <row r="781">
          <cell r="C781" t="str">
            <v>24.02.03.01</v>
          </cell>
          <cell r="D781" t="str">
            <v>Gesso liso em teto</v>
          </cell>
          <cell r="F781" t="str">
            <v xml:space="preserve">m2 </v>
          </cell>
          <cell r="G781">
            <v>1486</v>
          </cell>
          <cell r="H781">
            <v>13</v>
          </cell>
          <cell r="I781">
            <v>19318</v>
          </cell>
        </row>
        <row r="782">
          <cell r="C782">
            <v>352</v>
          </cell>
          <cell r="D782" t="str">
            <v>Gesso liso em teto</v>
          </cell>
          <cell r="F782" t="str">
            <v>m2</v>
          </cell>
          <cell r="G782">
            <v>1</v>
          </cell>
          <cell r="H782">
            <v>13</v>
          </cell>
          <cell r="I782">
            <v>13</v>
          </cell>
        </row>
        <row r="783">
          <cell r="C783" t="str">
            <v>24.04.01.01</v>
          </cell>
          <cell r="D783" t="str">
            <v>Tratamento de concreto em lajes, vigas e pilares</v>
          </cell>
          <cell r="F783" t="str">
            <v xml:space="preserve">m2 </v>
          </cell>
          <cell r="G783">
            <v>20343</v>
          </cell>
          <cell r="H783">
            <v>4.5</v>
          </cell>
          <cell r="I783">
            <v>91543.5</v>
          </cell>
        </row>
        <row r="784">
          <cell r="C784">
            <v>353</v>
          </cell>
          <cell r="D784" t="str">
            <v>MDO para tratamento de lajes, vigas e pilares de concreto</v>
          </cell>
          <cell r="F784" t="str">
            <v>m2</v>
          </cell>
          <cell r="G784">
            <v>1</v>
          </cell>
          <cell r="H784">
            <v>4.5</v>
          </cell>
          <cell r="I784">
            <v>4.5</v>
          </cell>
        </row>
        <row r="785">
          <cell r="C785" t="str">
            <v>25.01.01.01</v>
          </cell>
          <cell r="D785" t="str">
            <v>Regularização de piso para receber carpete</v>
          </cell>
          <cell r="F785" t="str">
            <v xml:space="preserve">m2 </v>
          </cell>
          <cell r="G785">
            <v>12118</v>
          </cell>
          <cell r="H785">
            <v>18.63</v>
          </cell>
          <cell r="I785">
            <v>225758.34</v>
          </cell>
        </row>
        <row r="786">
          <cell r="C786">
            <v>354</v>
          </cell>
          <cell r="D786" t="str">
            <v>MDO para regularização de piso espessura de até 5cm</v>
          </cell>
          <cell r="F786" t="str">
            <v>m2</v>
          </cell>
          <cell r="G786">
            <v>1</v>
          </cell>
          <cell r="H786">
            <v>11.5</v>
          </cell>
          <cell r="I786">
            <v>11.5</v>
          </cell>
        </row>
        <row r="787">
          <cell r="C787">
            <v>355</v>
          </cell>
          <cell r="D787" t="str">
            <v>Argamassa pronta para piso (Saco 50 kg)</v>
          </cell>
          <cell r="F787" t="str">
            <v>sc</v>
          </cell>
          <cell r="G787">
            <v>1</v>
          </cell>
          <cell r="H787">
            <v>7.13</v>
          </cell>
          <cell r="I787">
            <v>7.13</v>
          </cell>
        </row>
        <row r="788">
          <cell r="C788" t="str">
            <v>25.01.01.02</v>
          </cell>
          <cell r="D788" t="str">
            <v>Regularização de piso para receber piso cerâmico - vinílico - madeira</v>
          </cell>
          <cell r="F788" t="str">
            <v xml:space="preserve">m2 </v>
          </cell>
          <cell r="G788">
            <v>4581</v>
          </cell>
          <cell r="H788">
            <v>18.63</v>
          </cell>
          <cell r="I788">
            <v>85344.03</v>
          </cell>
        </row>
        <row r="789">
          <cell r="C789">
            <v>354</v>
          </cell>
          <cell r="D789" t="str">
            <v>MDO para regularização de piso espessura de até 5cm</v>
          </cell>
          <cell r="F789" t="str">
            <v>m2</v>
          </cell>
          <cell r="G789">
            <v>1</v>
          </cell>
          <cell r="H789">
            <v>11.5</v>
          </cell>
          <cell r="I789">
            <v>11.5</v>
          </cell>
        </row>
        <row r="790">
          <cell r="C790">
            <v>355</v>
          </cell>
          <cell r="D790" t="str">
            <v>Argamassa pronta para piso (Saco 50 kg)</v>
          </cell>
          <cell r="F790" t="str">
            <v>sc</v>
          </cell>
          <cell r="G790">
            <v>1</v>
          </cell>
          <cell r="H790">
            <v>7.13</v>
          </cell>
          <cell r="I790">
            <v>7.13</v>
          </cell>
        </row>
        <row r="791">
          <cell r="C791" t="str">
            <v>25.01.01.03</v>
          </cell>
          <cell r="D791" t="str">
            <v>Regularização de piso para receber pedra natural</v>
          </cell>
          <cell r="F791" t="str">
            <v xml:space="preserve">m2 </v>
          </cell>
          <cell r="G791">
            <v>778</v>
          </cell>
          <cell r="H791">
            <v>18.63</v>
          </cell>
          <cell r="I791">
            <v>14494.14</v>
          </cell>
        </row>
        <row r="792">
          <cell r="C792">
            <v>354</v>
          </cell>
          <cell r="D792" t="str">
            <v>MDO para regularização de piso espessura de até 5cm</v>
          </cell>
          <cell r="F792" t="str">
            <v>m2</v>
          </cell>
          <cell r="G792">
            <v>1</v>
          </cell>
          <cell r="H792">
            <v>11.5</v>
          </cell>
          <cell r="I792">
            <v>11.5</v>
          </cell>
        </row>
        <row r="793">
          <cell r="C793">
            <v>355</v>
          </cell>
          <cell r="D793" t="str">
            <v>Argamassa pronta para piso (Saco 50 kg)</v>
          </cell>
          <cell r="F793" t="str">
            <v>sc</v>
          </cell>
          <cell r="G793">
            <v>1</v>
          </cell>
          <cell r="H793">
            <v>7.13</v>
          </cell>
          <cell r="I793">
            <v>7.13</v>
          </cell>
        </row>
        <row r="794">
          <cell r="C794" t="str">
            <v>25.01.02.01</v>
          </cell>
          <cell r="D794" t="str">
            <v>Contrapiso e=5cm</v>
          </cell>
          <cell r="F794" t="str">
            <v xml:space="preserve">m2 </v>
          </cell>
          <cell r="G794">
            <v>263</v>
          </cell>
          <cell r="H794">
            <v>27.728000000000002</v>
          </cell>
          <cell r="I794">
            <v>7292.46</v>
          </cell>
        </row>
        <row r="795">
          <cell r="C795">
            <v>356</v>
          </cell>
          <cell r="D795" t="str">
            <v>Lastro de brita p/ fundações - e=5cm - apilloado</v>
          </cell>
          <cell r="F795" t="str">
            <v>m2</v>
          </cell>
          <cell r="G795">
            <v>0.4</v>
          </cell>
          <cell r="H795">
            <v>22.07</v>
          </cell>
          <cell r="I795">
            <v>8.8279999999999994</v>
          </cell>
        </row>
        <row r="796">
          <cell r="C796">
            <v>157</v>
          </cell>
          <cell r="D796" t="str">
            <v>Concreto fck=15 MPa slump 5±1</v>
          </cell>
          <cell r="F796" t="str">
            <v>m3</v>
          </cell>
          <cell r="G796">
            <v>0.06</v>
          </cell>
          <cell r="H796">
            <v>115</v>
          </cell>
          <cell r="I796">
            <v>6.9</v>
          </cell>
        </row>
        <row r="797">
          <cell r="C797">
            <v>357</v>
          </cell>
          <cell r="D797" t="str">
            <v>MDO para contra piso espessura de até 5cm</v>
          </cell>
          <cell r="F797" t="str">
            <v>m2</v>
          </cell>
          <cell r="G797">
            <v>1</v>
          </cell>
          <cell r="H797">
            <v>12</v>
          </cell>
          <cell r="I797">
            <v>12</v>
          </cell>
        </row>
        <row r="798">
          <cell r="C798" t="str">
            <v>25.01.02.02</v>
          </cell>
          <cell r="D798" t="str">
            <v>Contrapiso shafts visitáveis</v>
          </cell>
          <cell r="F798" t="str">
            <v xml:space="preserve">m2 </v>
          </cell>
          <cell r="G798">
            <v>80</v>
          </cell>
          <cell r="H798">
            <v>26.259999999999998</v>
          </cell>
          <cell r="I798">
            <v>2100.8000000000002</v>
          </cell>
        </row>
        <row r="799">
          <cell r="C799">
            <v>357</v>
          </cell>
          <cell r="D799" t="str">
            <v>MDO para contra piso espessura de até 5cm</v>
          </cell>
          <cell r="F799" t="str">
            <v>m2</v>
          </cell>
          <cell r="G799">
            <v>1</v>
          </cell>
          <cell r="H799">
            <v>12</v>
          </cell>
          <cell r="I799">
            <v>12</v>
          </cell>
        </row>
        <row r="800">
          <cell r="C800">
            <v>355</v>
          </cell>
          <cell r="D800" t="str">
            <v>Argamassa pronta para piso (Saco 50 kg)</v>
          </cell>
          <cell r="F800" t="str">
            <v>sc</v>
          </cell>
          <cell r="G800">
            <v>2</v>
          </cell>
          <cell r="H800">
            <v>7.13</v>
          </cell>
          <cell r="I800">
            <v>14.26</v>
          </cell>
        </row>
        <row r="801">
          <cell r="C801" t="str">
            <v>25.01.02.03</v>
          </cell>
          <cell r="D801" t="str">
            <v>Base de concreto para equipamentos e reservatórios alt. 15 cm</v>
          </cell>
          <cell r="F801" t="str">
            <v xml:space="preserve">m2 </v>
          </cell>
          <cell r="G801">
            <v>54</v>
          </cell>
          <cell r="H801">
            <v>43.524000000000001</v>
          </cell>
          <cell r="I801">
            <v>2350.3000000000002</v>
          </cell>
        </row>
        <row r="802">
          <cell r="C802">
            <v>358</v>
          </cell>
          <cell r="D802" t="str">
            <v>MDO para contra piso espessura entre 10 a 15cm</v>
          </cell>
          <cell r="F802" t="str">
            <v>m2</v>
          </cell>
          <cell r="G802">
            <v>1</v>
          </cell>
          <cell r="H802">
            <v>9.3000000000000007</v>
          </cell>
          <cell r="I802">
            <v>9.3000000000000007</v>
          </cell>
        </row>
        <row r="803">
          <cell r="C803">
            <v>355</v>
          </cell>
          <cell r="D803" t="str">
            <v>Argamassa pronta para piso (Saco 50 kg)</v>
          </cell>
          <cell r="F803" t="str">
            <v>sc</v>
          </cell>
          <cell r="G803">
            <v>4.8</v>
          </cell>
          <cell r="H803">
            <v>7.13</v>
          </cell>
          <cell r="I803">
            <v>34.223999999999997</v>
          </cell>
        </row>
        <row r="804">
          <cell r="C804" t="str">
            <v>25.01.03.01</v>
          </cell>
          <cell r="D804" t="str">
            <v>Execução de piso frisado para rampas</v>
          </cell>
          <cell r="F804" t="str">
            <v xml:space="preserve">m2 </v>
          </cell>
          <cell r="G804">
            <v>702</v>
          </cell>
          <cell r="H804">
            <v>24.55</v>
          </cell>
          <cell r="I804">
            <v>17234.099999999999</v>
          </cell>
        </row>
        <row r="805">
          <cell r="C805">
            <v>359</v>
          </cell>
          <cell r="D805" t="str">
            <v>MDO para piso frisado das rampas</v>
          </cell>
          <cell r="F805" t="str">
            <v>m2</v>
          </cell>
          <cell r="G805">
            <v>1</v>
          </cell>
          <cell r="H805">
            <v>16.5</v>
          </cell>
          <cell r="I805">
            <v>16.5</v>
          </cell>
        </row>
        <row r="806">
          <cell r="C806">
            <v>157</v>
          </cell>
          <cell r="D806" t="str">
            <v>Concreto fck=15 MPa slump 5±1</v>
          </cell>
          <cell r="F806" t="str">
            <v>m3</v>
          </cell>
          <cell r="G806">
            <v>7.0000000000000007E-2</v>
          </cell>
          <cell r="H806">
            <v>115</v>
          </cell>
          <cell r="I806">
            <v>8.0500000000000007</v>
          </cell>
        </row>
        <row r="807">
          <cell r="C807" t="str">
            <v>25.01.04.01</v>
          </cell>
          <cell r="D807" t="str">
            <v>Piso cimentado áreas técnicas</v>
          </cell>
          <cell r="F807" t="str">
            <v xml:space="preserve">m2 </v>
          </cell>
          <cell r="G807">
            <v>809</v>
          </cell>
          <cell r="H807">
            <v>17.204000000000001</v>
          </cell>
          <cell r="I807">
            <v>13918.04</v>
          </cell>
        </row>
        <row r="808">
          <cell r="C808">
            <v>360</v>
          </cell>
          <cell r="D808" t="str">
            <v>MDO para piso cimentado desempenado</v>
          </cell>
          <cell r="F808" t="str">
            <v>m2</v>
          </cell>
          <cell r="G808">
            <v>1</v>
          </cell>
          <cell r="H808">
            <v>11.5</v>
          </cell>
          <cell r="I808">
            <v>11.5</v>
          </cell>
        </row>
        <row r="809">
          <cell r="C809">
            <v>355</v>
          </cell>
          <cell r="D809" t="str">
            <v>Argamassa pronta para piso (Saco 50 kg)</v>
          </cell>
          <cell r="F809" t="str">
            <v>sc</v>
          </cell>
          <cell r="G809">
            <v>0.8</v>
          </cell>
          <cell r="H809">
            <v>7.13</v>
          </cell>
          <cell r="I809">
            <v>5.7039999999999997</v>
          </cell>
        </row>
        <row r="810">
          <cell r="C810" t="str">
            <v>25.01.04.02</v>
          </cell>
          <cell r="D810" t="str">
            <v>Piso cimentado liso em escadarias</v>
          </cell>
          <cell r="F810" t="str">
            <v xml:space="preserve">m2 </v>
          </cell>
          <cell r="G810">
            <v>425</v>
          </cell>
          <cell r="H810">
            <v>16.204000000000001</v>
          </cell>
          <cell r="I810">
            <v>6886.7</v>
          </cell>
        </row>
        <row r="811">
          <cell r="C811">
            <v>361</v>
          </cell>
          <cell r="D811" t="str">
            <v>MDO para piso cimentado queimado</v>
          </cell>
          <cell r="F811" t="str">
            <v>m2</v>
          </cell>
          <cell r="G811">
            <v>1</v>
          </cell>
          <cell r="H811">
            <v>10.5</v>
          </cell>
          <cell r="I811">
            <v>10.5</v>
          </cell>
        </row>
        <row r="812">
          <cell r="C812">
            <v>355</v>
          </cell>
          <cell r="D812" t="str">
            <v>Argamassa pronta para piso (Saco 50 kg)</v>
          </cell>
          <cell r="F812" t="str">
            <v>sc</v>
          </cell>
          <cell r="G812">
            <v>0.8</v>
          </cell>
          <cell r="H812">
            <v>7.13</v>
          </cell>
          <cell r="I812">
            <v>5.7039999999999997</v>
          </cell>
        </row>
        <row r="813">
          <cell r="C813" t="str">
            <v>25.01.04.03</v>
          </cell>
          <cell r="D813" t="str">
            <v>Degrau de escadaria cimentado</v>
          </cell>
          <cell r="F813" t="str">
            <v xml:space="preserve">m </v>
          </cell>
          <cell r="G813">
            <v>1141</v>
          </cell>
          <cell r="H813">
            <v>13.2121</v>
          </cell>
          <cell r="I813">
            <v>15075.01</v>
          </cell>
        </row>
        <row r="814">
          <cell r="C814">
            <v>355</v>
          </cell>
          <cell r="D814" t="str">
            <v>Argamassa pronta para piso (Saco 50 kg)</v>
          </cell>
          <cell r="F814" t="str">
            <v>sc</v>
          </cell>
          <cell r="G814">
            <v>0.17</v>
          </cell>
          <cell r="H814">
            <v>7.13</v>
          </cell>
          <cell r="I814">
            <v>1.2121</v>
          </cell>
        </row>
        <row r="815">
          <cell r="C815">
            <v>362</v>
          </cell>
          <cell r="D815" t="str">
            <v>MDO para degrau de cimentado em escadaria</v>
          </cell>
          <cell r="F815" t="str">
            <v>m</v>
          </cell>
          <cell r="G815">
            <v>1</v>
          </cell>
          <cell r="H815">
            <v>12</v>
          </cell>
          <cell r="I815">
            <v>12</v>
          </cell>
        </row>
        <row r="816">
          <cell r="C816" t="str">
            <v>25.01.04.04</v>
          </cell>
          <cell r="D816" t="str">
            <v>Rodapé cimentado escadaria</v>
          </cell>
          <cell r="F816" t="str">
            <v xml:space="preserve">m </v>
          </cell>
          <cell r="G816">
            <v>1161</v>
          </cell>
          <cell r="H816">
            <v>7.2120999999999995</v>
          </cell>
          <cell r="I816">
            <v>8373.25</v>
          </cell>
        </row>
        <row r="817">
          <cell r="C817">
            <v>363</v>
          </cell>
          <cell r="D817" t="str">
            <v>MDO para rodapé de cimentado em escadaria</v>
          </cell>
          <cell r="F817" t="str">
            <v>m</v>
          </cell>
          <cell r="G817">
            <v>1</v>
          </cell>
          <cell r="H817">
            <v>6</v>
          </cell>
          <cell r="I817">
            <v>6</v>
          </cell>
        </row>
        <row r="818">
          <cell r="C818">
            <v>355</v>
          </cell>
          <cell r="D818" t="str">
            <v>Argamassa pronta para piso (Saco 50 kg)</v>
          </cell>
          <cell r="F818" t="str">
            <v>sc</v>
          </cell>
          <cell r="G818">
            <v>0.17</v>
          </cell>
          <cell r="H818">
            <v>7.13</v>
          </cell>
          <cell r="I818">
            <v>1.2121</v>
          </cell>
        </row>
        <row r="819">
          <cell r="C819" t="str">
            <v>25.02.01.01</v>
          </cell>
          <cell r="D819" t="str">
            <v>Piso de concreto armado e=10cm</v>
          </cell>
          <cell r="F819" t="str">
            <v xml:space="preserve">m2 </v>
          </cell>
          <cell r="G819">
            <v>3670</v>
          </cell>
          <cell r="H819">
            <v>74.326000000000008</v>
          </cell>
          <cell r="I819">
            <v>272776.42</v>
          </cell>
        </row>
        <row r="820">
          <cell r="C820">
            <v>167</v>
          </cell>
          <cell r="D820" t="str">
            <v>Concreto fck=30 MPa slump 5±1</v>
          </cell>
          <cell r="F820" t="str">
            <v>m3</v>
          </cell>
          <cell r="G820">
            <v>0.15</v>
          </cell>
          <cell r="H820">
            <v>178.5</v>
          </cell>
          <cell r="I820">
            <v>26.774999999999999</v>
          </cell>
        </row>
        <row r="821">
          <cell r="C821">
            <v>364</v>
          </cell>
          <cell r="D821" t="str">
            <v>Tela soldada Q138 (rolo 2,45x60,0 m)</v>
          </cell>
          <cell r="F821" t="str">
            <v>rolo</v>
          </cell>
          <cell r="G821">
            <v>7.4999999999999997E-3</v>
          </cell>
          <cell r="H821">
            <v>1190</v>
          </cell>
          <cell r="I821">
            <v>8.9250000000000007</v>
          </cell>
        </row>
        <row r="822">
          <cell r="C822">
            <v>365</v>
          </cell>
          <cell r="D822" t="str">
            <v>MDO para piso de concreto sobre solo</v>
          </cell>
          <cell r="F822" t="str">
            <v>m2</v>
          </cell>
          <cell r="G822">
            <v>1</v>
          </cell>
          <cell r="H822">
            <v>28</v>
          </cell>
          <cell r="I822">
            <v>28</v>
          </cell>
        </row>
        <row r="823">
          <cell r="C823">
            <v>85</v>
          </cell>
          <cell r="D823" t="str">
            <v>Pedra n.º 1</v>
          </cell>
          <cell r="F823" t="str">
            <v>m3</v>
          </cell>
          <cell r="G823">
            <v>0.105</v>
          </cell>
          <cell r="H823">
            <v>42</v>
          </cell>
          <cell r="I823">
            <v>4.41</v>
          </cell>
        </row>
        <row r="824">
          <cell r="C824" t="str">
            <v>366</v>
          </cell>
          <cell r="D824" t="str">
            <v>Lona</v>
          </cell>
          <cell r="F824" t="str">
            <v>m²</v>
          </cell>
          <cell r="G824">
            <v>1.2</v>
          </cell>
          <cell r="H824">
            <v>0.37</v>
          </cell>
          <cell r="I824">
            <v>0.44400000000000001</v>
          </cell>
        </row>
        <row r="825">
          <cell r="C825" t="str">
            <v>367</v>
          </cell>
          <cell r="D825" t="str">
            <v>Barra de transferência</v>
          </cell>
          <cell r="F825" t="str">
            <v>kg</v>
          </cell>
          <cell r="G825">
            <v>0.5</v>
          </cell>
          <cell r="H825">
            <v>3</v>
          </cell>
          <cell r="I825">
            <v>1.5</v>
          </cell>
        </row>
        <row r="826">
          <cell r="C826" t="str">
            <v>368</v>
          </cell>
          <cell r="D826" t="str">
            <v>Treliça metálica para espaçador</v>
          </cell>
          <cell r="F826" t="str">
            <v>m</v>
          </cell>
          <cell r="G826">
            <v>1.6</v>
          </cell>
          <cell r="H826">
            <v>2.67</v>
          </cell>
          <cell r="I826">
            <v>4.2720000000000002</v>
          </cell>
        </row>
        <row r="827">
          <cell r="C827" t="str">
            <v>25.02.02.01</v>
          </cell>
          <cell r="D827" t="str">
            <v>Enchimento de piso</v>
          </cell>
          <cell r="F827" t="str">
            <v xml:space="preserve">m3 </v>
          </cell>
          <cell r="G827">
            <v>75</v>
          </cell>
          <cell r="H827">
            <v>18.899999999999999</v>
          </cell>
          <cell r="I827">
            <v>1417.5</v>
          </cell>
        </row>
        <row r="828">
          <cell r="C828">
            <v>157</v>
          </cell>
          <cell r="D828" t="str">
            <v>Concreto fck=15 MPa slump 5±1</v>
          </cell>
          <cell r="F828" t="str">
            <v>m3</v>
          </cell>
          <cell r="G828">
            <v>0.06</v>
          </cell>
          <cell r="H828">
            <v>115</v>
          </cell>
          <cell r="I828">
            <v>6.9</v>
          </cell>
        </row>
        <row r="829">
          <cell r="C829">
            <v>369</v>
          </cell>
          <cell r="D829" t="str">
            <v>MDO para enchimento de piso espessura de até 5cm</v>
          </cell>
          <cell r="F829" t="str">
            <v>m2</v>
          </cell>
          <cell r="G829">
            <v>1</v>
          </cell>
          <cell r="H829">
            <v>12</v>
          </cell>
          <cell r="I829">
            <v>12</v>
          </cell>
        </row>
        <row r="830">
          <cell r="C830" t="str">
            <v>25.02.06.01</v>
          </cell>
          <cell r="D830" t="str">
            <v>Piso intertravado intercity, linha: lista espessura: 8cm cor: camurça (bege médio) assentamento: junta amarrada</v>
          </cell>
          <cell r="F830" t="str">
            <v xml:space="preserve">m2 </v>
          </cell>
          <cell r="G830">
            <v>636</v>
          </cell>
          <cell r="H830">
            <v>50.5017</v>
          </cell>
          <cell r="I830">
            <v>32119.08</v>
          </cell>
        </row>
        <row r="831">
          <cell r="C831">
            <v>370</v>
          </cell>
          <cell r="D831" t="str">
            <v>Base de bica corrida esp. 5 cm</v>
          </cell>
          <cell r="F831" t="str">
            <v>m2</v>
          </cell>
          <cell r="G831">
            <v>1</v>
          </cell>
          <cell r="H831">
            <v>3.77</v>
          </cell>
          <cell r="I831">
            <v>3.77</v>
          </cell>
        </row>
        <row r="832">
          <cell r="C832">
            <v>371</v>
          </cell>
          <cell r="D832" t="str">
            <v>Abertura de caixa até 25 cm, com escavação e transporte até 1 km</v>
          </cell>
          <cell r="F832" t="str">
            <v>m2</v>
          </cell>
          <cell r="G832">
            <v>1</v>
          </cell>
          <cell r="H832">
            <v>2.83</v>
          </cell>
          <cell r="I832">
            <v>2.83</v>
          </cell>
        </row>
        <row r="833">
          <cell r="C833">
            <v>372</v>
          </cell>
          <cell r="D833" t="str">
            <v>Assentamento de piso intertravado colorido - mat + mdo</v>
          </cell>
          <cell r="F833" t="str">
            <v>m2</v>
          </cell>
          <cell r="G833">
            <v>1</v>
          </cell>
          <cell r="H833">
            <v>40.11</v>
          </cell>
          <cell r="I833">
            <v>40.11</v>
          </cell>
        </row>
        <row r="834">
          <cell r="C834">
            <v>373</v>
          </cell>
          <cell r="D834" t="str">
            <v>Carga e remoção de terra excedente para bota fora</v>
          </cell>
          <cell r="F834" t="str">
            <v>m3</v>
          </cell>
          <cell r="G834">
            <v>0.11</v>
          </cell>
          <cell r="H834">
            <v>34.47</v>
          </cell>
          <cell r="I834">
            <v>3.7917000000000001</v>
          </cell>
        </row>
        <row r="835">
          <cell r="C835" t="str">
            <v>25.02.06.02</v>
          </cell>
          <cell r="D835" t="str">
            <v>Piso intertravado intercity, linha: lista espessura: 8cm cor: camurça (bege claro) assentamento: junta amarrada</v>
          </cell>
          <cell r="F835" t="str">
            <v xml:space="preserve">m2 </v>
          </cell>
          <cell r="G835">
            <v>68</v>
          </cell>
          <cell r="H835">
            <v>50.5017</v>
          </cell>
          <cell r="I835">
            <v>3434.12</v>
          </cell>
        </row>
        <row r="836">
          <cell r="C836">
            <v>370</v>
          </cell>
          <cell r="D836" t="str">
            <v>Base de bica corrida esp. 5 cm</v>
          </cell>
          <cell r="F836" t="str">
            <v>m2</v>
          </cell>
          <cell r="G836">
            <v>1</v>
          </cell>
          <cell r="H836">
            <v>3.77</v>
          </cell>
          <cell r="I836">
            <v>3.77</v>
          </cell>
        </row>
        <row r="837">
          <cell r="C837">
            <v>371</v>
          </cell>
          <cell r="D837" t="str">
            <v>Abertura de caixa até 25 cm, com escavação e transporte até 1 km</v>
          </cell>
          <cell r="F837" t="str">
            <v>m2</v>
          </cell>
          <cell r="G837">
            <v>1</v>
          </cell>
          <cell r="H837">
            <v>2.83</v>
          </cell>
          <cell r="I837">
            <v>2.83</v>
          </cell>
        </row>
        <row r="838">
          <cell r="C838">
            <v>372</v>
          </cell>
          <cell r="D838" t="str">
            <v>Assentamento de piso intertravado colorido - mat + mdo</v>
          </cell>
          <cell r="F838" t="str">
            <v>m2</v>
          </cell>
          <cell r="G838">
            <v>1</v>
          </cell>
          <cell r="H838">
            <v>40.11</v>
          </cell>
          <cell r="I838">
            <v>40.11</v>
          </cell>
        </row>
        <row r="839">
          <cell r="C839">
            <v>373</v>
          </cell>
          <cell r="D839" t="str">
            <v>Carga e remoção de terra excedente para bota fora</v>
          </cell>
          <cell r="F839" t="str">
            <v>m3</v>
          </cell>
          <cell r="G839">
            <v>0.11</v>
          </cell>
          <cell r="H839">
            <v>34.47</v>
          </cell>
          <cell r="I839">
            <v>3.7917000000000001</v>
          </cell>
        </row>
        <row r="840">
          <cell r="C840" t="str">
            <v>25.02.06.03</v>
          </cell>
          <cell r="D840" t="str">
            <v>Concregrama braston, linha marroco cor grafite (86x57x8cm)</v>
          </cell>
          <cell r="F840" t="str">
            <v xml:space="preserve">m2 </v>
          </cell>
          <cell r="G840">
            <v>73</v>
          </cell>
          <cell r="H840">
            <v>61.999000000000002</v>
          </cell>
          <cell r="I840">
            <v>4525.93</v>
          </cell>
        </row>
        <row r="841">
          <cell r="C841">
            <v>374</v>
          </cell>
          <cell r="D841" t="str">
            <v>MDO para assentamento de piso grama</v>
          </cell>
          <cell r="F841" t="str">
            <v>m2</v>
          </cell>
          <cell r="G841">
            <v>1</v>
          </cell>
          <cell r="H841">
            <v>31.1</v>
          </cell>
          <cell r="I841">
            <v>31.1</v>
          </cell>
        </row>
        <row r="842">
          <cell r="C842">
            <v>375</v>
          </cell>
          <cell r="D842" t="str">
            <v>Concregrama braston, linha marroco cor grafite (86x57x8cm)</v>
          </cell>
          <cell r="F842" t="str">
            <v>m2</v>
          </cell>
          <cell r="G842">
            <v>1.1000000000000001</v>
          </cell>
          <cell r="H842">
            <v>28.09</v>
          </cell>
          <cell r="I842">
            <v>30.899000000000001</v>
          </cell>
        </row>
        <row r="843">
          <cell r="C843" t="str">
            <v>25.03.02.01</v>
          </cell>
          <cell r="D843" t="str">
            <v>Bit em granito branco Itaúnas</v>
          </cell>
          <cell r="F843" t="str">
            <v xml:space="preserve">m </v>
          </cell>
          <cell r="G843">
            <v>373</v>
          </cell>
          <cell r="H843">
            <v>38</v>
          </cell>
          <cell r="I843">
            <v>14174</v>
          </cell>
        </row>
        <row r="844">
          <cell r="C844">
            <v>376</v>
          </cell>
          <cell r="D844" t="str">
            <v>Bit em granito branco Itaúnas</v>
          </cell>
          <cell r="F844" t="str">
            <v>m</v>
          </cell>
          <cell r="G844">
            <v>1</v>
          </cell>
          <cell r="H844">
            <v>38</v>
          </cell>
          <cell r="I844">
            <v>38</v>
          </cell>
        </row>
        <row r="845">
          <cell r="C845" t="str">
            <v>25.03.02.03</v>
          </cell>
          <cell r="D845" t="str">
            <v>Soleira em granito polido Branco Itaúnas l=15cm</v>
          </cell>
          <cell r="F845" t="str">
            <v xml:space="preserve">m </v>
          </cell>
          <cell r="G845">
            <v>885</v>
          </cell>
          <cell r="H845">
            <v>52.673400000000008</v>
          </cell>
          <cell r="I845">
            <v>46615.96</v>
          </cell>
        </row>
        <row r="846">
          <cell r="C846">
            <v>377</v>
          </cell>
          <cell r="D846" t="str">
            <v>Soleira em granito polido Branco Itaúnas l=15cm</v>
          </cell>
          <cell r="F846" t="str">
            <v>m</v>
          </cell>
          <cell r="G846">
            <v>1.05</v>
          </cell>
          <cell r="H846">
            <v>49</v>
          </cell>
          <cell r="I846">
            <v>51.45</v>
          </cell>
        </row>
        <row r="847">
          <cell r="C847">
            <v>329</v>
          </cell>
          <cell r="D847" t="str">
            <v>Argamassa colante ferma marmore granito interna da Quartzolit® (sc 20Kg)</v>
          </cell>
          <cell r="F847" t="str">
            <v>sc</v>
          </cell>
          <cell r="G847">
            <v>6.7000000000000004E-2</v>
          </cell>
          <cell r="H847">
            <v>17</v>
          </cell>
          <cell r="I847">
            <v>1.139</v>
          </cell>
        </row>
        <row r="848">
          <cell r="C848">
            <v>330</v>
          </cell>
          <cell r="D848" t="str">
            <v>Rejunte SH porcelanato da Quartzolit® (caixa 5kg)</v>
          </cell>
          <cell r="F848" t="str">
            <v>CX</v>
          </cell>
          <cell r="G848">
            <v>8.4399999999999996E-3</v>
          </cell>
          <cell r="H848">
            <v>10</v>
          </cell>
          <cell r="I848">
            <v>8.4400000000000003E-2</v>
          </cell>
        </row>
        <row r="849">
          <cell r="C849" t="str">
            <v>25.03.02.05</v>
          </cell>
          <cell r="D849" t="str">
            <v>Piso em granito branco itaúna 60 x 60cm esp.=3cm</v>
          </cell>
          <cell r="F849" t="str">
            <v xml:space="preserve">m2 </v>
          </cell>
          <cell r="G849">
            <v>568</v>
          </cell>
          <cell r="H849">
            <v>200.0094</v>
          </cell>
          <cell r="I849">
            <v>113605.34</v>
          </cell>
        </row>
        <row r="850">
          <cell r="C850">
            <v>329</v>
          </cell>
          <cell r="D850" t="str">
            <v>Argamassa colante ferma marmore granito interna da Quartzolit® (sc 20Kg)</v>
          </cell>
          <cell r="F850" t="str">
            <v>sc</v>
          </cell>
          <cell r="G850">
            <v>2.5000000000000001E-2</v>
          </cell>
          <cell r="H850">
            <v>17</v>
          </cell>
          <cell r="I850">
            <v>0.42499999999999999</v>
          </cell>
        </row>
        <row r="851">
          <cell r="C851">
            <v>330</v>
          </cell>
          <cell r="D851" t="str">
            <v>Rejunte SH porcelanato da Quartzolit® (caixa 5kg)</v>
          </cell>
          <cell r="F851" t="str">
            <v>CX</v>
          </cell>
          <cell r="G851">
            <v>8.4399999999999996E-3</v>
          </cell>
          <cell r="H851">
            <v>10</v>
          </cell>
          <cell r="I851">
            <v>8.4400000000000003E-2</v>
          </cell>
        </row>
        <row r="852">
          <cell r="C852">
            <v>378</v>
          </cell>
          <cell r="D852" t="str">
            <v>Piso em granito branco itaúna 60 x 60cm esp.=3cm</v>
          </cell>
          <cell r="F852" t="str">
            <v>m2</v>
          </cell>
          <cell r="G852">
            <v>1.05</v>
          </cell>
          <cell r="H852">
            <v>190</v>
          </cell>
          <cell r="I852">
            <v>199.5</v>
          </cell>
        </row>
        <row r="853">
          <cell r="C853" t="str">
            <v>25.03.02.06</v>
          </cell>
          <cell r="D853" t="str">
            <v>Piso em granito polido Siberian e Branco Itaúnas (PAGINADO)</v>
          </cell>
          <cell r="F853" t="str">
            <v xml:space="preserve">m2 </v>
          </cell>
          <cell r="G853">
            <v>209</v>
          </cell>
          <cell r="H853">
            <v>240.5094</v>
          </cell>
          <cell r="I853">
            <v>50266.46</v>
          </cell>
        </row>
        <row r="854">
          <cell r="C854">
            <v>329</v>
          </cell>
          <cell r="D854" t="str">
            <v>Argamassa colante ferma marmore granito interna da Quartzolit® (sc 20Kg)</v>
          </cell>
          <cell r="F854" t="str">
            <v>sc</v>
          </cell>
          <cell r="G854">
            <v>2.5000000000000001E-2</v>
          </cell>
          <cell r="H854">
            <v>17</v>
          </cell>
          <cell r="I854">
            <v>0.42499999999999999</v>
          </cell>
        </row>
        <row r="855">
          <cell r="C855">
            <v>330</v>
          </cell>
          <cell r="D855" t="str">
            <v>Rejunte SH porcelanato da Quartzolit® (caixa 5kg)</v>
          </cell>
          <cell r="F855" t="str">
            <v>CX</v>
          </cell>
          <cell r="G855">
            <v>8.4399999999999996E-3</v>
          </cell>
          <cell r="H855">
            <v>10</v>
          </cell>
          <cell r="I855">
            <v>8.4400000000000003E-2</v>
          </cell>
        </row>
        <row r="856">
          <cell r="C856">
            <v>379</v>
          </cell>
          <cell r="D856" t="str">
            <v>Piso em granito polido preto São Gabriel e branco Itaúnas (PAGINADO)</v>
          </cell>
          <cell r="F856" t="str">
            <v>m2</v>
          </cell>
          <cell r="G856">
            <v>1</v>
          </cell>
          <cell r="H856">
            <v>240</v>
          </cell>
          <cell r="I856">
            <v>240</v>
          </cell>
        </row>
        <row r="857">
          <cell r="C857" t="str">
            <v>25.03.02.07</v>
          </cell>
          <cell r="D857" t="str">
            <v>Rodapé em granito branco Itaúna 7 x 60cm</v>
          </cell>
          <cell r="F857" t="str">
            <v xml:space="preserve">m </v>
          </cell>
          <cell r="G857">
            <v>728</v>
          </cell>
          <cell r="H857">
            <v>47.509399999999999</v>
          </cell>
          <cell r="I857">
            <v>34586.839999999997</v>
          </cell>
        </row>
        <row r="858">
          <cell r="C858">
            <v>329</v>
          </cell>
          <cell r="D858" t="str">
            <v>Argamassa colante ferma marmore granito interna da Quartzolit® (sc 20Kg)</v>
          </cell>
          <cell r="F858" t="str">
            <v>sc</v>
          </cell>
          <cell r="G858">
            <v>2.5000000000000001E-2</v>
          </cell>
          <cell r="H858">
            <v>17</v>
          </cell>
          <cell r="I858">
            <v>0.42499999999999999</v>
          </cell>
        </row>
        <row r="859">
          <cell r="C859">
            <v>330</v>
          </cell>
          <cell r="D859" t="str">
            <v>Rejunte SH porcelanato da Quartzolit® (caixa 5kg)</v>
          </cell>
          <cell r="F859" t="str">
            <v>CX</v>
          </cell>
          <cell r="G859">
            <v>8.4399999999999996E-3</v>
          </cell>
          <cell r="H859">
            <v>10</v>
          </cell>
          <cell r="I859">
            <v>8.4400000000000003E-2</v>
          </cell>
        </row>
        <row r="860">
          <cell r="C860">
            <v>380</v>
          </cell>
          <cell r="D860" t="str">
            <v>Rodapé em granito branco Itaúna 7 x 60cm</v>
          </cell>
          <cell r="F860" t="str">
            <v>m</v>
          </cell>
          <cell r="G860">
            <v>1</v>
          </cell>
          <cell r="H860">
            <v>47</v>
          </cell>
          <cell r="I860">
            <v>47</v>
          </cell>
        </row>
        <row r="861">
          <cell r="C861" t="str">
            <v>25.03.02.08</v>
          </cell>
          <cell r="D861" t="str">
            <v>Rodapé em granito branco Itaúna h = 20 cm</v>
          </cell>
          <cell r="F861" t="str">
            <v xml:space="preserve">m </v>
          </cell>
          <cell r="G861">
            <v>75</v>
          </cell>
          <cell r="H861">
            <v>64.509399999999999</v>
          </cell>
          <cell r="I861">
            <v>4838.21</v>
          </cell>
        </row>
        <row r="862">
          <cell r="C862">
            <v>329</v>
          </cell>
          <cell r="D862" t="str">
            <v>Argamassa colante ferma marmore granito interna da Quartzolit® (sc 20Kg)</v>
          </cell>
          <cell r="F862" t="str">
            <v>sc</v>
          </cell>
          <cell r="G862">
            <v>2.5000000000000001E-2</v>
          </cell>
          <cell r="H862">
            <v>17</v>
          </cell>
          <cell r="I862">
            <v>0.42499999999999999</v>
          </cell>
        </row>
        <row r="863">
          <cell r="C863">
            <v>330</v>
          </cell>
          <cell r="D863" t="str">
            <v>Rejunte SH porcelanato da Quartzolit® (caixa 5kg)</v>
          </cell>
          <cell r="F863" t="str">
            <v>CX</v>
          </cell>
          <cell r="G863">
            <v>8.4399999999999996E-3</v>
          </cell>
          <cell r="H863">
            <v>10</v>
          </cell>
          <cell r="I863">
            <v>8.4400000000000003E-2</v>
          </cell>
        </row>
        <row r="864">
          <cell r="C864">
            <v>381</v>
          </cell>
          <cell r="D864" t="str">
            <v>Rodapé em granito branco Itaúna h = 20 cm</v>
          </cell>
          <cell r="F864" t="str">
            <v>m</v>
          </cell>
          <cell r="G864">
            <v>1</v>
          </cell>
          <cell r="H864">
            <v>64</v>
          </cell>
          <cell r="I864">
            <v>64</v>
          </cell>
        </row>
        <row r="865">
          <cell r="C865" t="str">
            <v>25.03.02.09</v>
          </cell>
          <cell r="D865" t="str">
            <v>Piso em granito vermelho Capão Bonito, acabamento flameado esp.=3cm</v>
          </cell>
          <cell r="F865" t="str">
            <v xml:space="preserve">m2 </v>
          </cell>
          <cell r="G865">
            <v>34</v>
          </cell>
          <cell r="H865">
            <v>200.0094</v>
          </cell>
          <cell r="I865">
            <v>6800.32</v>
          </cell>
        </row>
        <row r="866">
          <cell r="C866">
            <v>329</v>
          </cell>
          <cell r="D866" t="str">
            <v>Argamassa colante ferma marmore granito interna da Quartzolit® (sc 20Kg)</v>
          </cell>
          <cell r="F866" t="str">
            <v>sc</v>
          </cell>
          <cell r="G866">
            <v>2.5000000000000001E-2</v>
          </cell>
          <cell r="H866">
            <v>17</v>
          </cell>
          <cell r="I866">
            <v>0.42499999999999999</v>
          </cell>
        </row>
        <row r="867">
          <cell r="C867">
            <v>330</v>
          </cell>
          <cell r="D867" t="str">
            <v>Rejunte SH porcelanato da Quartzolit® (caixa 5kg)</v>
          </cell>
          <cell r="F867" t="str">
            <v>CX</v>
          </cell>
          <cell r="G867">
            <v>8.4399999999999996E-3</v>
          </cell>
          <cell r="H867">
            <v>10</v>
          </cell>
          <cell r="I867">
            <v>8.4400000000000003E-2</v>
          </cell>
        </row>
        <row r="868">
          <cell r="C868">
            <v>382</v>
          </cell>
          <cell r="D868" t="str">
            <v>Piso em granito vermelho Capão Bonito, acabamento flameado</v>
          </cell>
          <cell r="F868" t="str">
            <v>m2</v>
          </cell>
          <cell r="G868">
            <v>1.05</v>
          </cell>
          <cell r="H868">
            <v>190</v>
          </cell>
          <cell r="I868">
            <v>199.5</v>
          </cell>
        </row>
        <row r="869">
          <cell r="C869" t="str">
            <v>25.03.02.10</v>
          </cell>
          <cell r="D869" t="str">
            <v>Piso em granito amarelo Santa Cecília, acabamento flameado esp.=3cm</v>
          </cell>
          <cell r="F869" t="str">
            <v xml:space="preserve">m2 </v>
          </cell>
          <cell r="G869">
            <v>34</v>
          </cell>
          <cell r="H869">
            <v>189.5094</v>
          </cell>
          <cell r="I869">
            <v>6443.32</v>
          </cell>
        </row>
        <row r="870">
          <cell r="C870">
            <v>329</v>
          </cell>
          <cell r="D870" t="str">
            <v>Argamassa colante ferma marmore granito interna da Quartzolit® (sc 20Kg)</v>
          </cell>
          <cell r="F870" t="str">
            <v>sc</v>
          </cell>
          <cell r="G870">
            <v>2.5000000000000001E-2</v>
          </cell>
          <cell r="H870">
            <v>17</v>
          </cell>
          <cell r="I870">
            <v>0.42499999999999999</v>
          </cell>
        </row>
        <row r="871">
          <cell r="C871">
            <v>330</v>
          </cell>
          <cell r="D871" t="str">
            <v>Rejunte SH porcelanato da Quartzolit® (caixa 5kg)</v>
          </cell>
          <cell r="F871" t="str">
            <v>CX</v>
          </cell>
          <cell r="G871">
            <v>8.4399999999999996E-3</v>
          </cell>
          <cell r="H871">
            <v>10</v>
          </cell>
          <cell r="I871">
            <v>8.4400000000000003E-2</v>
          </cell>
        </row>
        <row r="872">
          <cell r="C872">
            <v>383</v>
          </cell>
          <cell r="D872" t="str">
            <v>Piso em granito amarelo Santa Cecília, acabamento flameado</v>
          </cell>
          <cell r="F872" t="str">
            <v>m2</v>
          </cell>
          <cell r="G872">
            <v>1.05</v>
          </cell>
          <cell r="H872">
            <v>180</v>
          </cell>
          <cell r="I872">
            <v>189</v>
          </cell>
        </row>
        <row r="873">
          <cell r="C873" t="str">
            <v>25.03.02.11</v>
          </cell>
          <cell r="D873" t="str">
            <v>Piso em granito branco polar, acabamento flameado esp.=3cm</v>
          </cell>
          <cell r="F873" t="str">
            <v xml:space="preserve">m2 </v>
          </cell>
          <cell r="G873">
            <v>118</v>
          </cell>
          <cell r="H873">
            <v>257.75940000000003</v>
          </cell>
          <cell r="I873">
            <v>30415.61</v>
          </cell>
        </row>
        <row r="874">
          <cell r="C874">
            <v>329</v>
          </cell>
          <cell r="D874" t="str">
            <v>Argamassa colante ferma marmore granito interna da Quartzolit® (sc 20Kg)</v>
          </cell>
          <cell r="F874" t="str">
            <v>sc</v>
          </cell>
          <cell r="G874">
            <v>2.5000000000000001E-2</v>
          </cell>
          <cell r="H874">
            <v>17</v>
          </cell>
          <cell r="I874">
            <v>0.42499999999999999</v>
          </cell>
        </row>
        <row r="875">
          <cell r="C875">
            <v>330</v>
          </cell>
          <cell r="D875" t="str">
            <v>Rejunte SH porcelanato da Quartzolit® (caixa 5kg)</v>
          </cell>
          <cell r="F875" t="str">
            <v>CX</v>
          </cell>
          <cell r="G875">
            <v>8.4399999999999996E-3</v>
          </cell>
          <cell r="H875">
            <v>10</v>
          </cell>
          <cell r="I875">
            <v>8.4400000000000003E-2</v>
          </cell>
        </row>
        <row r="876">
          <cell r="C876">
            <v>384</v>
          </cell>
          <cell r="D876" t="str">
            <v>Piso em granito branco polar, acabamento flameado</v>
          </cell>
          <cell r="F876" t="str">
            <v>m2</v>
          </cell>
          <cell r="G876">
            <v>1.05</v>
          </cell>
          <cell r="H876">
            <v>245</v>
          </cell>
          <cell r="I876">
            <v>257.25</v>
          </cell>
        </row>
        <row r="877">
          <cell r="C877" t="str">
            <v>25.03.02.12</v>
          </cell>
          <cell r="D877" t="str">
            <v>Arremate em granito amarelo Santa Cecilia, acabamento flameado</v>
          </cell>
          <cell r="F877" t="str">
            <v xml:space="preserve">m </v>
          </cell>
          <cell r="G877">
            <v>51</v>
          </cell>
          <cell r="H877">
            <v>37.21</v>
          </cell>
          <cell r="I877">
            <v>1897.71</v>
          </cell>
        </row>
        <row r="878">
          <cell r="C878">
            <v>329</v>
          </cell>
          <cell r="D878" t="str">
            <v>Argamassa colante ferma marmore granito interna da Quartzolit® (sc 20Kg)</v>
          </cell>
          <cell r="F878" t="str">
            <v>sc</v>
          </cell>
          <cell r="G878">
            <v>0.01</v>
          </cell>
          <cell r="H878">
            <v>17</v>
          </cell>
          <cell r="I878">
            <v>0.17</v>
          </cell>
        </row>
        <row r="879">
          <cell r="C879">
            <v>330</v>
          </cell>
          <cell r="D879" t="str">
            <v>Rejunte SH porcelanato da Quartzolit® (caixa 5kg)</v>
          </cell>
          <cell r="F879" t="str">
            <v>CX</v>
          </cell>
          <cell r="G879">
            <v>4.0000000000000001E-3</v>
          </cell>
          <cell r="H879">
            <v>10</v>
          </cell>
          <cell r="I879">
            <v>0.04</v>
          </cell>
        </row>
        <row r="880">
          <cell r="C880">
            <v>385</v>
          </cell>
          <cell r="D880" t="str">
            <v>Arremate em granito amarelo Santa Cecilia, acabamento flameado</v>
          </cell>
          <cell r="F880" t="str">
            <v>m</v>
          </cell>
          <cell r="G880">
            <v>1</v>
          </cell>
          <cell r="H880">
            <v>37</v>
          </cell>
          <cell r="I880">
            <v>37</v>
          </cell>
        </row>
        <row r="881">
          <cell r="C881" t="str">
            <v>25.03.02.13</v>
          </cell>
          <cell r="D881" t="str">
            <v>Encabeçamento em granito amarelo Santa Cecilia, acabamento flameado</v>
          </cell>
          <cell r="F881" t="str">
            <v xml:space="preserve">m </v>
          </cell>
          <cell r="G881">
            <v>101</v>
          </cell>
          <cell r="H881">
            <v>37.21</v>
          </cell>
          <cell r="I881">
            <v>3758.21</v>
          </cell>
        </row>
        <row r="882">
          <cell r="C882">
            <v>329</v>
          </cell>
          <cell r="D882" t="str">
            <v>Argamassa colante ferma marmore granito interna da Quartzolit® (sc 20Kg)</v>
          </cell>
          <cell r="F882" t="str">
            <v>sc</v>
          </cell>
          <cell r="G882">
            <v>0.01</v>
          </cell>
          <cell r="H882">
            <v>17</v>
          </cell>
          <cell r="I882">
            <v>0.17</v>
          </cell>
        </row>
        <row r="883">
          <cell r="C883">
            <v>330</v>
          </cell>
          <cell r="D883" t="str">
            <v>Rejunte SH porcelanato da Quartzolit® (caixa 5kg)</v>
          </cell>
          <cell r="F883" t="str">
            <v>CX</v>
          </cell>
          <cell r="G883">
            <v>4.0000000000000001E-3</v>
          </cell>
          <cell r="H883">
            <v>10</v>
          </cell>
          <cell r="I883">
            <v>0.04</v>
          </cell>
        </row>
        <row r="884">
          <cell r="C884">
            <v>386</v>
          </cell>
          <cell r="D884" t="str">
            <v>Encabeçamento em granito amarelo Santa Cecilia, acabamento flameado</v>
          </cell>
          <cell r="F884" t="str">
            <v>m</v>
          </cell>
          <cell r="G884">
            <v>1</v>
          </cell>
          <cell r="H884">
            <v>37</v>
          </cell>
          <cell r="I884">
            <v>37</v>
          </cell>
        </row>
        <row r="885">
          <cell r="C885" t="str">
            <v>25.03.02.14</v>
          </cell>
          <cell r="D885" t="str">
            <v>Rodapé em granito vermelho Capão bonito, acabamento flameado</v>
          </cell>
          <cell r="F885" t="str">
            <v xml:space="preserve">m </v>
          </cell>
          <cell r="G885">
            <v>7</v>
          </cell>
          <cell r="H885">
            <v>44.509399999999999</v>
          </cell>
          <cell r="I885">
            <v>311.57</v>
          </cell>
        </row>
        <row r="886">
          <cell r="C886">
            <v>329</v>
          </cell>
          <cell r="D886" t="str">
            <v>Argamassa colante ferma marmore granito interna da Quartzolit® (sc 20Kg)</v>
          </cell>
          <cell r="F886" t="str">
            <v>sc</v>
          </cell>
          <cell r="G886">
            <v>2.5000000000000001E-2</v>
          </cell>
          <cell r="H886">
            <v>17</v>
          </cell>
          <cell r="I886">
            <v>0.42499999999999999</v>
          </cell>
        </row>
        <row r="887">
          <cell r="C887">
            <v>330</v>
          </cell>
          <cell r="D887" t="str">
            <v>Rejunte SH porcelanato da Quartzolit® (caixa 5kg)</v>
          </cell>
          <cell r="F887" t="str">
            <v>CX</v>
          </cell>
          <cell r="G887">
            <v>8.4399999999999996E-3</v>
          </cell>
          <cell r="H887">
            <v>10</v>
          </cell>
          <cell r="I887">
            <v>8.4400000000000003E-2</v>
          </cell>
        </row>
        <row r="888">
          <cell r="C888">
            <v>387</v>
          </cell>
          <cell r="D888" t="str">
            <v>Rodapé em granito vermelho Capão bonito, acabamento flameado</v>
          </cell>
          <cell r="F888" t="str">
            <v>m</v>
          </cell>
          <cell r="G888">
            <v>1</v>
          </cell>
          <cell r="H888">
            <v>44</v>
          </cell>
          <cell r="I888">
            <v>44</v>
          </cell>
        </row>
        <row r="889">
          <cell r="C889" t="str">
            <v>25.03.02.18</v>
          </cell>
          <cell r="D889" t="str">
            <v>Peitoril de granito branco Itaúnas I=15cm</v>
          </cell>
          <cell r="F889" t="str">
            <v xml:space="preserve">m </v>
          </cell>
          <cell r="G889">
            <v>1093</v>
          </cell>
          <cell r="H889">
            <v>45.509399999999999</v>
          </cell>
          <cell r="I889">
            <v>49741.77</v>
          </cell>
        </row>
        <row r="890">
          <cell r="C890">
            <v>329</v>
          </cell>
          <cell r="D890" t="str">
            <v>Argamassa colante ferma marmore granito interna da Quartzolit® (sc 20Kg)</v>
          </cell>
          <cell r="F890" t="str">
            <v>sc</v>
          </cell>
          <cell r="G890">
            <v>2.5000000000000001E-2</v>
          </cell>
          <cell r="H890">
            <v>17</v>
          </cell>
          <cell r="I890">
            <v>0.42499999999999999</v>
          </cell>
        </row>
        <row r="891">
          <cell r="C891">
            <v>330</v>
          </cell>
          <cell r="D891" t="str">
            <v>Rejunte SH porcelanato da Quartzolit® (caixa 5kg)</v>
          </cell>
          <cell r="F891" t="str">
            <v>CX</v>
          </cell>
          <cell r="G891">
            <v>8.4399999999999996E-3</v>
          </cell>
          <cell r="H891">
            <v>10</v>
          </cell>
          <cell r="I891">
            <v>8.4400000000000003E-2</v>
          </cell>
        </row>
        <row r="892">
          <cell r="C892">
            <v>388</v>
          </cell>
          <cell r="D892" t="str">
            <v>Peitoril de granito branco Itaúnas I=15cm</v>
          </cell>
          <cell r="F892" t="str">
            <v>m</v>
          </cell>
          <cell r="G892">
            <v>1</v>
          </cell>
          <cell r="H892">
            <v>45</v>
          </cell>
          <cell r="I892">
            <v>45</v>
          </cell>
        </row>
        <row r="893">
          <cell r="C893" t="str">
            <v>25.04.01.01</v>
          </cell>
          <cell r="D893" t="str">
            <v>Piso cerâmico 30x30cm linha Rhodes al da Cecrisa®</v>
          </cell>
          <cell r="F893" t="str">
            <v xml:space="preserve">m2 </v>
          </cell>
          <cell r="G893">
            <v>1603</v>
          </cell>
          <cell r="H893">
            <v>37.029316000000001</v>
          </cell>
          <cell r="I893">
            <v>59357.99</v>
          </cell>
        </row>
        <row r="894">
          <cell r="C894">
            <v>323</v>
          </cell>
          <cell r="D894" t="str">
            <v>Rejunte Juntaplus larga da Eliane® (Saco 5 kg)</v>
          </cell>
          <cell r="F894" t="str">
            <v>sc</v>
          </cell>
          <cell r="G894">
            <v>8.4400000000000003E-2</v>
          </cell>
          <cell r="H894">
            <v>11.39</v>
          </cell>
          <cell r="I894">
            <v>0.96131599999999995</v>
          </cell>
        </row>
        <row r="895">
          <cell r="C895">
            <v>324</v>
          </cell>
          <cell r="D895" t="str">
            <v>Argamassa colante uso interno, ref. ACI da Quartzolit (saco 20kg)</v>
          </cell>
          <cell r="F895" t="str">
            <v>sc</v>
          </cell>
          <cell r="G895">
            <v>0.25</v>
          </cell>
          <cell r="H895">
            <v>4.5</v>
          </cell>
          <cell r="I895">
            <v>1.125</v>
          </cell>
        </row>
        <row r="896">
          <cell r="C896">
            <v>390</v>
          </cell>
          <cell r="D896" t="str">
            <v>MDO para assentamento de piso cerâmico</v>
          </cell>
          <cell r="F896" t="str">
            <v>m2</v>
          </cell>
          <cell r="G896">
            <v>1</v>
          </cell>
          <cell r="H896">
            <v>18.5</v>
          </cell>
          <cell r="I896">
            <v>18.5</v>
          </cell>
        </row>
        <row r="897">
          <cell r="C897">
            <v>391</v>
          </cell>
          <cell r="D897" t="str">
            <v>Piso cerâmico 30x30cm linha Rhodes al da Cecrisa®</v>
          </cell>
          <cell r="F897" t="str">
            <v>m2</v>
          </cell>
          <cell r="G897">
            <v>1.05</v>
          </cell>
          <cell r="H897">
            <v>15.66</v>
          </cell>
          <cell r="I897">
            <v>16.443000000000001</v>
          </cell>
        </row>
        <row r="898">
          <cell r="C898" t="str">
            <v>25.04.01.02</v>
          </cell>
          <cell r="D898" t="str">
            <v>Cerâmica Cecrisa White Basic Matte 30x30 cm, ou similar das marcas Eliane, Incepa ou Portobello</v>
          </cell>
          <cell r="F898" t="str">
            <v xml:space="preserve">m2 </v>
          </cell>
          <cell r="G898">
            <v>318</v>
          </cell>
          <cell r="H898">
            <v>36.514279999999999</v>
          </cell>
          <cell r="I898">
            <v>11611.54</v>
          </cell>
        </row>
        <row r="899">
          <cell r="C899">
            <v>323</v>
          </cell>
          <cell r="D899" t="str">
            <v>Rejunte Juntaplus larga da Eliane® (Saco 5 kg)</v>
          </cell>
          <cell r="F899" t="str">
            <v>sc</v>
          </cell>
          <cell r="G899">
            <v>0.152</v>
          </cell>
          <cell r="H899">
            <v>11.39</v>
          </cell>
          <cell r="I899">
            <v>1.7312799999999999</v>
          </cell>
        </row>
        <row r="900">
          <cell r="C900">
            <v>390</v>
          </cell>
          <cell r="D900" t="str">
            <v>MDO para assentamento de piso cerâmico</v>
          </cell>
          <cell r="F900" t="str">
            <v>m2</v>
          </cell>
          <cell r="G900">
            <v>1</v>
          </cell>
          <cell r="H900">
            <v>18.5</v>
          </cell>
          <cell r="I900">
            <v>18.5</v>
          </cell>
        </row>
        <row r="901">
          <cell r="C901">
            <v>324</v>
          </cell>
          <cell r="D901" t="str">
            <v>Argamassa colante uso interno, ref. ACI da Quartzolit (saco 20kg)</v>
          </cell>
          <cell r="F901" t="str">
            <v>sc</v>
          </cell>
          <cell r="G901">
            <v>0.25</v>
          </cell>
          <cell r="H901">
            <v>4.5</v>
          </cell>
          <cell r="I901">
            <v>1.125</v>
          </cell>
        </row>
        <row r="902">
          <cell r="C902">
            <v>392</v>
          </cell>
          <cell r="D902" t="str">
            <v>Revestimento cerâmico 30x30cm linha white basic matte da Cecrisa®</v>
          </cell>
          <cell r="F902" t="str">
            <v>m2</v>
          </cell>
          <cell r="G902">
            <v>1.1000000000000001</v>
          </cell>
          <cell r="H902">
            <v>13.78</v>
          </cell>
          <cell r="I902">
            <v>15.157999999999999</v>
          </cell>
        </row>
        <row r="903">
          <cell r="C903" t="str">
            <v>25.04.01.03</v>
          </cell>
          <cell r="D903" t="str">
            <v>Piso cerâmico Duramax WH 45 x 45cm Portinari</v>
          </cell>
          <cell r="F903" t="str">
            <v xml:space="preserve">m2 </v>
          </cell>
          <cell r="G903">
            <v>1998</v>
          </cell>
          <cell r="H903">
            <v>53.729279999999996</v>
          </cell>
          <cell r="I903">
            <v>107351.1</v>
          </cell>
        </row>
        <row r="904">
          <cell r="C904">
            <v>323</v>
          </cell>
          <cell r="D904" t="str">
            <v>Rejunte Juntaplus larga da Eliane® (Saco 5 kg)</v>
          </cell>
          <cell r="F904" t="str">
            <v>sc</v>
          </cell>
          <cell r="G904">
            <v>0.152</v>
          </cell>
          <cell r="H904">
            <v>11.39</v>
          </cell>
          <cell r="I904">
            <v>1.7312799999999999</v>
          </cell>
        </row>
        <row r="905">
          <cell r="C905">
            <v>390</v>
          </cell>
          <cell r="D905" t="str">
            <v>MDO para assentamento de piso cerâmico</v>
          </cell>
          <cell r="F905" t="str">
            <v>m2</v>
          </cell>
          <cell r="G905">
            <v>1</v>
          </cell>
          <cell r="H905">
            <v>18.5</v>
          </cell>
          <cell r="I905">
            <v>18.5</v>
          </cell>
        </row>
        <row r="906">
          <cell r="C906">
            <v>324</v>
          </cell>
          <cell r="D906" t="str">
            <v>Argamassa colante uso interno, ref. ACI da Quartzolit (saco 20kg)</v>
          </cell>
          <cell r="F906" t="str">
            <v>sc</v>
          </cell>
          <cell r="G906">
            <v>0.25</v>
          </cell>
          <cell r="H906">
            <v>4.5</v>
          </cell>
          <cell r="I906">
            <v>1.125</v>
          </cell>
        </row>
        <row r="907">
          <cell r="C907">
            <v>393</v>
          </cell>
          <cell r="D907" t="str">
            <v>Piso cerâmico Duramax WH 45 x 45cm Portinari</v>
          </cell>
          <cell r="F907" t="str">
            <v>m2</v>
          </cell>
          <cell r="G907">
            <v>1.1000000000000001</v>
          </cell>
          <cell r="H907">
            <v>29.43</v>
          </cell>
          <cell r="I907">
            <v>32.372999999999998</v>
          </cell>
        </row>
        <row r="908">
          <cell r="C908" t="str">
            <v>25.04.01.04</v>
          </cell>
          <cell r="D908" t="str">
            <v>Rodapé cerâmico Duramax WH 45 x 45cm Portinari</v>
          </cell>
          <cell r="F908" t="str">
            <v xml:space="preserve">m </v>
          </cell>
          <cell r="G908">
            <v>449</v>
          </cell>
          <cell r="H908">
            <v>16.0106316</v>
          </cell>
          <cell r="I908">
            <v>7188.77</v>
          </cell>
        </row>
        <row r="909">
          <cell r="C909">
            <v>323</v>
          </cell>
          <cell r="D909" t="str">
            <v>Rejunte Juntaplus larga da Eliane® (Saco 5 kg)</v>
          </cell>
          <cell r="F909" t="str">
            <v>sc</v>
          </cell>
          <cell r="G909">
            <v>8.4399999999999996E-3</v>
          </cell>
          <cell r="H909">
            <v>11.39</v>
          </cell>
          <cell r="I909">
            <v>9.6131599999999998E-2</v>
          </cell>
        </row>
        <row r="910">
          <cell r="C910">
            <v>394</v>
          </cell>
          <cell r="D910" t="str">
            <v>MDO para assentamento de rodapé cerâmico</v>
          </cell>
          <cell r="F910" t="str">
            <v>m</v>
          </cell>
          <cell r="G910">
            <v>1</v>
          </cell>
          <cell r="H910">
            <v>9.25</v>
          </cell>
          <cell r="I910">
            <v>9.25</v>
          </cell>
        </row>
        <row r="911">
          <cell r="C911">
            <v>324</v>
          </cell>
          <cell r="D911" t="str">
            <v>Argamassa colante uso interno, ref. ACI da Quartzolit (saco 20kg)</v>
          </cell>
          <cell r="F911" t="str">
            <v>sc</v>
          </cell>
          <cell r="G911">
            <v>2.5000000000000001E-2</v>
          </cell>
          <cell r="H911">
            <v>4.5</v>
          </cell>
          <cell r="I911">
            <v>0.1125</v>
          </cell>
        </row>
        <row r="912">
          <cell r="C912">
            <v>395</v>
          </cell>
          <cell r="D912" t="str">
            <v>Rodapé cerâmico Duramax WH 45 x 45cm Portinari</v>
          </cell>
          <cell r="F912" t="str">
            <v>m</v>
          </cell>
          <cell r="G912">
            <v>1.05</v>
          </cell>
          <cell r="H912">
            <v>6.24</v>
          </cell>
          <cell r="I912">
            <v>6.5519999999999996</v>
          </cell>
        </row>
        <row r="913">
          <cell r="C913" t="str">
            <v>25.04.01.05</v>
          </cell>
          <cell r="D913" t="str">
            <v>Rodapé em Cerâmica Cecrisa Rhodes AL 7x30 ou similar das marcas Eliane, Gyotoku ou Portobello</v>
          </cell>
          <cell r="F913" t="str">
            <v xml:space="preserve">m </v>
          </cell>
          <cell r="G913">
            <v>1515</v>
          </cell>
          <cell r="H913">
            <v>18.4571316</v>
          </cell>
          <cell r="I913">
            <v>27962.55</v>
          </cell>
        </row>
        <row r="914">
          <cell r="C914">
            <v>323</v>
          </cell>
          <cell r="D914" t="str">
            <v>Rejunte Juntaplus larga da Eliane® (Saco 5 kg)</v>
          </cell>
          <cell r="F914" t="str">
            <v>sc</v>
          </cell>
          <cell r="G914">
            <v>8.4399999999999996E-3</v>
          </cell>
          <cell r="H914">
            <v>11.39</v>
          </cell>
          <cell r="I914">
            <v>9.6131599999999998E-2</v>
          </cell>
        </row>
        <row r="915">
          <cell r="C915">
            <v>394</v>
          </cell>
          <cell r="D915" t="str">
            <v>MDO para assentamento de rodapé cerâmico</v>
          </cell>
          <cell r="F915" t="str">
            <v>m</v>
          </cell>
          <cell r="G915">
            <v>1</v>
          </cell>
          <cell r="H915">
            <v>9.25</v>
          </cell>
          <cell r="I915">
            <v>9.25</v>
          </cell>
        </row>
        <row r="916">
          <cell r="C916">
            <v>324</v>
          </cell>
          <cell r="D916" t="str">
            <v>Argamassa colante uso interno, ref. ACI da Quartzolit (saco 20kg)</v>
          </cell>
          <cell r="F916" t="str">
            <v>sc</v>
          </cell>
          <cell r="G916">
            <v>2.5000000000000001E-2</v>
          </cell>
          <cell r="H916">
            <v>4.5</v>
          </cell>
          <cell r="I916">
            <v>0.1125</v>
          </cell>
        </row>
        <row r="917">
          <cell r="C917">
            <v>396</v>
          </cell>
          <cell r="D917" t="str">
            <v>Rodapé em Cerâmica Cecrisa Rhodes AL 7x30 ou similar das marcas Eliane, Gyotoku ou Portobello</v>
          </cell>
          <cell r="F917" t="str">
            <v>m</v>
          </cell>
          <cell r="G917">
            <v>1.05</v>
          </cell>
          <cell r="H917">
            <v>8.57</v>
          </cell>
          <cell r="I917">
            <v>8.9984999999999999</v>
          </cell>
        </row>
        <row r="918">
          <cell r="C918" t="str">
            <v>25.04.01.06</v>
          </cell>
          <cell r="D918" t="str">
            <v>Rodapé Cecrisa White Basic Mate 7 x 30cm , ou similar</v>
          </cell>
          <cell r="F918" t="str">
            <v xml:space="preserve">m </v>
          </cell>
          <cell r="G918">
            <v>78</v>
          </cell>
          <cell r="H918">
            <v>15.055131599999999</v>
          </cell>
          <cell r="I918">
            <v>1174.3</v>
          </cell>
        </row>
        <row r="919">
          <cell r="C919">
            <v>323</v>
          </cell>
          <cell r="D919" t="str">
            <v>Rejunte Juntaplus larga da Eliane® (Saco 5 kg)</v>
          </cell>
          <cell r="F919" t="str">
            <v>sc</v>
          </cell>
          <cell r="G919">
            <v>8.4399999999999996E-3</v>
          </cell>
          <cell r="H919">
            <v>11.39</v>
          </cell>
          <cell r="I919">
            <v>9.6131599999999998E-2</v>
          </cell>
        </row>
        <row r="920">
          <cell r="C920">
            <v>394</v>
          </cell>
          <cell r="D920" t="str">
            <v>MDO para assentamento de rodapé cerâmico</v>
          </cell>
          <cell r="F920" t="str">
            <v>m</v>
          </cell>
          <cell r="G920">
            <v>1</v>
          </cell>
          <cell r="H920">
            <v>9.25</v>
          </cell>
          <cell r="I920">
            <v>9.25</v>
          </cell>
        </row>
        <row r="921">
          <cell r="C921">
            <v>324</v>
          </cell>
          <cell r="D921" t="str">
            <v>Argamassa colante uso interno, ref. ACI da Quartzolit (saco 20kg)</v>
          </cell>
          <cell r="F921" t="str">
            <v>sc</v>
          </cell>
          <cell r="G921">
            <v>2.5000000000000001E-2</v>
          </cell>
          <cell r="H921">
            <v>4.5</v>
          </cell>
          <cell r="I921">
            <v>0.1125</v>
          </cell>
        </row>
        <row r="922">
          <cell r="C922">
            <v>397</v>
          </cell>
          <cell r="D922" t="str">
            <v>Rodapé Cecrisa White Basic Mate 7 x 30cm, ou similar</v>
          </cell>
          <cell r="F922" t="str">
            <v>m</v>
          </cell>
          <cell r="G922">
            <v>1.05</v>
          </cell>
          <cell r="H922">
            <v>5.33</v>
          </cell>
          <cell r="I922">
            <v>5.5964999999999998</v>
          </cell>
        </row>
        <row r="923">
          <cell r="C923" t="str">
            <v>25.04.03.01</v>
          </cell>
          <cell r="D923" t="str">
            <v>Pastilha Atlas, 5x5cm, na cor azul inhauma (escuro)</v>
          </cell>
          <cell r="F923" t="str">
            <v xml:space="preserve">m2 </v>
          </cell>
          <cell r="G923">
            <v>59</v>
          </cell>
          <cell r="H923">
            <v>94.739000000000004</v>
          </cell>
          <cell r="I923">
            <v>5589.6</v>
          </cell>
        </row>
        <row r="924">
          <cell r="C924">
            <v>323</v>
          </cell>
          <cell r="D924" t="str">
            <v>Rejunte Juntaplus larga da Eliane® (Saco 5 kg)</v>
          </cell>
          <cell r="F924" t="str">
            <v>sc</v>
          </cell>
          <cell r="G924">
            <v>0.1</v>
          </cell>
          <cell r="H924">
            <v>11.39</v>
          </cell>
          <cell r="I924">
            <v>1.139</v>
          </cell>
        </row>
        <row r="925">
          <cell r="C925">
            <v>398</v>
          </cell>
          <cell r="D925" t="str">
            <v>MDO para assentamento de pastilhas cerâmicas em panos</v>
          </cell>
          <cell r="F925" t="str">
            <v>m2</v>
          </cell>
          <cell r="G925">
            <v>1</v>
          </cell>
          <cell r="H925">
            <v>21</v>
          </cell>
          <cell r="I925">
            <v>21</v>
          </cell>
        </row>
        <row r="926">
          <cell r="C926">
            <v>399</v>
          </cell>
          <cell r="D926" t="str">
            <v>Argamassa colante ferma pastilhas da Quartzolit® (sc 20kg)</v>
          </cell>
          <cell r="F926" t="str">
            <v>sc</v>
          </cell>
          <cell r="G926">
            <v>0.2</v>
          </cell>
          <cell r="H926">
            <v>22</v>
          </cell>
          <cell r="I926">
            <v>4.4000000000000004</v>
          </cell>
        </row>
        <row r="927">
          <cell r="C927">
            <v>400</v>
          </cell>
          <cell r="D927" t="str">
            <v>Pastilha atlas, 5x5cm, na cor azul inhauma (escuro)</v>
          </cell>
          <cell r="F927" t="str">
            <v>m2</v>
          </cell>
          <cell r="G927">
            <v>1</v>
          </cell>
          <cell r="H927">
            <v>68.2</v>
          </cell>
          <cell r="I927">
            <v>68.2</v>
          </cell>
        </row>
        <row r="928">
          <cell r="C928" t="str">
            <v>25.05.01.01</v>
          </cell>
          <cell r="D928" t="str">
            <v>Piso pronto engenheirado frejo - ref. Expama</v>
          </cell>
          <cell r="F928" t="str">
            <v xml:space="preserve">m2 </v>
          </cell>
          <cell r="G928">
            <v>475</v>
          </cell>
          <cell r="H928">
            <v>158</v>
          </cell>
          <cell r="I928">
            <v>75050</v>
          </cell>
        </row>
        <row r="929">
          <cell r="C929">
            <v>401</v>
          </cell>
          <cell r="D929" t="str">
            <v>Piso pronto engenheirado frejo - ref. Expama</v>
          </cell>
          <cell r="F929" t="str">
            <v>m2</v>
          </cell>
          <cell r="G929">
            <v>1</v>
          </cell>
          <cell r="H929">
            <v>158</v>
          </cell>
          <cell r="I929">
            <v>158</v>
          </cell>
        </row>
        <row r="930">
          <cell r="C930" t="str">
            <v>25.05.01.02</v>
          </cell>
          <cell r="D930" t="str">
            <v>Rodapé em piso pronto engenheirado frejo - ref. Expama</v>
          </cell>
          <cell r="F930" t="str">
            <v xml:space="preserve">m </v>
          </cell>
          <cell r="G930">
            <v>203</v>
          </cell>
          <cell r="H930">
            <v>21</v>
          </cell>
          <cell r="I930">
            <v>4263</v>
          </cell>
        </row>
        <row r="931">
          <cell r="C931">
            <v>402</v>
          </cell>
          <cell r="D931" t="str">
            <v>Rodapé em piso pronto engenheirado frejo - ref. Expama</v>
          </cell>
          <cell r="F931" t="str">
            <v>m</v>
          </cell>
          <cell r="G931">
            <v>1</v>
          </cell>
          <cell r="H931">
            <v>21</v>
          </cell>
          <cell r="I931">
            <v>21</v>
          </cell>
        </row>
        <row r="932">
          <cell r="C932" t="str">
            <v>25.05.01.03</v>
          </cell>
          <cell r="D932" t="str">
            <v>Deck em madeira cumaru (prever aplicação de stain - osmocolor st cor transparente)</v>
          </cell>
          <cell r="F932" t="str">
            <v xml:space="preserve">m2 </v>
          </cell>
          <cell r="G932">
            <v>35</v>
          </cell>
          <cell r="H932">
            <v>253</v>
          </cell>
          <cell r="I932">
            <v>8855</v>
          </cell>
        </row>
        <row r="933">
          <cell r="C933">
            <v>403</v>
          </cell>
          <cell r="D933" t="str">
            <v>Rodapé em piso pronto engenheirado frejo - ref. Expama</v>
          </cell>
          <cell r="F933" t="str">
            <v>m</v>
          </cell>
          <cell r="G933">
            <v>1</v>
          </cell>
          <cell r="H933">
            <v>253</v>
          </cell>
          <cell r="I933">
            <v>253</v>
          </cell>
        </row>
        <row r="934">
          <cell r="C934" t="str">
            <v>25.05.01.04</v>
          </cell>
          <cell r="D934" t="str">
            <v>Arremate em madeira angelim esp 6cm</v>
          </cell>
          <cell r="F934" t="str">
            <v xml:space="preserve">m </v>
          </cell>
          <cell r="G934">
            <v>69</v>
          </cell>
          <cell r="H934">
            <v>280</v>
          </cell>
          <cell r="I934">
            <v>19320</v>
          </cell>
        </row>
        <row r="935">
          <cell r="C935">
            <v>404</v>
          </cell>
          <cell r="D935" t="str">
            <v>Arremate em madeira angelim esp 6cm</v>
          </cell>
          <cell r="F935" t="str">
            <v>m</v>
          </cell>
          <cell r="G935">
            <v>1</v>
          </cell>
          <cell r="H935">
            <v>280</v>
          </cell>
          <cell r="I935">
            <v>280</v>
          </cell>
        </row>
        <row r="936">
          <cell r="C936" t="str">
            <v>25.05.01.05</v>
          </cell>
          <cell r="D936" t="str">
            <v>Degrau em madeira (pisada + espelho)</v>
          </cell>
          <cell r="F936" t="str">
            <v xml:space="preserve">m </v>
          </cell>
          <cell r="G936">
            <v>77</v>
          </cell>
          <cell r="H936">
            <v>265</v>
          </cell>
          <cell r="I936">
            <v>20405</v>
          </cell>
        </row>
        <row r="937">
          <cell r="C937">
            <v>405</v>
          </cell>
          <cell r="D937" t="str">
            <v>Degrau em madeira</v>
          </cell>
          <cell r="F937" t="str">
            <v>m</v>
          </cell>
          <cell r="G937">
            <v>1</v>
          </cell>
          <cell r="H937">
            <v>265</v>
          </cell>
          <cell r="I937">
            <v>265</v>
          </cell>
        </row>
        <row r="938">
          <cell r="C938" t="str">
            <v>25.07.01.01</v>
          </cell>
          <cell r="D938" t="str">
            <v>Piso tecnogran linha lavaggio cor branco 07-6313 (40x40cm)</v>
          </cell>
          <cell r="F938" t="str">
            <v xml:space="preserve">m2 </v>
          </cell>
          <cell r="G938">
            <v>659</v>
          </cell>
          <cell r="H938">
            <v>77.492220000000003</v>
          </cell>
          <cell r="I938">
            <v>51067.37</v>
          </cell>
        </row>
        <row r="939">
          <cell r="C939" t="str">
            <v>555A</v>
          </cell>
          <cell r="D939" t="str">
            <v>Cimento Portland Composto CPII-E32 (saco 50kg)</v>
          </cell>
          <cell r="F939" t="str">
            <v>sc</v>
          </cell>
          <cell r="G939">
            <v>5.6000000000000001E-2</v>
          </cell>
          <cell r="H939">
            <v>13.4</v>
          </cell>
          <cell r="I939">
            <v>0.75039999999999996</v>
          </cell>
        </row>
        <row r="940">
          <cell r="C940">
            <v>406</v>
          </cell>
          <cell r="D940" t="str">
            <v>Cal hidratada (saco 20kg)</v>
          </cell>
          <cell r="F940" t="str">
            <v>sc</v>
          </cell>
          <cell r="G940">
            <v>0.13650000000000001</v>
          </cell>
          <cell r="H940">
            <v>6.68</v>
          </cell>
          <cell r="I940">
            <v>0.91181999999999996</v>
          </cell>
        </row>
        <row r="941">
          <cell r="C941">
            <v>84</v>
          </cell>
          <cell r="D941" t="str">
            <v>Areia</v>
          </cell>
          <cell r="F941" t="str">
            <v>m3</v>
          </cell>
          <cell r="G941">
            <v>1.8200000000000001E-2</v>
          </cell>
          <cell r="H941">
            <v>50</v>
          </cell>
          <cell r="I941">
            <v>0.91</v>
          </cell>
        </row>
        <row r="942">
          <cell r="C942">
            <v>407</v>
          </cell>
          <cell r="D942" t="str">
            <v>Piso tecnogran linha lavaggio cor branco 07-6313 (40x40cm)</v>
          </cell>
          <cell r="F942" t="str">
            <v>m2</v>
          </cell>
          <cell r="G942">
            <v>1</v>
          </cell>
          <cell r="H942">
            <v>45</v>
          </cell>
          <cell r="I942">
            <v>45</v>
          </cell>
        </row>
        <row r="943">
          <cell r="C943">
            <v>408</v>
          </cell>
          <cell r="D943" t="str">
            <v>MDO para execução de piso de alta resistência</v>
          </cell>
          <cell r="F943" t="str">
            <v>m2</v>
          </cell>
          <cell r="G943">
            <v>1</v>
          </cell>
          <cell r="H943">
            <v>26.5</v>
          </cell>
          <cell r="I943">
            <v>26.5</v>
          </cell>
        </row>
        <row r="944">
          <cell r="C944" t="str">
            <v>409</v>
          </cell>
          <cell r="D944" t="str">
            <v>Rejunte</v>
          </cell>
          <cell r="F944" t="str">
            <v>m2</v>
          </cell>
          <cell r="G944">
            <v>1</v>
          </cell>
          <cell r="H944">
            <v>3.42</v>
          </cell>
          <cell r="I944">
            <v>3.42</v>
          </cell>
        </row>
        <row r="945">
          <cell r="C945" t="str">
            <v>25.07.01.02</v>
          </cell>
          <cell r="D945" t="str">
            <v>Piso tecnogran linha lavaggio cor bege 07-7475 (40x40cm)</v>
          </cell>
          <cell r="F945" t="str">
            <v xml:space="preserve">m2 </v>
          </cell>
          <cell r="G945">
            <v>897</v>
          </cell>
          <cell r="H945">
            <v>77.492220000000003</v>
          </cell>
          <cell r="I945">
            <v>69510.52</v>
          </cell>
        </row>
        <row r="946">
          <cell r="C946" t="str">
            <v>555A</v>
          </cell>
          <cell r="D946" t="str">
            <v>Cimento Portland Composto CPII-E32 (saco 50kg)</v>
          </cell>
          <cell r="F946" t="str">
            <v>sc</v>
          </cell>
          <cell r="G946">
            <v>5.6000000000000001E-2</v>
          </cell>
          <cell r="H946">
            <v>13.4</v>
          </cell>
          <cell r="I946">
            <v>0.75039999999999996</v>
          </cell>
        </row>
        <row r="947">
          <cell r="C947">
            <v>406</v>
          </cell>
          <cell r="D947" t="str">
            <v>Cal hidratada (saco 20kg)</v>
          </cell>
          <cell r="F947" t="str">
            <v>sc</v>
          </cell>
          <cell r="G947">
            <v>0.13650000000000001</v>
          </cell>
          <cell r="H947">
            <v>6.68</v>
          </cell>
          <cell r="I947">
            <v>0.91181999999999996</v>
          </cell>
        </row>
        <row r="948">
          <cell r="C948">
            <v>84</v>
          </cell>
          <cell r="D948" t="str">
            <v>Areia</v>
          </cell>
          <cell r="F948" t="str">
            <v>m3</v>
          </cell>
          <cell r="G948">
            <v>1.8200000000000001E-2</v>
          </cell>
          <cell r="H948">
            <v>50</v>
          </cell>
          <cell r="I948">
            <v>0.91</v>
          </cell>
        </row>
        <row r="949">
          <cell r="C949" t="str">
            <v>409</v>
          </cell>
          <cell r="D949" t="str">
            <v>Rejunte</v>
          </cell>
          <cell r="F949" t="str">
            <v>m2</v>
          </cell>
          <cell r="G949">
            <v>1</v>
          </cell>
          <cell r="H949">
            <v>3.42</v>
          </cell>
          <cell r="I949">
            <v>3.42</v>
          </cell>
        </row>
        <row r="950">
          <cell r="C950">
            <v>408</v>
          </cell>
          <cell r="D950" t="str">
            <v>MDO para execução de piso de alta resistência</v>
          </cell>
          <cell r="F950" t="str">
            <v>m2</v>
          </cell>
          <cell r="G950">
            <v>1</v>
          </cell>
          <cell r="H950">
            <v>26.5</v>
          </cell>
          <cell r="I950">
            <v>26.5</v>
          </cell>
        </row>
        <row r="951">
          <cell r="C951">
            <v>410</v>
          </cell>
          <cell r="D951" t="str">
            <v>Piso tecnogran linha lavaggio cor bege 07-7475 (40x40cm)</v>
          </cell>
          <cell r="F951" t="str">
            <v>m2</v>
          </cell>
          <cell r="G951">
            <v>1</v>
          </cell>
          <cell r="H951">
            <v>45</v>
          </cell>
          <cell r="I951">
            <v>45</v>
          </cell>
        </row>
        <row r="952">
          <cell r="C952" t="str">
            <v>25.07.01.03</v>
          </cell>
          <cell r="D952" t="str">
            <v>Piso tecnogran linha lavaggio cor branco 07-6313 (40x40cm) - faixa de demarcação</v>
          </cell>
          <cell r="F952" t="str">
            <v xml:space="preserve">m </v>
          </cell>
          <cell r="G952">
            <v>394</v>
          </cell>
          <cell r="H952">
            <v>77.492220000000003</v>
          </cell>
          <cell r="I952">
            <v>30531.93</v>
          </cell>
        </row>
        <row r="953">
          <cell r="C953" t="str">
            <v>555A</v>
          </cell>
          <cell r="D953" t="str">
            <v>Cimento Portland Composto CPII-E32 (saco 50kg)</v>
          </cell>
          <cell r="F953" t="str">
            <v>sc</v>
          </cell>
          <cell r="G953">
            <v>5.6000000000000001E-2</v>
          </cell>
          <cell r="H953">
            <v>13.4</v>
          </cell>
          <cell r="I953">
            <v>0.75039999999999996</v>
          </cell>
        </row>
        <row r="954">
          <cell r="C954">
            <v>406</v>
          </cell>
          <cell r="D954" t="str">
            <v>Cal hidratada (saco 20kg)</v>
          </cell>
          <cell r="F954" t="str">
            <v>sc</v>
          </cell>
          <cell r="G954">
            <v>0.13650000000000001</v>
          </cell>
          <cell r="H954">
            <v>6.68</v>
          </cell>
          <cell r="I954">
            <v>0.91181999999999996</v>
          </cell>
        </row>
        <row r="955">
          <cell r="C955">
            <v>84</v>
          </cell>
          <cell r="D955" t="str">
            <v>Areia</v>
          </cell>
          <cell r="F955" t="str">
            <v>m3</v>
          </cell>
          <cell r="G955">
            <v>1.8200000000000001E-2</v>
          </cell>
          <cell r="H955">
            <v>50</v>
          </cell>
          <cell r="I955">
            <v>0.91</v>
          </cell>
        </row>
        <row r="956">
          <cell r="C956" t="str">
            <v>409</v>
          </cell>
          <cell r="D956" t="str">
            <v>Rejunte</v>
          </cell>
          <cell r="F956" t="str">
            <v>m2</v>
          </cell>
          <cell r="G956">
            <v>1</v>
          </cell>
          <cell r="H956">
            <v>3.42</v>
          </cell>
          <cell r="I956">
            <v>3.42</v>
          </cell>
        </row>
        <row r="957">
          <cell r="C957">
            <v>408</v>
          </cell>
          <cell r="D957" t="str">
            <v>MDO para execução de piso de alta resistência</v>
          </cell>
          <cell r="F957" t="str">
            <v>m2</v>
          </cell>
          <cell r="G957">
            <v>1</v>
          </cell>
          <cell r="H957">
            <v>26.5</v>
          </cell>
          <cell r="I957">
            <v>26.5</v>
          </cell>
        </row>
        <row r="958">
          <cell r="C958">
            <v>411</v>
          </cell>
          <cell r="D958" t="str">
            <v>Piso tecnogran linha lavaggio cor branco 07-6313 (40x40cm) - faixa de demarcação</v>
          </cell>
          <cell r="F958" t="str">
            <v>m</v>
          </cell>
          <cell r="G958">
            <v>1</v>
          </cell>
          <cell r="H958">
            <v>45</v>
          </cell>
          <cell r="I958">
            <v>45</v>
          </cell>
        </row>
        <row r="959">
          <cell r="C959" t="str">
            <v>25.07.01.04</v>
          </cell>
          <cell r="D959" t="str">
            <v>Rodapé em tecnogran linha lavaggio cor branco 07-6313 (40x40cm)</v>
          </cell>
          <cell r="F959" t="str">
            <v xml:space="preserve">m </v>
          </cell>
          <cell r="G959">
            <v>184</v>
          </cell>
          <cell r="H959">
            <v>34</v>
          </cell>
          <cell r="I959">
            <v>6256</v>
          </cell>
        </row>
        <row r="960">
          <cell r="C960">
            <v>412</v>
          </cell>
          <cell r="D960" t="str">
            <v>MDO para execução de rodapé de piso de alta resistência</v>
          </cell>
          <cell r="F960" t="str">
            <v>m</v>
          </cell>
          <cell r="G960">
            <v>1</v>
          </cell>
          <cell r="H960">
            <v>15</v>
          </cell>
          <cell r="I960">
            <v>15</v>
          </cell>
        </row>
        <row r="961">
          <cell r="C961">
            <v>413</v>
          </cell>
          <cell r="D961" t="str">
            <v>Rodapé em tecnogran linha lavaggio cor branco 07-6313 (40x40cm)</v>
          </cell>
          <cell r="F961" t="str">
            <v>m</v>
          </cell>
          <cell r="G961">
            <v>1</v>
          </cell>
          <cell r="H961">
            <v>19</v>
          </cell>
          <cell r="I961">
            <v>19</v>
          </cell>
        </row>
        <row r="962">
          <cell r="C962" t="str">
            <v>25.07.01.05</v>
          </cell>
          <cell r="D962" t="str">
            <v>Rodapé em tecnogran linha lavaggio cor bege 07-7475 (40x40cm)</v>
          </cell>
          <cell r="F962" t="str">
            <v xml:space="preserve">m </v>
          </cell>
          <cell r="G962">
            <v>147</v>
          </cell>
          <cell r="H962">
            <v>34</v>
          </cell>
          <cell r="I962">
            <v>4998</v>
          </cell>
        </row>
        <row r="963">
          <cell r="C963">
            <v>412</v>
          </cell>
          <cell r="D963" t="str">
            <v>MDO para execução de rodapé de piso de alta resistência</v>
          </cell>
          <cell r="F963" t="str">
            <v>m</v>
          </cell>
          <cell r="G963">
            <v>1</v>
          </cell>
          <cell r="H963">
            <v>15</v>
          </cell>
          <cell r="I963">
            <v>15</v>
          </cell>
        </row>
        <row r="964">
          <cell r="C964">
            <v>414</v>
          </cell>
          <cell r="D964" t="str">
            <v>Rodapé em tecnogran linha lavaggio cor bege 07-7475 (40x40cm)</v>
          </cell>
          <cell r="F964" t="str">
            <v>m</v>
          </cell>
          <cell r="G964">
            <v>1</v>
          </cell>
          <cell r="H964">
            <v>19</v>
          </cell>
          <cell r="I964">
            <v>19</v>
          </cell>
        </row>
        <row r="965">
          <cell r="C965" t="str">
            <v>25.07.03.01</v>
          </cell>
          <cell r="D965" t="str">
            <v>Piso vinílico Ivory 609 - Prisma PU - PAVIFLEX - FADEMAC ou similar</v>
          </cell>
          <cell r="F965" t="str">
            <v xml:space="preserve">m2 </v>
          </cell>
          <cell r="G965">
            <v>188</v>
          </cell>
          <cell r="H965">
            <v>58.23</v>
          </cell>
          <cell r="I965">
            <v>10947.24</v>
          </cell>
        </row>
        <row r="966">
          <cell r="C966">
            <v>415</v>
          </cell>
          <cell r="D966" t="str">
            <v>MDO para execução de piso vinílico</v>
          </cell>
          <cell r="F966" t="str">
            <v>m2</v>
          </cell>
          <cell r="G966">
            <v>1</v>
          </cell>
          <cell r="H966">
            <v>14</v>
          </cell>
          <cell r="I966">
            <v>14</v>
          </cell>
        </row>
        <row r="967">
          <cell r="C967">
            <v>416</v>
          </cell>
          <cell r="D967" t="str">
            <v>Piso vinílico Ivory 609 - Prisma PU - PAVIFLEX - FADEMAC ou similar</v>
          </cell>
          <cell r="F967" t="str">
            <v>m2</v>
          </cell>
          <cell r="G967">
            <v>1</v>
          </cell>
          <cell r="H967">
            <v>44.23</v>
          </cell>
          <cell r="I967">
            <v>44.23</v>
          </cell>
        </row>
        <row r="968">
          <cell r="C968" t="str">
            <v>25.07.03.02</v>
          </cell>
          <cell r="D968" t="str">
            <v>Rodapé vinílico Ivory 609 - Prisma PU - PAVIFLEX - FADEMAC ou similar</v>
          </cell>
          <cell r="F968" t="str">
            <v xml:space="preserve">m </v>
          </cell>
          <cell r="G968">
            <v>77</v>
          </cell>
          <cell r="H968">
            <v>17.149999999999999</v>
          </cell>
          <cell r="I968">
            <v>1320.55</v>
          </cell>
        </row>
        <row r="969">
          <cell r="C969">
            <v>417</v>
          </cell>
          <cell r="D969" t="str">
            <v>Rodapé vinílico Ivory 609 - Prisma PU - PAVIFLEX - FADEMAC ou similar</v>
          </cell>
          <cell r="F969" t="str">
            <v>m</v>
          </cell>
          <cell r="G969">
            <v>1</v>
          </cell>
          <cell r="H969">
            <v>14.35</v>
          </cell>
          <cell r="I969">
            <v>14.35</v>
          </cell>
        </row>
        <row r="970">
          <cell r="C970">
            <v>418</v>
          </cell>
          <cell r="D970" t="str">
            <v>MDO para execução de rodapé vinílico</v>
          </cell>
          <cell r="F970" t="str">
            <v>m</v>
          </cell>
          <cell r="G970">
            <v>1</v>
          </cell>
          <cell r="H970">
            <v>2.8</v>
          </cell>
          <cell r="I970">
            <v>2.8</v>
          </cell>
        </row>
        <row r="971">
          <cell r="C971" t="str">
            <v>25.08.02.01</v>
          </cell>
          <cell r="D971" t="str">
            <v>Execução de guias e sarjetas pré-moldadas</v>
          </cell>
          <cell r="F971" t="str">
            <v xml:space="preserve">m </v>
          </cell>
          <cell r="G971">
            <v>84</v>
          </cell>
          <cell r="H971">
            <v>36.934000000000005</v>
          </cell>
          <cell r="I971">
            <v>3102.46</v>
          </cell>
        </row>
        <row r="972">
          <cell r="C972" t="str">
            <v>555A</v>
          </cell>
          <cell r="D972" t="str">
            <v>Cimento Portland Composto CPII-E32 (saco 50kg)</v>
          </cell>
          <cell r="F972" t="str">
            <v>sc</v>
          </cell>
          <cell r="G972">
            <v>0.11</v>
          </cell>
          <cell r="H972">
            <v>13.4</v>
          </cell>
          <cell r="I972">
            <v>1.474</v>
          </cell>
        </row>
        <row r="973">
          <cell r="C973">
            <v>85</v>
          </cell>
          <cell r="D973" t="str">
            <v>Pedra n.º 1</v>
          </cell>
          <cell r="F973" t="str">
            <v>m3</v>
          </cell>
          <cell r="G973">
            <v>7.0000000000000007E-2</v>
          </cell>
          <cell r="H973">
            <v>42</v>
          </cell>
          <cell r="I973">
            <v>2.94</v>
          </cell>
        </row>
        <row r="974">
          <cell r="C974">
            <v>420</v>
          </cell>
          <cell r="D974" t="str">
            <v>MDO para execução de guia e sargeta estrusada</v>
          </cell>
          <cell r="F974" t="str">
            <v>m</v>
          </cell>
          <cell r="G974">
            <v>1</v>
          </cell>
          <cell r="H974">
            <v>32.520000000000003</v>
          </cell>
          <cell r="I974">
            <v>32.520000000000003</v>
          </cell>
        </row>
        <row r="975">
          <cell r="C975" t="str">
            <v>26.01.01.01</v>
          </cell>
          <cell r="D975" t="str">
            <v>Pintura Látex PVA em paredes Internas</v>
          </cell>
          <cell r="F975" t="str">
            <v xml:space="preserve">m2 </v>
          </cell>
          <cell r="G975">
            <v>10341</v>
          </cell>
          <cell r="H975">
            <v>5.2</v>
          </cell>
          <cell r="I975">
            <v>53773.2</v>
          </cell>
        </row>
        <row r="976">
          <cell r="C976">
            <v>421</v>
          </cell>
          <cell r="D976" t="str">
            <v>Pintura látex PVA sobre gesso em paredes internas</v>
          </cell>
          <cell r="F976" t="str">
            <v>m2</v>
          </cell>
          <cell r="G976">
            <v>1</v>
          </cell>
          <cell r="H976">
            <v>5.2</v>
          </cell>
          <cell r="I976">
            <v>5.2</v>
          </cell>
        </row>
        <row r="977">
          <cell r="C977" t="str">
            <v>26.01.01.02</v>
          </cell>
          <cell r="D977" t="str">
            <v>Caiação em paredes</v>
          </cell>
          <cell r="F977" t="str">
            <v xml:space="preserve">m2 </v>
          </cell>
          <cell r="G977">
            <v>3755</v>
          </cell>
          <cell r="H977">
            <v>4.0999999999999996</v>
          </cell>
          <cell r="I977">
            <v>15395.5</v>
          </cell>
        </row>
        <row r="978">
          <cell r="C978">
            <v>422</v>
          </cell>
          <cell r="D978" t="str">
            <v>Caiação em paredes</v>
          </cell>
          <cell r="F978" t="str">
            <v>m2</v>
          </cell>
          <cell r="G978">
            <v>1</v>
          </cell>
          <cell r="H978">
            <v>4.0999999999999996</v>
          </cell>
          <cell r="I978">
            <v>4.0999999999999996</v>
          </cell>
        </row>
        <row r="979">
          <cell r="C979" t="str">
            <v>26.01.01.03</v>
          </cell>
          <cell r="D979" t="str">
            <v>Pintura látex acrílico texturizado claro em paredes internas</v>
          </cell>
          <cell r="F979" t="str">
            <v xml:space="preserve">m2 </v>
          </cell>
          <cell r="G979">
            <v>2265</v>
          </cell>
          <cell r="H979">
            <v>10.5</v>
          </cell>
          <cell r="I979">
            <v>23782.5</v>
          </cell>
        </row>
        <row r="980">
          <cell r="C980">
            <v>423</v>
          </cell>
          <cell r="D980" t="str">
            <v>Pintura látex acrílico texturizado em dry wall</v>
          </cell>
          <cell r="F980" t="str">
            <v>m2</v>
          </cell>
          <cell r="G980">
            <v>1</v>
          </cell>
          <cell r="H980">
            <v>10.5</v>
          </cell>
          <cell r="I980">
            <v>10.5</v>
          </cell>
        </row>
        <row r="981">
          <cell r="C981" t="str">
            <v>26.01.01.04</v>
          </cell>
          <cell r="D981" t="str">
            <v>Pintura látex PVA sobre concreto</v>
          </cell>
          <cell r="F981" t="str">
            <v xml:space="preserve">m2 </v>
          </cell>
          <cell r="G981">
            <v>1128</v>
          </cell>
          <cell r="H981">
            <v>5.2</v>
          </cell>
          <cell r="I981">
            <v>5865.6</v>
          </cell>
        </row>
        <row r="982">
          <cell r="C982">
            <v>424</v>
          </cell>
          <cell r="D982" t="str">
            <v>Pintura em látex PVA sobre concreto</v>
          </cell>
          <cell r="F982" t="str">
            <v>m2</v>
          </cell>
          <cell r="G982">
            <v>1</v>
          </cell>
          <cell r="H982">
            <v>5.2</v>
          </cell>
          <cell r="I982">
            <v>5.2</v>
          </cell>
        </row>
        <row r="983">
          <cell r="C983" t="str">
            <v>26.01.01.05</v>
          </cell>
          <cell r="D983" t="str">
            <v>Pintura de Faixas de Sinalização</v>
          </cell>
          <cell r="F983" t="str">
            <v xml:space="preserve">m2 </v>
          </cell>
          <cell r="G983">
            <v>2751</v>
          </cell>
          <cell r="H983">
            <v>10.5</v>
          </cell>
          <cell r="I983">
            <v>28885.5</v>
          </cell>
        </row>
        <row r="984">
          <cell r="C984">
            <v>425</v>
          </cell>
          <cell r="D984" t="str">
            <v>Pintura de faixas (amarela e preta) nas garagens</v>
          </cell>
          <cell r="F984" t="str">
            <v>m2</v>
          </cell>
          <cell r="G984">
            <v>1</v>
          </cell>
          <cell r="H984">
            <v>10.5</v>
          </cell>
          <cell r="I984">
            <v>10.5</v>
          </cell>
        </row>
        <row r="985">
          <cell r="C985" t="str">
            <v>26.01.01.06</v>
          </cell>
          <cell r="D985" t="str">
            <v>Pintura Látex PVA em paredes Internas sobre massa única</v>
          </cell>
          <cell r="F985" t="str">
            <v xml:space="preserve">m2 </v>
          </cell>
          <cell r="G985">
            <v>6035</v>
          </cell>
          <cell r="H985">
            <v>5.2</v>
          </cell>
          <cell r="I985">
            <v>31382</v>
          </cell>
        </row>
        <row r="986">
          <cell r="C986">
            <v>426</v>
          </cell>
          <cell r="D986" t="str">
            <v>Pintura látex PVA sobre massa única em paredes internas</v>
          </cell>
          <cell r="F986" t="str">
            <v>m2</v>
          </cell>
          <cell r="G986">
            <v>1</v>
          </cell>
          <cell r="H986">
            <v>5.2</v>
          </cell>
          <cell r="I986">
            <v>5.2</v>
          </cell>
        </row>
        <row r="987">
          <cell r="C987" t="str">
            <v>26.01.01.07</v>
          </cell>
          <cell r="D987" t="str">
            <v>Pintura Látex Acrílico sobre massa única em paredes Internas</v>
          </cell>
          <cell r="F987" t="str">
            <v xml:space="preserve">m2 </v>
          </cell>
          <cell r="G987">
            <v>165</v>
          </cell>
          <cell r="H987">
            <v>5.6</v>
          </cell>
          <cell r="I987">
            <v>924</v>
          </cell>
        </row>
        <row r="988">
          <cell r="C988">
            <v>427</v>
          </cell>
          <cell r="D988" t="str">
            <v>Pintura latex acrilico sobre massa única em paredes internas</v>
          </cell>
          <cell r="F988" t="str">
            <v>m2</v>
          </cell>
          <cell r="G988">
            <v>1</v>
          </cell>
          <cell r="H988">
            <v>5.6</v>
          </cell>
          <cell r="I988">
            <v>5.6</v>
          </cell>
        </row>
        <row r="989">
          <cell r="C989" t="str">
            <v>26.01.01.09</v>
          </cell>
          <cell r="D989" t="str">
            <v>Pintura Látex PVA sobre alvenaria - shafts</v>
          </cell>
          <cell r="F989" t="str">
            <v xml:space="preserve">m2 </v>
          </cell>
          <cell r="G989">
            <v>6394</v>
          </cell>
          <cell r="H989">
            <v>5.2</v>
          </cell>
          <cell r="I989">
            <v>33248.800000000003</v>
          </cell>
        </row>
        <row r="990">
          <cell r="C990">
            <v>428</v>
          </cell>
          <cell r="D990" t="str">
            <v>Pintura látex PVA sobre alvenaria em paredes internas</v>
          </cell>
          <cell r="F990" t="str">
            <v>m2</v>
          </cell>
          <cell r="G990">
            <v>1</v>
          </cell>
          <cell r="H990">
            <v>5.2</v>
          </cell>
          <cell r="I990">
            <v>5.2</v>
          </cell>
        </row>
        <row r="991">
          <cell r="C991" t="str">
            <v>26.01.01.11</v>
          </cell>
          <cell r="D991" t="str">
            <v>Pintura látex acrílico texturizado em dry wall</v>
          </cell>
          <cell r="F991" t="str">
            <v xml:space="preserve">m2 </v>
          </cell>
          <cell r="G991">
            <v>4409</v>
          </cell>
          <cell r="H991">
            <v>10.5</v>
          </cell>
          <cell r="I991">
            <v>46294.5</v>
          </cell>
        </row>
        <row r="992">
          <cell r="C992">
            <v>429</v>
          </cell>
          <cell r="D992" t="str">
            <v>Pintura texturizada sobre dry wall - rolada</v>
          </cell>
          <cell r="F992" t="str">
            <v>m2</v>
          </cell>
          <cell r="G992">
            <v>1</v>
          </cell>
          <cell r="H992">
            <v>10.5</v>
          </cell>
          <cell r="I992">
            <v>10.5</v>
          </cell>
        </row>
        <row r="993">
          <cell r="C993" t="str">
            <v>26.01.01.12</v>
          </cell>
          <cell r="D993" t="str">
            <v>Pintura látex PVA sobre dry wall</v>
          </cell>
          <cell r="F993" t="str">
            <v xml:space="preserve">m2 </v>
          </cell>
          <cell r="G993">
            <v>15640</v>
          </cell>
          <cell r="H993">
            <v>7.8</v>
          </cell>
          <cell r="I993">
            <v>121992</v>
          </cell>
        </row>
        <row r="994">
          <cell r="C994">
            <v>430</v>
          </cell>
          <cell r="D994" t="str">
            <v>Pintura látex PVA sobre dry wall</v>
          </cell>
          <cell r="F994" t="str">
            <v>m2</v>
          </cell>
          <cell r="G994">
            <v>1</v>
          </cell>
          <cell r="H994">
            <v>7.8</v>
          </cell>
          <cell r="I994">
            <v>7.8</v>
          </cell>
        </row>
        <row r="995">
          <cell r="C995" t="str">
            <v>26.01.02.01</v>
          </cell>
          <cell r="D995" t="str">
            <v>Pintura Látex PVA Sobre Forro de Gesso</v>
          </cell>
          <cell r="F995" t="str">
            <v xml:space="preserve">m2 </v>
          </cell>
          <cell r="G995">
            <v>4492</v>
          </cell>
          <cell r="H995">
            <v>7.8</v>
          </cell>
          <cell r="I995">
            <v>35037.599999999999</v>
          </cell>
        </row>
        <row r="996">
          <cell r="C996">
            <v>431</v>
          </cell>
          <cell r="D996" t="str">
            <v>Pintura látex PVA sobre forro de gesso</v>
          </cell>
          <cell r="F996" t="str">
            <v>m2</v>
          </cell>
          <cell r="G996">
            <v>1</v>
          </cell>
          <cell r="H996">
            <v>7.8</v>
          </cell>
          <cell r="I996">
            <v>7.8</v>
          </cell>
        </row>
        <row r="997">
          <cell r="C997" t="str">
            <v>26.01.02.02</v>
          </cell>
          <cell r="D997" t="str">
            <v>Pintura Látex PVA sobre gesso liso em teto</v>
          </cell>
          <cell r="F997" t="str">
            <v xml:space="preserve">m2 </v>
          </cell>
          <cell r="G997">
            <v>1486</v>
          </cell>
          <cell r="H997">
            <v>5.2</v>
          </cell>
          <cell r="I997">
            <v>7727.2</v>
          </cell>
        </row>
        <row r="998">
          <cell r="C998">
            <v>432</v>
          </cell>
          <cell r="D998" t="str">
            <v>Pintura látex PVA sobre gesso liso em teto</v>
          </cell>
          <cell r="F998" t="str">
            <v>m2</v>
          </cell>
          <cell r="G998">
            <v>1</v>
          </cell>
          <cell r="H998">
            <v>5.2</v>
          </cell>
          <cell r="I998">
            <v>5.2</v>
          </cell>
        </row>
        <row r="999">
          <cell r="C999" t="str">
            <v>26.01.02.03</v>
          </cell>
          <cell r="D999" t="str">
            <v>Pintura Látex PVA sobre laje</v>
          </cell>
          <cell r="F999" t="str">
            <v xml:space="preserve">m2 </v>
          </cell>
          <cell r="G999">
            <v>833</v>
          </cell>
          <cell r="H999">
            <v>5.2</v>
          </cell>
          <cell r="I999">
            <v>4331.6000000000004</v>
          </cell>
        </row>
        <row r="1000">
          <cell r="C1000">
            <v>433</v>
          </cell>
          <cell r="D1000" t="str">
            <v>Pintura látex PVA sobre laje</v>
          </cell>
          <cell r="F1000" t="str">
            <v>m2</v>
          </cell>
          <cell r="G1000">
            <v>1</v>
          </cell>
          <cell r="H1000">
            <v>5.2</v>
          </cell>
          <cell r="I1000">
            <v>5.2</v>
          </cell>
        </row>
        <row r="1001">
          <cell r="C1001" t="str">
            <v>26.01.02.04</v>
          </cell>
          <cell r="D1001" t="str">
            <v>Pintura Latex PVA sobre massa única em teto</v>
          </cell>
          <cell r="F1001" t="str">
            <v xml:space="preserve">m2 </v>
          </cell>
          <cell r="G1001">
            <v>44</v>
          </cell>
          <cell r="H1001">
            <v>5.2</v>
          </cell>
          <cell r="I1001">
            <v>228.8</v>
          </cell>
        </row>
        <row r="1002">
          <cell r="C1002">
            <v>434</v>
          </cell>
          <cell r="D1002" t="str">
            <v>Pintura látex PVA sobre massa em teto</v>
          </cell>
          <cell r="F1002" t="str">
            <v>m2</v>
          </cell>
          <cell r="G1002">
            <v>1</v>
          </cell>
          <cell r="H1002">
            <v>5.2</v>
          </cell>
          <cell r="I1002">
            <v>5.2</v>
          </cell>
        </row>
        <row r="1003">
          <cell r="C1003" t="str">
            <v>26.01.03.01</v>
          </cell>
          <cell r="D1003" t="str">
            <v>Pintura em piso cimentado</v>
          </cell>
          <cell r="F1003" t="str">
            <v xml:space="preserve">m2 </v>
          </cell>
          <cell r="G1003">
            <v>1829</v>
          </cell>
          <cell r="H1003">
            <v>10.53</v>
          </cell>
          <cell r="I1003">
            <v>19259.37</v>
          </cell>
        </row>
        <row r="1004">
          <cell r="C1004">
            <v>435</v>
          </cell>
          <cell r="D1004" t="str">
            <v>Pintura a base de resina acrílica em piso</v>
          </cell>
          <cell r="F1004" t="str">
            <v>m2</v>
          </cell>
          <cell r="G1004">
            <v>1</v>
          </cell>
          <cell r="H1004">
            <v>10.53</v>
          </cell>
          <cell r="I1004">
            <v>10.53</v>
          </cell>
        </row>
        <row r="1005">
          <cell r="C1005" t="str">
            <v>26.01.03.02</v>
          </cell>
          <cell r="D1005" t="str">
            <v>Demarcação de Vagas com Borracha Clorada</v>
          </cell>
          <cell r="F1005" t="str">
            <v xml:space="preserve">m </v>
          </cell>
          <cell r="G1005">
            <v>5869</v>
          </cell>
          <cell r="H1005">
            <v>7.5</v>
          </cell>
          <cell r="I1005">
            <v>44017.5</v>
          </cell>
        </row>
        <row r="1006">
          <cell r="C1006">
            <v>436</v>
          </cell>
          <cell r="D1006" t="str">
            <v>Pintura de demarcação de vagas em borracha clorada</v>
          </cell>
          <cell r="F1006" t="str">
            <v>m</v>
          </cell>
          <cell r="G1006">
            <v>1</v>
          </cell>
          <cell r="H1006">
            <v>7.5</v>
          </cell>
          <cell r="I1006">
            <v>7.5</v>
          </cell>
        </row>
        <row r="1007">
          <cell r="C1007" t="str">
            <v>26.01.03.03</v>
          </cell>
          <cell r="D1007" t="str">
            <v>Demarcação de Vagas para Deficientes</v>
          </cell>
          <cell r="F1007" t="str">
            <v xml:space="preserve">un </v>
          </cell>
          <cell r="G1007">
            <v>11</v>
          </cell>
          <cell r="H1007">
            <v>70</v>
          </cell>
          <cell r="I1007">
            <v>770</v>
          </cell>
        </row>
        <row r="1008">
          <cell r="C1008">
            <v>437</v>
          </cell>
          <cell r="D1008" t="str">
            <v>Demarcação de vaga para portadores de necessidades especiais</v>
          </cell>
          <cell r="F1008" t="str">
            <v>un</v>
          </cell>
          <cell r="G1008">
            <v>1</v>
          </cell>
          <cell r="H1008">
            <v>70</v>
          </cell>
          <cell r="I1008">
            <v>70</v>
          </cell>
        </row>
        <row r="1009">
          <cell r="C1009" t="str">
            <v>26.01.03.04</v>
          </cell>
          <cell r="D1009" t="str">
            <v>Demarcação da numeração das vagas de estacionamento</v>
          </cell>
          <cell r="F1009" t="str">
            <v xml:space="preserve">un </v>
          </cell>
          <cell r="G1009">
            <v>661</v>
          </cell>
          <cell r="H1009">
            <v>20.9</v>
          </cell>
          <cell r="I1009">
            <v>13814.9</v>
          </cell>
        </row>
        <row r="1010">
          <cell r="C1010">
            <v>438</v>
          </cell>
          <cell r="D1010" t="str">
            <v>Demarcação em piso de numeração das vagas de estacionamento</v>
          </cell>
          <cell r="F1010" t="str">
            <v>un</v>
          </cell>
          <cell r="G1010">
            <v>1</v>
          </cell>
          <cell r="H1010">
            <v>20.9</v>
          </cell>
          <cell r="I1010">
            <v>20.9</v>
          </cell>
        </row>
        <row r="1011">
          <cell r="C1011" t="str">
            <v>26.01.03.05</v>
          </cell>
          <cell r="D1011" t="str">
            <v>Demarcação de Hidrantes</v>
          </cell>
          <cell r="F1011" t="str">
            <v xml:space="preserve">un </v>
          </cell>
          <cell r="G1011">
            <v>5</v>
          </cell>
          <cell r="H1011">
            <v>70</v>
          </cell>
          <cell r="I1011">
            <v>350</v>
          </cell>
        </row>
        <row r="1012">
          <cell r="C1012">
            <v>439</v>
          </cell>
          <cell r="D1012" t="str">
            <v>Demarcação de Hidrantes</v>
          </cell>
          <cell r="F1012" t="str">
            <v>un</v>
          </cell>
          <cell r="G1012">
            <v>1</v>
          </cell>
          <cell r="H1012">
            <v>70</v>
          </cell>
          <cell r="I1012">
            <v>70</v>
          </cell>
        </row>
        <row r="1013">
          <cell r="C1013" t="str">
            <v>26.01.04.01</v>
          </cell>
          <cell r="D1013" t="str">
            <v>Pintura Esmalte Sobre Esquadrias de Madeira</v>
          </cell>
          <cell r="F1013" t="str">
            <v xml:space="preserve">m2 </v>
          </cell>
          <cell r="G1013">
            <v>3684</v>
          </cell>
          <cell r="H1013">
            <v>16</v>
          </cell>
          <cell r="I1013">
            <v>58944</v>
          </cell>
        </row>
        <row r="1014">
          <cell r="C1014">
            <v>440</v>
          </cell>
          <cell r="D1014" t="str">
            <v>Pintura esmalte sobre esquadrias de madeira</v>
          </cell>
          <cell r="F1014" t="str">
            <v>m2</v>
          </cell>
          <cell r="G1014">
            <v>1</v>
          </cell>
          <cell r="H1014">
            <v>16</v>
          </cell>
          <cell r="I1014">
            <v>16</v>
          </cell>
        </row>
        <row r="1015">
          <cell r="C1015" t="str">
            <v>26.01.05.01</v>
          </cell>
          <cell r="D1015" t="str">
            <v>Pintura Esmalte Sobre Esquadrias Metálicas</v>
          </cell>
          <cell r="F1015" t="str">
            <v xml:space="preserve">m2 </v>
          </cell>
          <cell r="G1015">
            <v>567</v>
          </cell>
          <cell r="H1015">
            <v>11</v>
          </cell>
          <cell r="I1015">
            <v>6237</v>
          </cell>
        </row>
        <row r="1016">
          <cell r="C1016">
            <v>441</v>
          </cell>
          <cell r="D1016" t="str">
            <v>Pintura esmalte sobre esquadrias metálicas</v>
          </cell>
          <cell r="F1016" t="str">
            <v>m2</v>
          </cell>
          <cell r="G1016">
            <v>1</v>
          </cell>
          <cell r="H1016">
            <v>11</v>
          </cell>
          <cell r="I1016">
            <v>11</v>
          </cell>
        </row>
        <row r="1017">
          <cell r="C1017" t="str">
            <v>26.01.05.02</v>
          </cell>
          <cell r="D1017" t="str">
            <v>Pintura Esmalte Sobre Corrimão</v>
          </cell>
          <cell r="F1017" t="str">
            <v xml:space="preserve">m </v>
          </cell>
          <cell r="G1017">
            <v>760</v>
          </cell>
          <cell r="H1017">
            <v>5.4</v>
          </cell>
          <cell r="I1017">
            <v>4104</v>
          </cell>
        </row>
        <row r="1018">
          <cell r="C1018">
            <v>442</v>
          </cell>
          <cell r="D1018" t="str">
            <v>Pintura esmalte sobre corrimão metálico</v>
          </cell>
          <cell r="F1018" t="str">
            <v>m</v>
          </cell>
          <cell r="G1018">
            <v>1</v>
          </cell>
          <cell r="H1018">
            <v>5.4</v>
          </cell>
          <cell r="I1018">
            <v>5.4</v>
          </cell>
        </row>
        <row r="1019">
          <cell r="C1019" t="str">
            <v>26.01.05.03</v>
          </cell>
          <cell r="D1019" t="str">
            <v>Pintura Esmalte Sobre Guarda Corpo</v>
          </cell>
          <cell r="F1019" t="str">
            <v xml:space="preserve">m2 </v>
          </cell>
          <cell r="G1019">
            <v>2557</v>
          </cell>
          <cell r="H1019">
            <v>11</v>
          </cell>
          <cell r="I1019">
            <v>28127</v>
          </cell>
        </row>
        <row r="1020">
          <cell r="C1020">
            <v>443</v>
          </cell>
          <cell r="D1020" t="str">
            <v>Pintura esmalte sobre guarda corpo metálico</v>
          </cell>
          <cell r="F1020" t="str">
            <v>m2</v>
          </cell>
          <cell r="G1020">
            <v>1</v>
          </cell>
          <cell r="H1020">
            <v>11</v>
          </cell>
          <cell r="I1020">
            <v>11</v>
          </cell>
        </row>
        <row r="1021">
          <cell r="C1021" t="str">
            <v>26.01.06.02</v>
          </cell>
          <cell r="D1021" t="str">
            <v>Pintura texturizada Ibratin - acabamento tipo massa raspada - cor: Buenos Aires</v>
          </cell>
          <cell r="F1021" t="str">
            <v xml:space="preserve">m2 </v>
          </cell>
          <cell r="G1021">
            <v>13457.3</v>
          </cell>
          <cell r="H1021">
            <v>16.2</v>
          </cell>
          <cell r="I1021">
            <v>218008.26</v>
          </cell>
        </row>
        <row r="1022">
          <cell r="C1022">
            <v>444</v>
          </cell>
          <cell r="D1022" t="str">
            <v>Pintura texturizada Ibratin - acabamento tipo massa raspada - cor: Buenos Aires</v>
          </cell>
          <cell r="F1022" t="str">
            <v>m2</v>
          </cell>
          <cell r="G1022">
            <v>1</v>
          </cell>
          <cell r="H1022">
            <v>16.2</v>
          </cell>
          <cell r="I1022">
            <v>16.2</v>
          </cell>
        </row>
        <row r="1023">
          <cell r="C1023" t="str">
            <v>26.01.06.03</v>
          </cell>
          <cell r="D1023" t="str">
            <v>Pintura texturizada Ibratin - acabamento tipo massa raspada - cor: Buenos Aires (faixa)</v>
          </cell>
          <cell r="F1023" t="str">
            <v>m</v>
          </cell>
          <cell r="G1023">
            <v>6870</v>
          </cell>
          <cell r="H1023">
            <v>8.5500000000000007</v>
          </cell>
          <cell r="I1023">
            <v>58738.5</v>
          </cell>
        </row>
        <row r="1024">
          <cell r="C1024">
            <v>445</v>
          </cell>
          <cell r="D1024" t="str">
            <v>Pintura texturizada Ibratin - acabamento tipo massa raspada - cor: Buenos Aires (faixas)</v>
          </cell>
          <cell r="F1024" t="str">
            <v>m</v>
          </cell>
          <cell r="G1024">
            <v>1</v>
          </cell>
          <cell r="H1024">
            <v>8.5500000000000007</v>
          </cell>
          <cell r="I1024">
            <v>8.5500000000000007</v>
          </cell>
        </row>
        <row r="1025">
          <cell r="C1025" t="str">
            <v>27.01.01.01</v>
          </cell>
          <cell r="D1025" t="str">
            <v>Instalações elétricas em geral</v>
          </cell>
          <cell r="F1025" t="str">
            <v xml:space="preserve">Vb </v>
          </cell>
          <cell r="G1025">
            <v>1</v>
          </cell>
          <cell r="H1025">
            <v>2739582.44</v>
          </cell>
          <cell r="I1025">
            <v>2739582.44</v>
          </cell>
        </row>
        <row r="1026">
          <cell r="C1026">
            <v>446</v>
          </cell>
          <cell r="D1026" t="str">
            <v>Instalações elétricas em geral</v>
          </cell>
          <cell r="F1026" t="str">
            <v>Vb</v>
          </cell>
          <cell r="G1026">
            <v>1</v>
          </cell>
          <cell r="H1026">
            <v>2739582.44</v>
          </cell>
          <cell r="I1026">
            <v>2739582.44</v>
          </cell>
        </row>
        <row r="1027">
          <cell r="C1027" t="str">
            <v>27.01.04.01</v>
          </cell>
          <cell r="D1027" t="str">
            <v>Câmara Transformadora de Energia</v>
          </cell>
          <cell r="F1027" t="str">
            <v xml:space="preserve">un </v>
          </cell>
          <cell r="G1027">
            <v>1</v>
          </cell>
          <cell r="H1027">
            <v>70000</v>
          </cell>
          <cell r="I1027">
            <v>70000</v>
          </cell>
        </row>
        <row r="1028">
          <cell r="C1028">
            <v>447</v>
          </cell>
          <cell r="D1028" t="str">
            <v>Câmara transformadora de energia</v>
          </cell>
          <cell r="F1028" t="str">
            <v>un</v>
          </cell>
          <cell r="G1028">
            <v>2</v>
          </cell>
          <cell r="H1028">
            <v>35000</v>
          </cell>
          <cell r="I1028">
            <v>70000</v>
          </cell>
        </row>
        <row r="1029">
          <cell r="C1029" t="str">
            <v>27.02.01.01</v>
          </cell>
          <cell r="D1029" t="str">
            <v>Luminárias para áreas comuns</v>
          </cell>
          <cell r="F1029" t="str">
            <v>vb</v>
          </cell>
          <cell r="G1029">
            <v>1</v>
          </cell>
          <cell r="H1029">
            <v>142074.96</v>
          </cell>
          <cell r="I1029">
            <v>142074.96</v>
          </cell>
        </row>
        <row r="1030">
          <cell r="C1030">
            <v>448</v>
          </cell>
          <cell r="D1030" t="str">
            <v>Luminária das áreas comuns</v>
          </cell>
          <cell r="F1030" t="str">
            <v>Vb</v>
          </cell>
          <cell r="G1030">
            <v>1</v>
          </cell>
          <cell r="H1030">
            <v>142074.96</v>
          </cell>
          <cell r="I1030">
            <v>142074.96</v>
          </cell>
        </row>
        <row r="1031">
          <cell r="C1031" t="str">
            <v>27.02.03.01</v>
          </cell>
          <cell r="D1031" t="str">
            <v>Luminárias de emergência</v>
          </cell>
          <cell r="F1031" t="str">
            <v xml:space="preserve">un </v>
          </cell>
          <cell r="G1031">
            <v>98</v>
          </cell>
          <cell r="H1031">
            <v>79.650000000000006</v>
          </cell>
          <cell r="I1031">
            <v>7805.7</v>
          </cell>
        </row>
        <row r="1032">
          <cell r="C1032" t="str">
            <v>474</v>
          </cell>
          <cell r="D1032" t="str">
            <v>Luminárias de emergência</v>
          </cell>
          <cell r="F1032" t="str">
            <v>Vb</v>
          </cell>
          <cell r="G1032">
            <v>1</v>
          </cell>
          <cell r="H1032">
            <v>79.650000000000006</v>
          </cell>
          <cell r="I1032">
            <v>79.650000000000006</v>
          </cell>
        </row>
        <row r="1033">
          <cell r="C1033" t="str">
            <v>27.03.01.01</v>
          </cell>
          <cell r="D1033" t="str">
            <v>Grupo gerador 170 kva</v>
          </cell>
          <cell r="F1033" t="str">
            <v xml:space="preserve">un </v>
          </cell>
          <cell r="G1033">
            <v>1</v>
          </cell>
          <cell r="H1033">
            <v>65550</v>
          </cell>
          <cell r="I1033">
            <v>65550</v>
          </cell>
        </row>
        <row r="1034">
          <cell r="C1034">
            <v>475</v>
          </cell>
          <cell r="D1034" t="str">
            <v>Grupo gerador 170 kva</v>
          </cell>
          <cell r="F1034" t="str">
            <v>un</v>
          </cell>
          <cell r="G1034">
            <v>1</v>
          </cell>
          <cell r="H1034">
            <v>65550</v>
          </cell>
          <cell r="I1034">
            <v>65550</v>
          </cell>
        </row>
        <row r="1035">
          <cell r="C1035" t="str">
            <v>27.01.03.01</v>
          </cell>
          <cell r="D1035" t="str">
            <v>Taxas- concessionária</v>
          </cell>
          <cell r="F1035" t="str">
            <v xml:space="preserve">Vb </v>
          </cell>
          <cell r="G1035">
            <v>1</v>
          </cell>
          <cell r="H1035">
            <v>80000</v>
          </cell>
          <cell r="I1035">
            <v>80000</v>
          </cell>
        </row>
        <row r="1036">
          <cell r="C1036">
            <v>476</v>
          </cell>
          <cell r="D1036" t="str">
            <v>Taxas- concessionária elétrica</v>
          </cell>
          <cell r="F1036" t="str">
            <v>Vb</v>
          </cell>
          <cell r="G1036">
            <v>1</v>
          </cell>
          <cell r="H1036">
            <v>80000</v>
          </cell>
          <cell r="I1036">
            <v>80000</v>
          </cell>
        </row>
        <row r="1037">
          <cell r="C1037" t="str">
            <v>27.04.01.01</v>
          </cell>
          <cell r="D1037" t="str">
            <v>Obras civis para instalações elétricas</v>
          </cell>
          <cell r="F1037" t="str">
            <v xml:space="preserve">Vb </v>
          </cell>
          <cell r="G1037">
            <v>1</v>
          </cell>
          <cell r="H1037">
            <v>12000</v>
          </cell>
          <cell r="I1037">
            <v>12000</v>
          </cell>
        </row>
        <row r="1038">
          <cell r="C1038">
            <v>478</v>
          </cell>
          <cell r="D1038" t="str">
            <v>Obras civis para instalações elétricas</v>
          </cell>
          <cell r="F1038" t="str">
            <v>Vb</v>
          </cell>
          <cell r="G1038">
            <v>1</v>
          </cell>
          <cell r="H1038">
            <v>12000</v>
          </cell>
          <cell r="I1038">
            <v>12000</v>
          </cell>
        </row>
        <row r="1039">
          <cell r="C1039" t="str">
            <v>27.04.01.02</v>
          </cell>
          <cell r="D1039" t="str">
            <v>Furo em concreto p/ instalações elétricas</v>
          </cell>
          <cell r="F1039" t="str">
            <v xml:space="preserve">Vb </v>
          </cell>
          <cell r="G1039">
            <v>1</v>
          </cell>
          <cell r="H1039">
            <v>15000</v>
          </cell>
          <cell r="I1039">
            <v>15000</v>
          </cell>
        </row>
        <row r="1040">
          <cell r="C1040">
            <v>479</v>
          </cell>
          <cell r="D1040" t="str">
            <v>MDO para furos no concreto</v>
          </cell>
          <cell r="F1040" t="str">
            <v>vb</v>
          </cell>
          <cell r="G1040">
            <v>1</v>
          </cell>
          <cell r="H1040">
            <v>15000</v>
          </cell>
          <cell r="I1040">
            <v>15000</v>
          </cell>
        </row>
        <row r="1041">
          <cell r="C1041" t="str">
            <v>28.01.01.01</v>
          </cell>
          <cell r="D1041" t="str">
            <v xml:space="preserve">Instalações hidráulicas em geral </v>
          </cell>
          <cell r="F1041" t="str">
            <v xml:space="preserve">Vb </v>
          </cell>
          <cell r="G1041">
            <v>1</v>
          </cell>
          <cell r="H1041">
            <v>1379162.86</v>
          </cell>
          <cell r="I1041">
            <v>1379162.86</v>
          </cell>
        </row>
        <row r="1042">
          <cell r="C1042">
            <v>480</v>
          </cell>
          <cell r="D1042" t="str">
            <v>Instalações hidráulicas</v>
          </cell>
          <cell r="F1042" t="str">
            <v>un</v>
          </cell>
          <cell r="G1042">
            <v>1</v>
          </cell>
          <cell r="H1042">
            <v>1379162.86</v>
          </cell>
          <cell r="I1042">
            <v>1379162.86</v>
          </cell>
        </row>
        <row r="1043">
          <cell r="C1043" t="str">
            <v>28.01.07.01</v>
          </cell>
          <cell r="D1043" t="str">
            <v>Drenagem definitiva</v>
          </cell>
          <cell r="F1043" t="str">
            <v>m2</v>
          </cell>
          <cell r="G1043">
            <v>3236</v>
          </cell>
          <cell r="H1043">
            <v>45</v>
          </cell>
          <cell r="I1043">
            <v>145620</v>
          </cell>
        </row>
        <row r="1044">
          <cell r="C1044" t="str">
            <v>481</v>
          </cell>
          <cell r="D1044" t="str">
            <v>Drenagem definitiva</v>
          </cell>
          <cell r="F1044" t="str">
            <v>m2</v>
          </cell>
          <cell r="G1044">
            <v>1</v>
          </cell>
          <cell r="H1044">
            <v>45</v>
          </cell>
          <cell r="I1044">
            <v>45</v>
          </cell>
        </row>
        <row r="1045">
          <cell r="C1045" t="str">
            <v>28.01.03.01</v>
          </cell>
          <cell r="D1045" t="str">
            <v>Taxas- concessionária</v>
          </cell>
          <cell r="F1045" t="str">
            <v xml:space="preserve">Vb </v>
          </cell>
          <cell r="G1045">
            <v>1</v>
          </cell>
          <cell r="H1045">
            <v>5000</v>
          </cell>
          <cell r="I1045">
            <v>5000</v>
          </cell>
        </row>
        <row r="1046">
          <cell r="C1046" t="str">
            <v>1010a</v>
          </cell>
          <cell r="D1046" t="str">
            <v>Taxas- concessionária hidráulica</v>
          </cell>
          <cell r="F1046" t="str">
            <v>un</v>
          </cell>
          <cell r="G1046">
            <v>1</v>
          </cell>
          <cell r="H1046">
            <v>5000</v>
          </cell>
          <cell r="I1046">
            <v>5000</v>
          </cell>
        </row>
        <row r="1047">
          <cell r="C1047" t="str">
            <v>28.01.03.02</v>
          </cell>
          <cell r="D1047" t="str">
            <v>Consultoria técnica para aprovação junta a concessionária</v>
          </cell>
          <cell r="F1047" t="str">
            <v xml:space="preserve">Vb </v>
          </cell>
          <cell r="G1047">
            <v>1</v>
          </cell>
          <cell r="H1047">
            <v>6000</v>
          </cell>
          <cell r="I1047">
            <v>6000</v>
          </cell>
        </row>
        <row r="1048">
          <cell r="C1048" t="str">
            <v>477</v>
          </cell>
          <cell r="D1048" t="str">
            <v>Consultoria técnica para aprovação junta a concessionária</v>
          </cell>
          <cell r="F1048" t="str">
            <v>un</v>
          </cell>
          <cell r="G1048">
            <v>1</v>
          </cell>
          <cell r="H1048">
            <v>6000</v>
          </cell>
          <cell r="I1048">
            <v>6000</v>
          </cell>
        </row>
        <row r="1049">
          <cell r="C1049" t="str">
            <v>28.01.04.01</v>
          </cell>
          <cell r="D1049" t="str">
            <v>Bombas para  reservatório / incêndio / Esgoto / àguas pluviais</v>
          </cell>
          <cell r="F1049" t="str">
            <v>vb</v>
          </cell>
          <cell r="G1049">
            <v>1</v>
          </cell>
          <cell r="H1049">
            <v>18000</v>
          </cell>
          <cell r="I1049">
            <v>18000</v>
          </cell>
        </row>
        <row r="1050">
          <cell r="C1050" t="str">
            <v>1000</v>
          </cell>
          <cell r="D1050" t="str">
            <v>Bombas para  reservatório / incêndio / Esgoto / àguas pluviais</v>
          </cell>
          <cell r="F1050" t="str">
            <v>Vb</v>
          </cell>
          <cell r="G1050">
            <v>1</v>
          </cell>
          <cell r="H1050">
            <v>18000</v>
          </cell>
          <cell r="I1050">
            <v>18000</v>
          </cell>
        </row>
        <row r="1051">
          <cell r="C1051" t="str">
            <v>28.01.05.01</v>
          </cell>
          <cell r="D1051" t="str">
            <v>Reservatório d água em fibra com capacidade de 20.000l</v>
          </cell>
          <cell r="F1051" t="str">
            <v xml:space="preserve">un </v>
          </cell>
          <cell r="G1051">
            <v>6</v>
          </cell>
          <cell r="H1051">
            <v>3300</v>
          </cell>
          <cell r="I1051">
            <v>19800</v>
          </cell>
        </row>
        <row r="1052">
          <cell r="C1052" t="str">
            <v>1001</v>
          </cell>
          <cell r="D1052" t="str">
            <v>Reservatório d água em fibra com capacidade de 20.000l</v>
          </cell>
          <cell r="F1052" t="str">
            <v>un</v>
          </cell>
          <cell r="G1052">
            <v>1</v>
          </cell>
          <cell r="H1052">
            <v>3300</v>
          </cell>
          <cell r="I1052">
            <v>3300</v>
          </cell>
        </row>
        <row r="1053">
          <cell r="C1053" t="str">
            <v>28.02.01.02</v>
          </cell>
          <cell r="D1053" t="str">
            <v>Extintor de água Pressurizada</v>
          </cell>
          <cell r="F1053" t="str">
            <v xml:space="preserve">un </v>
          </cell>
          <cell r="G1053">
            <v>48</v>
          </cell>
          <cell r="H1053">
            <v>72</v>
          </cell>
          <cell r="I1053">
            <v>3456</v>
          </cell>
        </row>
        <row r="1054">
          <cell r="C1054" t="str">
            <v>1002</v>
          </cell>
          <cell r="D1054" t="str">
            <v>Extintor Água pressurizada 10l</v>
          </cell>
          <cell r="F1054" t="str">
            <v>un</v>
          </cell>
          <cell r="G1054">
            <v>1</v>
          </cell>
          <cell r="H1054">
            <v>72</v>
          </cell>
          <cell r="I1054">
            <v>72</v>
          </cell>
        </row>
        <row r="1055">
          <cell r="C1055" t="str">
            <v>28.02.01.03</v>
          </cell>
          <cell r="D1055" t="str">
            <v>Extintor CO2</v>
          </cell>
          <cell r="F1055" t="str">
            <v xml:space="preserve">un </v>
          </cell>
          <cell r="G1055">
            <v>5</v>
          </cell>
          <cell r="H1055">
            <v>478</v>
          </cell>
          <cell r="I1055">
            <v>2390</v>
          </cell>
        </row>
        <row r="1056">
          <cell r="C1056" t="str">
            <v>1003</v>
          </cell>
          <cell r="D1056" t="str">
            <v>Extintor CO2 6kg</v>
          </cell>
          <cell r="F1056" t="str">
            <v>un</v>
          </cell>
          <cell r="G1056">
            <v>1</v>
          </cell>
          <cell r="H1056">
            <v>478</v>
          </cell>
          <cell r="I1056">
            <v>478</v>
          </cell>
        </row>
        <row r="1057">
          <cell r="C1057" t="str">
            <v>28.02.01.04</v>
          </cell>
          <cell r="D1057" t="str">
            <v>Extintor pó químico</v>
          </cell>
          <cell r="F1057" t="str">
            <v xml:space="preserve">un </v>
          </cell>
          <cell r="G1057">
            <v>48</v>
          </cell>
          <cell r="H1057">
            <v>92</v>
          </cell>
          <cell r="I1057">
            <v>4416</v>
          </cell>
        </row>
        <row r="1058">
          <cell r="C1058">
            <v>482</v>
          </cell>
          <cell r="D1058" t="str">
            <v>Extintor PQS 4kg</v>
          </cell>
          <cell r="F1058" t="str">
            <v>un</v>
          </cell>
          <cell r="G1058">
            <v>1</v>
          </cell>
          <cell r="H1058">
            <v>92</v>
          </cell>
          <cell r="I1058">
            <v>92</v>
          </cell>
        </row>
        <row r="1059">
          <cell r="C1059" t="str">
            <v>28.02.01.05</v>
          </cell>
          <cell r="D1059" t="str">
            <v>Hidrante</v>
          </cell>
          <cell r="F1059" t="str">
            <v xml:space="preserve">un </v>
          </cell>
          <cell r="G1059">
            <v>23</v>
          </cell>
          <cell r="H1059">
            <v>1594.2</v>
          </cell>
          <cell r="I1059">
            <v>36666.6</v>
          </cell>
        </row>
        <row r="1060">
          <cell r="C1060">
            <v>483</v>
          </cell>
          <cell r="D1060" t="str">
            <v>Hidrante</v>
          </cell>
          <cell r="F1060" t="str">
            <v>un</v>
          </cell>
          <cell r="G1060">
            <v>1</v>
          </cell>
          <cell r="H1060">
            <v>1594.2</v>
          </cell>
          <cell r="I1060">
            <v>1594.2</v>
          </cell>
        </row>
        <row r="1061">
          <cell r="C1061" t="str">
            <v>28.03.01.01</v>
          </cell>
          <cell r="D1061" t="str">
            <v>Obras civis para instalações hidráulicas</v>
          </cell>
          <cell r="F1061" t="str">
            <v xml:space="preserve">Vb </v>
          </cell>
          <cell r="G1061">
            <v>1</v>
          </cell>
          <cell r="H1061">
            <v>12000</v>
          </cell>
          <cell r="I1061">
            <v>12000</v>
          </cell>
        </row>
        <row r="1062">
          <cell r="C1062" t="str">
            <v>484</v>
          </cell>
          <cell r="D1062" t="str">
            <v>Obras civis para instalações hidráulicas</v>
          </cell>
          <cell r="F1062" t="str">
            <v>Vb</v>
          </cell>
          <cell r="G1062">
            <v>1</v>
          </cell>
          <cell r="H1062">
            <v>12000</v>
          </cell>
          <cell r="I1062">
            <v>12000</v>
          </cell>
        </row>
        <row r="1063">
          <cell r="C1063" t="str">
            <v>28.03.01.04</v>
          </cell>
          <cell r="D1063" t="str">
            <v>Furo em concreto para instalações hidráulicas</v>
          </cell>
          <cell r="F1063" t="str">
            <v xml:space="preserve">Vb </v>
          </cell>
          <cell r="G1063">
            <v>1</v>
          </cell>
          <cell r="H1063">
            <v>15000</v>
          </cell>
          <cell r="I1063">
            <v>15000</v>
          </cell>
        </row>
        <row r="1064">
          <cell r="C1064">
            <v>479</v>
          </cell>
          <cell r="D1064" t="str">
            <v>MDO para furos no concreto</v>
          </cell>
          <cell r="F1064" t="str">
            <v>vb</v>
          </cell>
          <cell r="G1064">
            <v>1</v>
          </cell>
          <cell r="H1064">
            <v>15000</v>
          </cell>
          <cell r="I1064">
            <v>15000</v>
          </cell>
        </row>
        <row r="1065">
          <cell r="C1065" t="str">
            <v>28.03.01.05</v>
          </cell>
          <cell r="D1065" t="str">
            <v>Canaleta para umidade das paredes diafragmas</v>
          </cell>
          <cell r="F1065" t="str">
            <v>m</v>
          </cell>
          <cell r="G1065">
            <v>1192</v>
          </cell>
          <cell r="H1065">
            <v>16</v>
          </cell>
          <cell r="I1065">
            <v>19072</v>
          </cell>
        </row>
        <row r="1066">
          <cell r="C1066" t="str">
            <v>485</v>
          </cell>
          <cell r="D1066" t="str">
            <v>Canaleta para umidade das paredes diafragmas</v>
          </cell>
          <cell r="F1066" t="str">
            <v>m</v>
          </cell>
          <cell r="G1066">
            <v>1</v>
          </cell>
          <cell r="H1066">
            <v>16</v>
          </cell>
          <cell r="I1066">
            <v>16</v>
          </cell>
        </row>
        <row r="1067">
          <cell r="C1067" t="str">
            <v>29.01.01.01</v>
          </cell>
          <cell r="D1067" t="str">
            <v>Bacia c/ caixa acoplada - cp 929, linha ravena deca, cor branca</v>
          </cell>
          <cell r="F1067" t="str">
            <v xml:space="preserve">un </v>
          </cell>
          <cell r="G1067">
            <v>149</v>
          </cell>
          <cell r="H1067">
            <v>214.62775999999999</v>
          </cell>
          <cell r="I1067">
            <v>31979.54</v>
          </cell>
        </row>
        <row r="1068">
          <cell r="C1068">
            <v>486</v>
          </cell>
          <cell r="D1068" t="str">
            <v>Anel de vedação para bacia sanitária Decanel da Deca®</v>
          </cell>
          <cell r="F1068" t="str">
            <v>un</v>
          </cell>
          <cell r="G1068">
            <v>1</v>
          </cell>
          <cell r="H1068">
            <v>11.89</v>
          </cell>
          <cell r="I1068">
            <v>11.89</v>
          </cell>
        </row>
        <row r="1069">
          <cell r="C1069">
            <v>487</v>
          </cell>
          <cell r="D1069" t="str">
            <v>Conjunto de fixação para bacia</v>
          </cell>
          <cell r="F1069" t="str">
            <v>un</v>
          </cell>
          <cell r="G1069">
            <v>2</v>
          </cell>
          <cell r="H1069">
            <v>4.8899999999999997</v>
          </cell>
          <cell r="I1069">
            <v>9.7799999999999994</v>
          </cell>
        </row>
        <row r="1070">
          <cell r="C1070">
            <v>488</v>
          </cell>
          <cell r="D1070" t="str">
            <v>Fita de vedação tipo vedarosca</v>
          </cell>
          <cell r="F1070" t="str">
            <v>un</v>
          </cell>
          <cell r="G1070">
            <v>0.02</v>
          </cell>
          <cell r="H1070">
            <v>7.6</v>
          </cell>
          <cell r="I1070">
            <v>0.152</v>
          </cell>
        </row>
        <row r="1071">
          <cell r="C1071">
            <v>489</v>
          </cell>
          <cell r="D1071" t="str">
            <v>Adesivo para PVC da Akros® (tb 850g)</v>
          </cell>
          <cell r="F1071" t="str">
            <v>un</v>
          </cell>
          <cell r="G1071">
            <v>1.176E-2</v>
          </cell>
          <cell r="H1071">
            <v>26</v>
          </cell>
          <cell r="I1071">
            <v>0.30575999999999998</v>
          </cell>
        </row>
        <row r="1072">
          <cell r="C1072">
            <v>490</v>
          </cell>
          <cell r="D1072" t="str">
            <v>Ligação flexível</v>
          </cell>
          <cell r="F1072" t="str">
            <v>un</v>
          </cell>
          <cell r="G1072">
            <v>1</v>
          </cell>
          <cell r="H1072">
            <v>9.5</v>
          </cell>
          <cell r="I1072">
            <v>9.5</v>
          </cell>
        </row>
        <row r="1073">
          <cell r="C1073">
            <v>491</v>
          </cell>
          <cell r="D1073" t="str">
            <v>Bacia c/ caixa acoplada - cp 929, linha ravena deca, cor branca</v>
          </cell>
          <cell r="F1073" t="str">
            <v>un</v>
          </cell>
          <cell r="G1073">
            <v>1</v>
          </cell>
          <cell r="H1073">
            <v>183</v>
          </cell>
          <cell r="I1073">
            <v>183</v>
          </cell>
        </row>
        <row r="1074">
          <cell r="C1074" t="str">
            <v>29.01.01.02</v>
          </cell>
          <cell r="D1074" t="str">
            <v>Bacia c/ caixa acoplada mod. vogue pluscp 525 6l na cor gelo deca ou similar</v>
          </cell>
          <cell r="F1074" t="str">
            <v xml:space="preserve">un </v>
          </cell>
          <cell r="G1074">
            <v>108</v>
          </cell>
          <cell r="H1074">
            <v>296.62776000000002</v>
          </cell>
          <cell r="I1074">
            <v>32035.8</v>
          </cell>
        </row>
        <row r="1075">
          <cell r="C1075">
            <v>486</v>
          </cell>
          <cell r="D1075" t="str">
            <v>Anel de vedação para bacia sanitária Decanel da Deca®</v>
          </cell>
          <cell r="F1075" t="str">
            <v>un</v>
          </cell>
          <cell r="G1075">
            <v>1</v>
          </cell>
          <cell r="H1075">
            <v>11.89</v>
          </cell>
          <cell r="I1075">
            <v>11.89</v>
          </cell>
        </row>
        <row r="1076">
          <cell r="C1076">
            <v>487</v>
          </cell>
          <cell r="D1076" t="str">
            <v>Conjunto de fixação para bacia</v>
          </cell>
          <cell r="F1076" t="str">
            <v>un</v>
          </cell>
          <cell r="G1076">
            <v>2</v>
          </cell>
          <cell r="H1076">
            <v>4.8899999999999997</v>
          </cell>
          <cell r="I1076">
            <v>9.7799999999999994</v>
          </cell>
        </row>
        <row r="1077">
          <cell r="C1077">
            <v>488</v>
          </cell>
          <cell r="D1077" t="str">
            <v>Fita de vedação tipo vedarosca</v>
          </cell>
          <cell r="F1077" t="str">
            <v>un</v>
          </cell>
          <cell r="G1077">
            <v>0.02</v>
          </cell>
          <cell r="H1077">
            <v>7.6</v>
          </cell>
          <cell r="I1077">
            <v>0.152</v>
          </cell>
        </row>
        <row r="1078">
          <cell r="C1078">
            <v>489</v>
          </cell>
          <cell r="D1078" t="str">
            <v>Adesivo para PVC da Akros® (tb 850g)</v>
          </cell>
          <cell r="F1078" t="str">
            <v>un</v>
          </cell>
          <cell r="G1078">
            <v>1.176E-2</v>
          </cell>
          <cell r="H1078">
            <v>26</v>
          </cell>
          <cell r="I1078">
            <v>0.30575999999999998</v>
          </cell>
        </row>
        <row r="1079">
          <cell r="C1079">
            <v>492</v>
          </cell>
          <cell r="D1079" t="str">
            <v>Bacia sanitária, linha vogue plus CP 525 6L na cor gelo da Deca®</v>
          </cell>
          <cell r="F1079" t="str">
            <v>un</v>
          </cell>
          <cell r="G1079">
            <v>1</v>
          </cell>
          <cell r="H1079">
            <v>265</v>
          </cell>
          <cell r="I1079">
            <v>265</v>
          </cell>
        </row>
        <row r="1080">
          <cell r="C1080">
            <v>490</v>
          </cell>
          <cell r="D1080" t="str">
            <v>Ligação flexível</v>
          </cell>
          <cell r="F1080" t="str">
            <v>un</v>
          </cell>
          <cell r="G1080">
            <v>1</v>
          </cell>
          <cell r="H1080">
            <v>9.5</v>
          </cell>
          <cell r="I1080">
            <v>9.5</v>
          </cell>
        </row>
        <row r="1081">
          <cell r="C1081" t="str">
            <v>29.01.01.03</v>
          </cell>
          <cell r="D1081" t="str">
            <v>Lavatorio c/ coluna deca , linha targa branco gelo</v>
          </cell>
          <cell r="F1081" t="str">
            <v xml:space="preserve">un </v>
          </cell>
          <cell r="G1081">
            <v>148</v>
          </cell>
          <cell r="H1081">
            <v>125.66999999999999</v>
          </cell>
          <cell r="I1081">
            <v>18599.16</v>
          </cell>
        </row>
        <row r="1082">
          <cell r="C1082">
            <v>487</v>
          </cell>
          <cell r="D1082" t="str">
            <v>Conjunto de fixação para bacia</v>
          </cell>
          <cell r="F1082" t="str">
            <v>un</v>
          </cell>
          <cell r="G1082">
            <v>1</v>
          </cell>
          <cell r="H1082">
            <v>4.8899999999999997</v>
          </cell>
          <cell r="I1082">
            <v>4.8899999999999997</v>
          </cell>
        </row>
        <row r="1083">
          <cell r="C1083">
            <v>493</v>
          </cell>
          <cell r="D1083" t="str">
            <v>Sifão metálico para lavatório Ø1/2 cromado (mod 1680 c1001) da Deca®</v>
          </cell>
          <cell r="F1083" t="str">
            <v>un</v>
          </cell>
          <cell r="G1083">
            <v>1</v>
          </cell>
          <cell r="H1083">
            <v>34.409999999999997</v>
          </cell>
          <cell r="I1083">
            <v>34.409999999999997</v>
          </cell>
        </row>
        <row r="1084">
          <cell r="C1084">
            <v>494</v>
          </cell>
          <cell r="D1084" t="str">
            <v>Válvula de escoamento para lavatório</v>
          </cell>
          <cell r="F1084" t="str">
            <v>un</v>
          </cell>
          <cell r="G1084">
            <v>1</v>
          </cell>
          <cell r="H1084">
            <v>8.57</v>
          </cell>
          <cell r="I1084">
            <v>8.57</v>
          </cell>
        </row>
        <row r="1085">
          <cell r="C1085">
            <v>500</v>
          </cell>
          <cell r="D1085" t="str">
            <v>Lavatorio c/ coluna deca , linha targa branco gelo</v>
          </cell>
          <cell r="F1085" t="str">
            <v>un</v>
          </cell>
          <cell r="G1085">
            <v>1</v>
          </cell>
          <cell r="H1085">
            <v>77.8</v>
          </cell>
          <cell r="I1085">
            <v>77.8</v>
          </cell>
        </row>
        <row r="1086">
          <cell r="C1086" t="str">
            <v>29.01.01.04</v>
          </cell>
          <cell r="D1086" t="str">
            <v>Mictório de louça</v>
          </cell>
          <cell r="F1086" t="str">
            <v xml:space="preserve">un </v>
          </cell>
          <cell r="G1086">
            <v>38</v>
          </cell>
          <cell r="H1086">
            <v>476.82600000000002</v>
          </cell>
          <cell r="I1086">
            <v>18119.39</v>
          </cell>
        </row>
        <row r="1087">
          <cell r="C1087">
            <v>488</v>
          </cell>
          <cell r="D1087" t="str">
            <v>Fita de vedação tipo vedarosca</v>
          </cell>
          <cell r="F1087" t="str">
            <v>un</v>
          </cell>
          <cell r="G1087">
            <v>0.56000000000000005</v>
          </cell>
          <cell r="H1087">
            <v>7.6</v>
          </cell>
          <cell r="I1087">
            <v>4.2560000000000002</v>
          </cell>
        </row>
        <row r="1088">
          <cell r="C1088">
            <v>501</v>
          </cell>
          <cell r="D1088" t="str">
            <v>Mictório Deca® 711, cor branca</v>
          </cell>
          <cell r="F1088" t="str">
            <v>un</v>
          </cell>
          <cell r="G1088">
            <v>1</v>
          </cell>
          <cell r="H1088">
            <v>115</v>
          </cell>
          <cell r="I1088">
            <v>115</v>
          </cell>
        </row>
        <row r="1089">
          <cell r="C1089">
            <v>495</v>
          </cell>
          <cell r="D1089" t="str">
            <v>Sifão metálico para mictório (mod 1681) da Deca®</v>
          </cell>
          <cell r="F1089" t="str">
            <v>un</v>
          </cell>
          <cell r="G1089">
            <v>1</v>
          </cell>
          <cell r="H1089">
            <v>144.4</v>
          </cell>
          <cell r="I1089">
            <v>144.4</v>
          </cell>
        </row>
        <row r="1090">
          <cell r="C1090">
            <v>497</v>
          </cell>
          <cell r="D1090" t="str">
            <v>Válvula de descarga para mictório</v>
          </cell>
          <cell r="F1090" t="str">
            <v>un</v>
          </cell>
          <cell r="G1090">
            <v>1</v>
          </cell>
          <cell r="H1090">
            <v>183.2</v>
          </cell>
          <cell r="I1090">
            <v>183.2</v>
          </cell>
        </row>
        <row r="1091">
          <cell r="C1091">
            <v>502</v>
          </cell>
          <cell r="D1091" t="str">
            <v>Conjunto para fixação de mictório</v>
          </cell>
          <cell r="F1091" t="str">
            <v>un</v>
          </cell>
          <cell r="G1091">
            <v>1</v>
          </cell>
          <cell r="H1091">
            <v>29.97</v>
          </cell>
          <cell r="I1091">
            <v>29.97</v>
          </cell>
        </row>
        <row r="1092">
          <cell r="C1092" t="str">
            <v>29.01.01.05</v>
          </cell>
          <cell r="D1092" t="str">
            <v>Cuba de sobrepor L71 da deca</v>
          </cell>
          <cell r="F1092" t="str">
            <v xml:space="preserve">un </v>
          </cell>
          <cell r="G1092">
            <v>159</v>
          </cell>
          <cell r="H1092">
            <v>286.87</v>
          </cell>
          <cell r="I1092">
            <v>45612.33</v>
          </cell>
        </row>
        <row r="1093">
          <cell r="C1093">
            <v>493</v>
          </cell>
          <cell r="D1093" t="str">
            <v>Sifão metálico para lavatório Ø1/2 cromado (mod 1680 c1001) da Deca®</v>
          </cell>
          <cell r="F1093" t="str">
            <v>un</v>
          </cell>
          <cell r="G1093">
            <v>1</v>
          </cell>
          <cell r="H1093">
            <v>34.409999999999997</v>
          </cell>
          <cell r="I1093">
            <v>34.409999999999997</v>
          </cell>
        </row>
        <row r="1094">
          <cell r="C1094">
            <v>494</v>
          </cell>
          <cell r="D1094" t="str">
            <v>Válvula de escoamento para lavatório</v>
          </cell>
          <cell r="F1094" t="str">
            <v>un</v>
          </cell>
          <cell r="G1094">
            <v>1</v>
          </cell>
          <cell r="H1094">
            <v>8.57</v>
          </cell>
          <cell r="I1094">
            <v>8.57</v>
          </cell>
        </row>
        <row r="1095">
          <cell r="C1095">
            <v>503</v>
          </cell>
          <cell r="D1095" t="str">
            <v>Cuba de sobrepor L71 da deca</v>
          </cell>
          <cell r="F1095" t="str">
            <v>un</v>
          </cell>
          <cell r="G1095">
            <v>1</v>
          </cell>
          <cell r="H1095">
            <v>243.89</v>
          </cell>
          <cell r="I1095">
            <v>243.89</v>
          </cell>
        </row>
        <row r="1096">
          <cell r="C1096" t="str">
            <v>29.01.02.01</v>
          </cell>
          <cell r="D1096" t="str">
            <v>Torneira p/ lavatorio bica alta linha itapemabella chrome cod 00201360 docol ou similar</v>
          </cell>
          <cell r="F1096" t="str">
            <v xml:space="preserve">un </v>
          </cell>
          <cell r="G1096">
            <v>159</v>
          </cell>
          <cell r="H1096">
            <v>84.652000000000001</v>
          </cell>
          <cell r="I1096">
            <v>13459.67</v>
          </cell>
        </row>
        <row r="1097">
          <cell r="C1097">
            <v>488</v>
          </cell>
          <cell r="D1097" t="str">
            <v>Fita de vedação tipo vedarosca</v>
          </cell>
          <cell r="F1097" t="str">
            <v>un</v>
          </cell>
          <cell r="G1097">
            <v>0.02</v>
          </cell>
          <cell r="H1097">
            <v>7.6</v>
          </cell>
          <cell r="I1097">
            <v>0.152</v>
          </cell>
        </row>
        <row r="1098">
          <cell r="C1098">
            <v>490</v>
          </cell>
          <cell r="D1098" t="str">
            <v>Ligação flexível</v>
          </cell>
          <cell r="F1098" t="str">
            <v>un</v>
          </cell>
          <cell r="G1098">
            <v>1</v>
          </cell>
          <cell r="H1098">
            <v>9.5</v>
          </cell>
          <cell r="I1098">
            <v>9.5</v>
          </cell>
        </row>
        <row r="1099">
          <cell r="C1099">
            <v>504</v>
          </cell>
          <cell r="D1099" t="str">
            <v>torneira docol p/ lavatorio linha itapema bella ou similar das marcas deca , fabrimar , esteves ou oriente</v>
          </cell>
          <cell r="F1099" t="str">
            <v>un</v>
          </cell>
          <cell r="G1099">
            <v>1</v>
          </cell>
          <cell r="H1099">
            <v>75</v>
          </cell>
          <cell r="I1099">
            <v>75</v>
          </cell>
        </row>
        <row r="1100">
          <cell r="C1100" t="str">
            <v>29.01.02.02</v>
          </cell>
          <cell r="D1100" t="str">
            <v>Torneira para pia de coz. mesa bica movel mod. delicata chrome cod 00111506, ou similar das marca deca</v>
          </cell>
          <cell r="F1100" t="str">
            <v xml:space="preserve">un </v>
          </cell>
          <cell r="G1100">
            <v>1</v>
          </cell>
          <cell r="H1100">
            <v>91.652000000000001</v>
          </cell>
          <cell r="I1100">
            <v>91.65</v>
          </cell>
        </row>
        <row r="1101">
          <cell r="C1101">
            <v>488</v>
          </cell>
          <cell r="D1101" t="str">
            <v>Fita de vedação tipo vedarosca</v>
          </cell>
          <cell r="F1101" t="str">
            <v>un</v>
          </cell>
          <cell r="G1101">
            <v>0.02</v>
          </cell>
          <cell r="H1101">
            <v>7.6</v>
          </cell>
          <cell r="I1101">
            <v>0.152</v>
          </cell>
        </row>
        <row r="1102">
          <cell r="C1102">
            <v>490</v>
          </cell>
          <cell r="D1102" t="str">
            <v>Ligação flexível</v>
          </cell>
          <cell r="F1102" t="str">
            <v>un</v>
          </cell>
          <cell r="G1102">
            <v>1</v>
          </cell>
          <cell r="H1102">
            <v>9.5</v>
          </cell>
          <cell r="I1102">
            <v>9.5</v>
          </cell>
        </row>
        <row r="1103">
          <cell r="C1103">
            <v>505</v>
          </cell>
          <cell r="D1103" t="str">
            <v>Torneira para pia de coz. mesa bica movel mod. delicata chrome cod 00111506, ou similar das marca deca</v>
          </cell>
          <cell r="F1103" t="str">
            <v>un</v>
          </cell>
          <cell r="G1103">
            <v>1</v>
          </cell>
          <cell r="H1103">
            <v>82</v>
          </cell>
          <cell r="I1103">
            <v>82</v>
          </cell>
        </row>
        <row r="1104">
          <cell r="C1104" t="str">
            <v>29.01.02.03</v>
          </cell>
          <cell r="D1104" t="str">
            <v>Torneira docol p/ lavatorio linha itapema bella ou similar das marcas deca , fabrimar , esteves ou oriente</v>
          </cell>
          <cell r="F1104" t="str">
            <v xml:space="preserve">un </v>
          </cell>
          <cell r="G1104">
            <v>148</v>
          </cell>
          <cell r="H1104">
            <v>67.152000000000001</v>
          </cell>
          <cell r="I1104">
            <v>9938.5</v>
          </cell>
        </row>
        <row r="1105">
          <cell r="C1105">
            <v>488</v>
          </cell>
          <cell r="D1105" t="str">
            <v>Fita de vedação tipo vedarosca</v>
          </cell>
          <cell r="F1105" t="str">
            <v>un</v>
          </cell>
          <cell r="G1105">
            <v>0.02</v>
          </cell>
          <cell r="H1105">
            <v>7.6</v>
          </cell>
          <cell r="I1105">
            <v>0.152</v>
          </cell>
        </row>
        <row r="1106">
          <cell r="C1106">
            <v>490</v>
          </cell>
          <cell r="D1106" t="str">
            <v>Ligação flexível</v>
          </cell>
          <cell r="F1106" t="str">
            <v>un</v>
          </cell>
          <cell r="G1106">
            <v>1</v>
          </cell>
          <cell r="H1106">
            <v>9.5</v>
          </cell>
          <cell r="I1106">
            <v>9.5</v>
          </cell>
        </row>
        <row r="1107">
          <cell r="C1107">
            <v>506</v>
          </cell>
          <cell r="D1107" t="str">
            <v>torneira docol p/ lavatorio linha itapema bella ou similar das marcas deca , fabrimar , esteves ou oriente</v>
          </cell>
          <cell r="F1107" t="str">
            <v>un</v>
          </cell>
          <cell r="G1107">
            <v>1</v>
          </cell>
          <cell r="H1107">
            <v>57.5</v>
          </cell>
          <cell r="I1107">
            <v>57.5</v>
          </cell>
        </row>
        <row r="1108">
          <cell r="C1108" t="str">
            <v>29.01.02.04</v>
          </cell>
          <cell r="D1108" t="str">
            <v>Torneira de jardim docol</v>
          </cell>
          <cell r="F1108" t="str">
            <v xml:space="preserve">un </v>
          </cell>
          <cell r="G1108">
            <v>6</v>
          </cell>
          <cell r="H1108">
            <v>26.652000000000001</v>
          </cell>
          <cell r="I1108">
            <v>159.91</v>
          </cell>
        </row>
        <row r="1109">
          <cell r="C1109">
            <v>488</v>
          </cell>
          <cell r="D1109" t="str">
            <v>Fita de vedação tipo vedarosca</v>
          </cell>
          <cell r="F1109" t="str">
            <v>un</v>
          </cell>
          <cell r="G1109">
            <v>0.02</v>
          </cell>
          <cell r="H1109">
            <v>7.6</v>
          </cell>
          <cell r="I1109">
            <v>0.152</v>
          </cell>
        </row>
        <row r="1110">
          <cell r="C1110">
            <v>490</v>
          </cell>
          <cell r="D1110" t="str">
            <v>Ligação flexível</v>
          </cell>
          <cell r="F1110" t="str">
            <v>un</v>
          </cell>
          <cell r="G1110">
            <v>1</v>
          </cell>
          <cell r="H1110">
            <v>9.5</v>
          </cell>
          <cell r="I1110">
            <v>9.5</v>
          </cell>
        </row>
        <row r="1111">
          <cell r="C1111">
            <v>507</v>
          </cell>
          <cell r="D1111" t="str">
            <v>Torneira de jardim docol</v>
          </cell>
          <cell r="F1111" t="str">
            <v>un</v>
          </cell>
          <cell r="G1111">
            <v>1</v>
          </cell>
          <cell r="H1111">
            <v>17</v>
          </cell>
          <cell r="I1111">
            <v>17</v>
          </cell>
        </row>
        <row r="1112">
          <cell r="C1112" t="str">
            <v>29.01.04.01</v>
          </cell>
          <cell r="D1112" t="str">
            <v>Acabamento p/ registro linha itapema bella chrome da Docol®</v>
          </cell>
          <cell r="F1112" t="str">
            <v xml:space="preserve">un </v>
          </cell>
          <cell r="G1112">
            <v>205</v>
          </cell>
          <cell r="H1112">
            <v>21.256</v>
          </cell>
          <cell r="I1112">
            <v>4357.4799999999996</v>
          </cell>
        </row>
        <row r="1113">
          <cell r="C1113">
            <v>488</v>
          </cell>
          <cell r="D1113" t="str">
            <v>Fita de vedação tipo vedarosca</v>
          </cell>
          <cell r="F1113" t="str">
            <v>un</v>
          </cell>
          <cell r="G1113">
            <v>0.56000000000000005</v>
          </cell>
          <cell r="H1113">
            <v>7.6</v>
          </cell>
          <cell r="I1113">
            <v>4.2560000000000002</v>
          </cell>
        </row>
        <row r="1114">
          <cell r="C1114">
            <v>508</v>
          </cell>
          <cell r="D1114" t="str">
            <v>Acabamento p/ registro linha itapema bella chrome da Docol®</v>
          </cell>
          <cell r="F1114" t="str">
            <v>un</v>
          </cell>
          <cell r="G1114">
            <v>1</v>
          </cell>
          <cell r="H1114">
            <v>17</v>
          </cell>
          <cell r="I1114">
            <v>17</v>
          </cell>
        </row>
        <row r="1115">
          <cell r="C1115" t="str">
            <v>29.01.04.02</v>
          </cell>
          <cell r="D1115" t="str">
            <v>Chuveiros (vest. Funcionários)</v>
          </cell>
          <cell r="F1115" t="str">
            <v xml:space="preserve">un </v>
          </cell>
          <cell r="G1115">
            <v>2</v>
          </cell>
          <cell r="H1115">
            <v>140</v>
          </cell>
          <cell r="I1115">
            <v>280</v>
          </cell>
        </row>
        <row r="1116">
          <cell r="C1116">
            <v>509</v>
          </cell>
          <cell r="D1116" t="str">
            <v>Chuveiros (vest. Funcionários)</v>
          </cell>
          <cell r="F1116" t="str">
            <v>un</v>
          </cell>
          <cell r="G1116">
            <v>1</v>
          </cell>
          <cell r="H1116">
            <v>140</v>
          </cell>
          <cell r="I1116">
            <v>140</v>
          </cell>
        </row>
        <row r="1117">
          <cell r="C1117" t="str">
            <v>29.01.05.01</v>
          </cell>
          <cell r="D1117" t="str">
            <v>Barra de apoio para portadores de necessidades especiais c=0,60m</v>
          </cell>
          <cell r="F1117" t="str">
            <v xml:space="preserve">un </v>
          </cell>
          <cell r="G1117">
            <v>2</v>
          </cell>
          <cell r="H1117">
            <v>337.4</v>
          </cell>
          <cell r="I1117">
            <v>674.8</v>
          </cell>
        </row>
        <row r="1118">
          <cell r="C1118">
            <v>510</v>
          </cell>
          <cell r="D1118" t="str">
            <v>Barra de apoio para deficiente físico c=60cm</v>
          </cell>
          <cell r="F1118" t="str">
            <v>un</v>
          </cell>
          <cell r="G1118">
            <v>1</v>
          </cell>
          <cell r="H1118">
            <v>302.39999999999998</v>
          </cell>
          <cell r="I1118">
            <v>302.39999999999998</v>
          </cell>
        </row>
        <row r="1119">
          <cell r="C1119">
            <v>511</v>
          </cell>
          <cell r="D1119" t="str">
            <v>MDO para colocação de barra para deficiente</v>
          </cell>
          <cell r="F1119" t="str">
            <v>un</v>
          </cell>
          <cell r="G1119">
            <v>1</v>
          </cell>
          <cell r="H1119">
            <v>35</v>
          </cell>
          <cell r="I1119">
            <v>35</v>
          </cell>
        </row>
        <row r="1120">
          <cell r="C1120" t="str">
            <v>29.01.03.01</v>
          </cell>
          <cell r="D1120" t="str">
            <v>Cuba retangular em aço inox mod 94322 da marca tramontina ou similar</v>
          </cell>
          <cell r="F1120" t="str">
            <v xml:space="preserve">un </v>
          </cell>
          <cell r="G1120">
            <v>1</v>
          </cell>
          <cell r="H1120">
            <v>229.952</v>
          </cell>
          <cell r="I1120">
            <v>229.95</v>
          </cell>
        </row>
        <row r="1121">
          <cell r="C1121">
            <v>488</v>
          </cell>
          <cell r="D1121" t="str">
            <v>Fita de vedação tipo vedarosca</v>
          </cell>
          <cell r="F1121" t="str">
            <v>un</v>
          </cell>
          <cell r="G1121">
            <v>0.22</v>
          </cell>
          <cell r="H1121">
            <v>7.6</v>
          </cell>
          <cell r="I1121">
            <v>1.6719999999999999</v>
          </cell>
        </row>
        <row r="1122">
          <cell r="C1122">
            <v>496</v>
          </cell>
          <cell r="D1122" t="str">
            <v>Sifão metálico para pia de cozinha cromado da Esteves®</v>
          </cell>
          <cell r="F1122" t="str">
            <v>un</v>
          </cell>
          <cell r="G1122">
            <v>1</v>
          </cell>
          <cell r="H1122">
            <v>42.18</v>
          </cell>
          <cell r="I1122">
            <v>42.18</v>
          </cell>
        </row>
        <row r="1123">
          <cell r="C1123">
            <v>498</v>
          </cell>
          <cell r="D1123" t="str">
            <v>Válvula americana de 3.1/2"</v>
          </cell>
          <cell r="F1123" t="str">
            <v>un</v>
          </cell>
          <cell r="G1123">
            <v>1</v>
          </cell>
          <cell r="H1123">
            <v>12.5</v>
          </cell>
          <cell r="I1123">
            <v>12.5</v>
          </cell>
        </row>
        <row r="1124">
          <cell r="C1124">
            <v>512</v>
          </cell>
          <cell r="D1124" t="str">
            <v>Cuba de aço inox retangular 47x30cm da Tramontina®</v>
          </cell>
          <cell r="F1124" t="str">
            <v>un</v>
          </cell>
          <cell r="G1124">
            <v>1</v>
          </cell>
          <cell r="H1124">
            <v>173.6</v>
          </cell>
          <cell r="I1124">
            <v>173.6</v>
          </cell>
        </row>
        <row r="1125">
          <cell r="C1125" t="str">
            <v>29.02.01.01</v>
          </cell>
          <cell r="D1125" t="str">
            <v>Bancada de granito preto são gabriel em l de (1,73+3,33)m x 0,60m com espaço para 5 cubas de embutir, frontão de 6,23m h=10cm, saia de 4,46m h=10cm (san. masc. - 2º ao 12º pavtos.13º e 14º pavto.)</v>
          </cell>
          <cell r="F1125" t="str">
            <v xml:space="preserve">un </v>
          </cell>
          <cell r="G1125">
            <v>13</v>
          </cell>
          <cell r="H1125">
            <v>1401.8198</v>
          </cell>
          <cell r="I1125">
            <v>18223.66</v>
          </cell>
        </row>
        <row r="1126">
          <cell r="C1126">
            <v>329</v>
          </cell>
          <cell r="D1126" t="str">
            <v>Argamassa colante ferma marmore granito interna da Quartzolit® (sc 20Kg)</v>
          </cell>
          <cell r="F1126" t="str">
            <v>sc</v>
          </cell>
          <cell r="G1126">
            <v>0.38940000000000002</v>
          </cell>
          <cell r="H1126">
            <v>17</v>
          </cell>
          <cell r="I1126">
            <v>6.6197999999999997</v>
          </cell>
        </row>
        <row r="1127">
          <cell r="C1127">
            <v>513</v>
          </cell>
          <cell r="D1127" t="str">
            <v>Grapas para fixação de bancadas</v>
          </cell>
          <cell r="F1127" t="str">
            <v>un</v>
          </cell>
          <cell r="G1127">
            <v>2</v>
          </cell>
          <cell r="H1127">
            <v>15</v>
          </cell>
          <cell r="I1127">
            <v>30</v>
          </cell>
        </row>
        <row r="1128">
          <cell r="C1128">
            <v>514</v>
          </cell>
          <cell r="D1128" t="str">
            <v>Bancada de granito preto são gabriel em l de (1,73+3,33)m x 0,60m com espaço para 5 cubas de embutir, frontão de 6,23m h=10cm, saia de 4,46m h=10cm (san. masc. - 2º ao 12º pavtos.)</v>
          </cell>
          <cell r="F1128" t="str">
            <v>un</v>
          </cell>
          <cell r="G1128">
            <v>1</v>
          </cell>
          <cell r="H1128">
            <v>1365.2</v>
          </cell>
          <cell r="I1128">
            <v>1365.2</v>
          </cell>
        </row>
        <row r="1129">
          <cell r="C1129" t="str">
            <v>29.02.01.02</v>
          </cell>
          <cell r="D1129" t="str">
            <v>Bancada de granito preto são gabriel em l de (1,90+2,33)m x 0,60m com espaço para 4 cubas de embutir, frontão de 6,00m h=10cm de altura, saia de 3,63m h=10cm (san. fem. - 2º ao 12º pavtos., 13º e 14º pavtos.)</v>
          </cell>
          <cell r="F1129" t="str">
            <v xml:space="preserve">un </v>
          </cell>
          <cell r="G1129">
            <v>13</v>
          </cell>
          <cell r="H1129">
            <v>1201.7249999999999</v>
          </cell>
          <cell r="I1129">
            <v>15622.43</v>
          </cell>
        </row>
        <row r="1130">
          <cell r="C1130">
            <v>329</v>
          </cell>
          <cell r="D1130" t="str">
            <v>Argamassa colante ferma marmore granito interna da Quartzolit® (sc 20Kg)</v>
          </cell>
          <cell r="F1130" t="str">
            <v>sc</v>
          </cell>
          <cell r="G1130">
            <v>0.375</v>
          </cell>
          <cell r="H1130">
            <v>17</v>
          </cell>
          <cell r="I1130">
            <v>6.375</v>
          </cell>
        </row>
        <row r="1131">
          <cell r="C1131">
            <v>513</v>
          </cell>
          <cell r="D1131" t="str">
            <v>Grapas para fixação de bancadas</v>
          </cell>
          <cell r="F1131" t="str">
            <v>un</v>
          </cell>
          <cell r="G1131">
            <v>2</v>
          </cell>
          <cell r="H1131">
            <v>15</v>
          </cell>
          <cell r="I1131">
            <v>30</v>
          </cell>
        </row>
        <row r="1132">
          <cell r="C1132">
            <v>515</v>
          </cell>
          <cell r="D1132" t="str">
            <v>Bancada de granito preto são gabriel em l de (1,90+2,33)m x 0,60m com espaço para 4 cubas de embutir, frontão de 6,00m h=10cm de altura, saia de 3,63m h=10cm (san. fem. - 2º ao 12º pavtos., 13º e 14º pavtos.)</v>
          </cell>
          <cell r="F1132" t="str">
            <v>un</v>
          </cell>
          <cell r="G1132">
            <v>1</v>
          </cell>
          <cell r="H1132">
            <v>1165.3499999999999</v>
          </cell>
          <cell r="I1132">
            <v>1165.3499999999999</v>
          </cell>
        </row>
        <row r="1133">
          <cell r="C1133" t="str">
            <v>29.02.01.03</v>
          </cell>
          <cell r="D1133" t="str">
            <v>Bancada de granito preto são gabriel em l de (1,74+2,75)m x 0,60m com espaço para 5 cubas de embutir, frontão de 6,91m h=10cm, saia de 4,46m h=10cm (san. masc. - 15º pavto.)</v>
          </cell>
          <cell r="F1133" t="str">
            <v xml:space="preserve">un </v>
          </cell>
          <cell r="G1133">
            <v>1</v>
          </cell>
          <cell r="H1133">
            <v>1314.3423</v>
          </cell>
          <cell r="I1133">
            <v>1314.34</v>
          </cell>
        </row>
        <row r="1134">
          <cell r="C1134">
            <v>329</v>
          </cell>
          <cell r="D1134" t="str">
            <v>Argamassa colante ferma marmore granito interna da Quartzolit® (sc 20Kg)</v>
          </cell>
          <cell r="F1134" t="str">
            <v>sc</v>
          </cell>
          <cell r="G1134">
            <v>0.43190000000000001</v>
          </cell>
          <cell r="H1134">
            <v>17</v>
          </cell>
          <cell r="I1134">
            <v>7.3422999999999998</v>
          </cell>
        </row>
        <row r="1135">
          <cell r="C1135">
            <v>513</v>
          </cell>
          <cell r="D1135" t="str">
            <v>Grapas para fixação de bancadas</v>
          </cell>
          <cell r="F1135" t="str">
            <v>un</v>
          </cell>
          <cell r="G1135">
            <v>2</v>
          </cell>
          <cell r="H1135">
            <v>15</v>
          </cell>
          <cell r="I1135">
            <v>30</v>
          </cell>
        </row>
        <row r="1136">
          <cell r="C1136">
            <v>516</v>
          </cell>
          <cell r="D1136" t="str">
            <v>Bancada de granito preto são gabriel em l de (1,74+2,75)m x 0,60m com espaço para 5 cubas de embutir, frontão de 6,91m h=10cm, saia de 4,46m h=10cm (san. masc. - 15º pavto.)</v>
          </cell>
          <cell r="F1136" t="str">
            <v>un</v>
          </cell>
          <cell r="G1136">
            <v>1</v>
          </cell>
          <cell r="H1136">
            <v>1277</v>
          </cell>
          <cell r="I1136">
            <v>1277</v>
          </cell>
        </row>
        <row r="1137">
          <cell r="C1137" t="str">
            <v>29.02.01.04</v>
          </cell>
          <cell r="D1137" t="str">
            <v>Bancada de granito preto são gabriel em l de (1,92+2,35)m x 0,60m com espaço para 4 cubas de embutir, frontão de 6,08m h=10cm, saia de 3,63m h=10cm (san. fem. - 15º pavtos.)</v>
          </cell>
          <cell r="F1137" t="str">
            <v xml:space="preserve">un </v>
          </cell>
          <cell r="G1137">
            <v>1</v>
          </cell>
          <cell r="H1137">
            <v>1363.46</v>
          </cell>
          <cell r="I1137">
            <v>1363.46</v>
          </cell>
        </row>
        <row r="1138">
          <cell r="C1138">
            <v>329</v>
          </cell>
          <cell r="D1138" t="str">
            <v>Argamassa colante ferma marmore granito interna da Quartzolit® (sc 20Kg)</v>
          </cell>
          <cell r="F1138" t="str">
            <v>sc</v>
          </cell>
          <cell r="G1138">
            <v>0.38</v>
          </cell>
          <cell r="H1138">
            <v>17</v>
          </cell>
          <cell r="I1138">
            <v>6.46</v>
          </cell>
        </row>
        <row r="1139">
          <cell r="C1139">
            <v>513</v>
          </cell>
          <cell r="D1139" t="str">
            <v>Grapas para fixação de bancadas</v>
          </cell>
          <cell r="F1139" t="str">
            <v>un</v>
          </cell>
          <cell r="G1139">
            <v>2</v>
          </cell>
          <cell r="H1139">
            <v>15</v>
          </cell>
          <cell r="I1139">
            <v>30</v>
          </cell>
        </row>
        <row r="1140">
          <cell r="C1140">
            <v>517</v>
          </cell>
          <cell r="D1140" t="str">
            <v>bancada de granito preto são gabriel em l de (1,92+2,35)m x 0,60m com espaço para 4 cubas de embutir, frontão de 6,08m h=10cm, saia de 3,63m h=10cm (san. fem. - 15º pavtos.)</v>
          </cell>
          <cell r="F1140" t="str">
            <v>un</v>
          </cell>
          <cell r="G1140">
            <v>1</v>
          </cell>
          <cell r="H1140">
            <v>1327</v>
          </cell>
          <cell r="I1140">
            <v>1327</v>
          </cell>
        </row>
        <row r="1141">
          <cell r="C1141" t="str">
            <v>29.02.01.05</v>
          </cell>
          <cell r="D1141" t="str">
            <v>Bancada de granito preto são gabriel em l de (1,72+3,32)m x 0,63m com espaço para 5 cubas de embutir, frontão de 5,39m h=10cm, saia de 4,46m h=10cm (san. masc. - 1º pavto.)</v>
          </cell>
          <cell r="F1141" t="str">
            <v xml:space="preserve">un </v>
          </cell>
          <cell r="G1141">
            <v>1</v>
          </cell>
          <cell r="H1141">
            <v>2195.7273</v>
          </cell>
          <cell r="I1141">
            <v>2195.73</v>
          </cell>
        </row>
        <row r="1142">
          <cell r="C1142">
            <v>329</v>
          </cell>
          <cell r="D1142" t="str">
            <v>Argamassa colante ferma marmore granito interna da Quartzolit® (sc 20Kg)</v>
          </cell>
          <cell r="F1142" t="str">
            <v>sc</v>
          </cell>
          <cell r="G1142">
            <v>0.33689999999999998</v>
          </cell>
          <cell r="H1142">
            <v>17</v>
          </cell>
          <cell r="I1142">
            <v>5.7272999999999996</v>
          </cell>
        </row>
        <row r="1143">
          <cell r="C1143">
            <v>513</v>
          </cell>
          <cell r="D1143" t="str">
            <v>Grapas para fixação de bancadas</v>
          </cell>
          <cell r="F1143" t="str">
            <v>un</v>
          </cell>
          <cell r="G1143">
            <v>2</v>
          </cell>
          <cell r="H1143">
            <v>15</v>
          </cell>
          <cell r="I1143">
            <v>30</v>
          </cell>
        </row>
        <row r="1144">
          <cell r="C1144">
            <v>518</v>
          </cell>
          <cell r="D1144" t="str">
            <v>Bancada de granito preto são gabriel em l de (1,72+3,32)m x 0,63m com espaço para 5 cubas de embutir, frontão de 5,39m h=10cm, saia de 4,46m h=10cm (san. masc. - 1º pavto.)</v>
          </cell>
          <cell r="F1144" t="str">
            <v>un</v>
          </cell>
          <cell r="G1144">
            <v>1</v>
          </cell>
          <cell r="H1144">
            <v>2160</v>
          </cell>
          <cell r="I1144">
            <v>2160</v>
          </cell>
        </row>
        <row r="1145">
          <cell r="C1145" t="str">
            <v>29.02.01.06</v>
          </cell>
          <cell r="D1145" t="str">
            <v>Bancada de granito preto são gabriel em l de (1,89+2,32)m x 0,63m com espaço para 4 cubas de embutir, frontão de 6,02m h=10cm, saia de 3,63m h=10cm (san. fem. - 1º pavto.)</v>
          </cell>
          <cell r="F1145" t="str">
            <v xml:space="preserve">un </v>
          </cell>
          <cell r="G1145">
            <v>1</v>
          </cell>
          <cell r="H1145">
            <v>1361.3970999999999</v>
          </cell>
          <cell r="I1145">
            <v>1361.4</v>
          </cell>
        </row>
        <row r="1146">
          <cell r="C1146">
            <v>329</v>
          </cell>
          <cell r="D1146" t="str">
            <v>Argamassa colante ferma marmore granito interna da Quartzolit® (sc 20Kg)</v>
          </cell>
          <cell r="F1146" t="str">
            <v>sc</v>
          </cell>
          <cell r="G1146">
            <v>0.37630000000000002</v>
          </cell>
          <cell r="H1146">
            <v>17</v>
          </cell>
          <cell r="I1146">
            <v>6.3971</v>
          </cell>
        </row>
        <row r="1147">
          <cell r="C1147">
            <v>513</v>
          </cell>
          <cell r="D1147" t="str">
            <v>Grapas para fixação de bancadas</v>
          </cell>
          <cell r="F1147" t="str">
            <v>un</v>
          </cell>
          <cell r="G1147">
            <v>2</v>
          </cell>
          <cell r="H1147">
            <v>15</v>
          </cell>
          <cell r="I1147">
            <v>30</v>
          </cell>
        </row>
        <row r="1148">
          <cell r="C1148">
            <v>519</v>
          </cell>
          <cell r="D1148" t="str">
            <v>Bancada de granito preto são gabriel em l de (1,89+2,32)m x 0,63m com espaço para 4 cubas de embutir, frontão de 6,02m h=10cm, saia de 3,63m h=10cm (san. fem. - 1º pavto.)</v>
          </cell>
          <cell r="F1148" t="str">
            <v>un</v>
          </cell>
          <cell r="G1148">
            <v>1</v>
          </cell>
          <cell r="H1148">
            <v>1325</v>
          </cell>
          <cell r="I1148">
            <v>1325</v>
          </cell>
        </row>
        <row r="1149">
          <cell r="C1149" t="str">
            <v>29.02.01.07</v>
          </cell>
          <cell r="D1149" t="str">
            <v>Bancada de granito preto são gabriel em l de (1,73+3,33)m x 0,60m com espaço para 5 cubas de embutir, frontão de 6,85m h=10cm, saia de 4,46m h=10cm (san. masc. - 16º pavto.)</v>
          </cell>
          <cell r="F1149" t="str">
            <v xml:space="preserve">un </v>
          </cell>
          <cell r="G1149">
            <v>1</v>
          </cell>
          <cell r="H1149">
            <v>1549.7777000000001</v>
          </cell>
          <cell r="I1149">
            <v>1549.78</v>
          </cell>
        </row>
        <row r="1150">
          <cell r="C1150">
            <v>329</v>
          </cell>
          <cell r="D1150" t="str">
            <v>Argamassa colante ferma marmore granito interna da Quartzolit® (sc 20Kg)</v>
          </cell>
          <cell r="F1150" t="str">
            <v>sc</v>
          </cell>
          <cell r="G1150">
            <v>0.42809999999999998</v>
          </cell>
          <cell r="H1150">
            <v>17</v>
          </cell>
          <cell r="I1150">
            <v>7.2777000000000003</v>
          </cell>
        </row>
        <row r="1151">
          <cell r="C1151">
            <v>513</v>
          </cell>
          <cell r="D1151" t="str">
            <v>Grapas para fixação de bancadas</v>
          </cell>
          <cell r="F1151" t="str">
            <v>un</v>
          </cell>
          <cell r="G1151">
            <v>2</v>
          </cell>
          <cell r="H1151">
            <v>15</v>
          </cell>
          <cell r="I1151">
            <v>30</v>
          </cell>
        </row>
        <row r="1152">
          <cell r="C1152">
            <v>520</v>
          </cell>
          <cell r="D1152" t="str">
            <v>Bancada de granito preto são gabriel em l de (1,73+3,33)m x 0,60m com espaço para 5 cubas de embutir, frontão de 6,85m h=10cm, saia de 4,46m h=10cm (san. masc. - 16º pavto.)</v>
          </cell>
          <cell r="F1152" t="str">
            <v>un</v>
          </cell>
          <cell r="G1152">
            <v>1</v>
          </cell>
          <cell r="H1152">
            <v>1512.5</v>
          </cell>
          <cell r="I1152">
            <v>1512.5</v>
          </cell>
        </row>
        <row r="1153">
          <cell r="C1153" t="str">
            <v>29.02.01.08</v>
          </cell>
          <cell r="D1153" t="str">
            <v>Bancada de granito preto são gabriel em l de (1,73+2,50)m x 0,60m com espaço para 4 cubas de embutir, frontão de 6,02m h=10cm, saia 3,63m h=10cm (san. fem. - 16º pavto.)</v>
          </cell>
          <cell r="F1153" t="str">
            <v xml:space="preserve">un </v>
          </cell>
          <cell r="G1153">
            <v>1</v>
          </cell>
          <cell r="H1153">
            <v>1398.3970999999999</v>
          </cell>
          <cell r="I1153">
            <v>1398.4</v>
          </cell>
        </row>
        <row r="1154">
          <cell r="C1154">
            <v>329</v>
          </cell>
          <cell r="D1154" t="str">
            <v>Argamassa colante ferma marmore granito interna da Quartzolit® (sc 20Kg)</v>
          </cell>
          <cell r="F1154" t="str">
            <v>sc</v>
          </cell>
          <cell r="G1154">
            <v>0.37630000000000002</v>
          </cell>
          <cell r="H1154">
            <v>17</v>
          </cell>
          <cell r="I1154">
            <v>6.3971</v>
          </cell>
        </row>
        <row r="1155">
          <cell r="C1155">
            <v>513</v>
          </cell>
          <cell r="D1155" t="str">
            <v>Grapas para fixação de bancadas</v>
          </cell>
          <cell r="F1155" t="str">
            <v>un</v>
          </cell>
          <cell r="G1155">
            <v>2</v>
          </cell>
          <cell r="H1155">
            <v>15</v>
          </cell>
          <cell r="I1155">
            <v>30</v>
          </cell>
        </row>
        <row r="1156">
          <cell r="C1156">
            <v>521</v>
          </cell>
          <cell r="D1156" t="str">
            <v>Bancada de granito preto são gabriel em l de (1,73+2,50)m x 0,60m com espaço para 4 cubas de embutir, frontão de 6,02m h=10cm, saia 3,63m h=10cm (san. fem. - 16º pavto.)</v>
          </cell>
          <cell r="F1156" t="str">
            <v>un</v>
          </cell>
          <cell r="G1156">
            <v>1</v>
          </cell>
          <cell r="H1156">
            <v>1362</v>
          </cell>
          <cell r="I1156">
            <v>1362</v>
          </cell>
        </row>
        <row r="1157">
          <cell r="C1157" t="str">
            <v>29.02.01.09</v>
          </cell>
          <cell r="D1157" t="str">
            <v>Bancada de granito preto são gabriel em l de (1,73+3,28)m x 0,60m com espaço para 5 cubas de embutir, frontão de 6,66m h=10cm, saia 4,46m h=10cm (san. masc. - 17º pavto.)</v>
          </cell>
          <cell r="F1157" t="str">
            <v xml:space="preserve">un </v>
          </cell>
          <cell r="G1157">
            <v>1</v>
          </cell>
          <cell r="H1157">
            <v>1552.0771</v>
          </cell>
          <cell r="I1157">
            <v>1552.08</v>
          </cell>
        </row>
        <row r="1158">
          <cell r="C1158">
            <v>329</v>
          </cell>
          <cell r="D1158" t="str">
            <v>Argamassa colante ferma marmore granito interna da Quartzolit® (sc 20Kg)</v>
          </cell>
          <cell r="F1158" t="str">
            <v>sc</v>
          </cell>
          <cell r="G1158">
            <v>0.4163</v>
          </cell>
          <cell r="H1158">
            <v>17</v>
          </cell>
          <cell r="I1158">
            <v>7.0770999999999997</v>
          </cell>
        </row>
        <row r="1159">
          <cell r="C1159">
            <v>513</v>
          </cell>
          <cell r="D1159" t="str">
            <v>Grapas para fixação de bancadas</v>
          </cell>
          <cell r="F1159" t="str">
            <v>un</v>
          </cell>
          <cell r="G1159">
            <v>2</v>
          </cell>
          <cell r="H1159">
            <v>15</v>
          </cell>
          <cell r="I1159">
            <v>30</v>
          </cell>
        </row>
        <row r="1160">
          <cell r="C1160">
            <v>522</v>
          </cell>
          <cell r="D1160" t="str">
            <v>Bancada de granito preto são gabriel em l de (1,73+3,28)m x 0,60m com espaço para 5 cubas de embutir, frontão de 6,66m h=10cm, saia 4,46m h=10cm (san. masc. - 17º pavto.)</v>
          </cell>
          <cell r="F1160" t="str">
            <v>un</v>
          </cell>
          <cell r="G1160">
            <v>1</v>
          </cell>
          <cell r="H1160">
            <v>1515</v>
          </cell>
          <cell r="I1160">
            <v>1515</v>
          </cell>
        </row>
        <row r="1161">
          <cell r="C1161" t="str">
            <v>29.02.01.10</v>
          </cell>
          <cell r="D1161" t="str">
            <v>Bancada de granito preto são gabriel em l de (1,90+2,33)m x 0,60m com espaço para 4 cubas de embutir, frontão de 6,03m h=10cm, saia de 3,63m h=10cm (san. fem. - 17º pavto.)</v>
          </cell>
          <cell r="F1161" t="str">
            <v xml:space="preserve">un </v>
          </cell>
          <cell r="G1161">
            <v>1</v>
          </cell>
          <cell r="H1161">
            <v>1361.4073000000001</v>
          </cell>
          <cell r="I1161">
            <v>1361.41</v>
          </cell>
        </row>
        <row r="1162">
          <cell r="C1162">
            <v>329</v>
          </cell>
          <cell r="D1162" t="str">
            <v>Argamassa colante ferma marmore granito interna da Quartzolit® (sc 20Kg)</v>
          </cell>
          <cell r="F1162" t="str">
            <v>sc</v>
          </cell>
          <cell r="G1162">
            <v>0.37690000000000001</v>
          </cell>
          <cell r="H1162">
            <v>17</v>
          </cell>
          <cell r="I1162">
            <v>6.4073000000000002</v>
          </cell>
        </row>
        <row r="1163">
          <cell r="C1163">
            <v>513</v>
          </cell>
          <cell r="D1163" t="str">
            <v>Grapas para fixação de bancadas</v>
          </cell>
          <cell r="F1163" t="str">
            <v>un</v>
          </cell>
          <cell r="G1163">
            <v>2</v>
          </cell>
          <cell r="H1163">
            <v>15</v>
          </cell>
          <cell r="I1163">
            <v>30</v>
          </cell>
        </row>
        <row r="1164">
          <cell r="C1164">
            <v>523</v>
          </cell>
          <cell r="D1164" t="str">
            <v>Bancada de granito preto são gabriel em l de (1,90+2,33)m x 0,60m com espaço para 4 cubas de embutir, frontão de 6,03m h=10cm, saia de 3,63m h=10cm (san. fem. - 17º pavto.)</v>
          </cell>
          <cell r="F1164" t="str">
            <v>un</v>
          </cell>
          <cell r="G1164">
            <v>1</v>
          </cell>
          <cell r="H1164">
            <v>1325</v>
          </cell>
          <cell r="I1164">
            <v>1325</v>
          </cell>
        </row>
        <row r="1165">
          <cell r="C1165" t="str">
            <v>29.02.01.11</v>
          </cell>
          <cell r="D1165" t="str">
            <v>Bancada de granito branco dallas ou similar de (2,69x0,60)m com espaço para 1 cuba de embutir, frontão de 3,89m h=7cm (a.p.a. - 1º subsolo)</v>
          </cell>
          <cell r="F1165" t="str">
            <v xml:space="preserve">un </v>
          </cell>
          <cell r="G1165">
            <v>1</v>
          </cell>
          <cell r="H1165">
            <v>770.1327</v>
          </cell>
          <cell r="I1165">
            <v>770.13</v>
          </cell>
        </row>
        <row r="1166">
          <cell r="C1166">
            <v>329</v>
          </cell>
          <cell r="D1166" t="str">
            <v>Argamassa colante ferma marmore granito interna da Quartzolit® (sc 20Kg)</v>
          </cell>
          <cell r="F1166" t="str">
            <v>sc</v>
          </cell>
          <cell r="G1166">
            <v>0.24310000000000001</v>
          </cell>
          <cell r="H1166">
            <v>17</v>
          </cell>
          <cell r="I1166">
            <v>4.1326999999999998</v>
          </cell>
        </row>
        <row r="1167">
          <cell r="C1167">
            <v>513</v>
          </cell>
          <cell r="D1167" t="str">
            <v>Grapas para fixação de bancadas</v>
          </cell>
          <cell r="F1167" t="str">
            <v>un</v>
          </cell>
          <cell r="G1167">
            <v>2</v>
          </cell>
          <cell r="H1167">
            <v>15</v>
          </cell>
          <cell r="I1167">
            <v>30</v>
          </cell>
        </row>
        <row r="1168">
          <cell r="C1168">
            <v>524</v>
          </cell>
          <cell r="D1168" t="str">
            <v>Bancada de granito branco dallas ou similar de (2,69x0,60)m com espaço para 1 cuba de embutir, frontão de 3,89m h=7cm (a.p.a. - 1º subsolo)</v>
          </cell>
          <cell r="F1168" t="str">
            <v>un</v>
          </cell>
          <cell r="G1168">
            <v>1</v>
          </cell>
          <cell r="H1168">
            <v>736</v>
          </cell>
          <cell r="I1168">
            <v>736</v>
          </cell>
        </row>
        <row r="1169">
          <cell r="C1169" t="str">
            <v>29.02.01.12</v>
          </cell>
          <cell r="D1169" t="str">
            <v>Bancada de granito branco itaunas de (2,79x0,50)m com espaço para 3 cubas de embutir, frontão de 3,29m h=10cm, saia 2,79m h=10cm (san. Fem.. - mezanino)</v>
          </cell>
          <cell r="F1169" t="str">
            <v xml:space="preserve">un </v>
          </cell>
          <cell r="G1169">
            <v>1</v>
          </cell>
          <cell r="H1169">
            <v>788.49519999999995</v>
          </cell>
          <cell r="I1169">
            <v>788.5</v>
          </cell>
        </row>
        <row r="1170">
          <cell r="C1170">
            <v>329</v>
          </cell>
          <cell r="D1170" t="str">
            <v>Argamassa colante ferma marmore granito interna da Quartzolit® (sc 20Kg)</v>
          </cell>
          <cell r="F1170" t="str">
            <v>sc</v>
          </cell>
          <cell r="G1170">
            <v>0.2056</v>
          </cell>
          <cell r="H1170">
            <v>17</v>
          </cell>
          <cell r="I1170">
            <v>3.4952000000000001</v>
          </cell>
        </row>
        <row r="1171">
          <cell r="C1171">
            <v>513</v>
          </cell>
          <cell r="D1171" t="str">
            <v>Grapas para fixação de bancadas</v>
          </cell>
          <cell r="F1171" t="str">
            <v>un</v>
          </cell>
          <cell r="G1171">
            <v>2</v>
          </cell>
          <cell r="H1171">
            <v>15</v>
          </cell>
          <cell r="I1171">
            <v>30</v>
          </cell>
        </row>
        <row r="1172">
          <cell r="C1172">
            <v>525</v>
          </cell>
          <cell r="D1172" t="str">
            <v>Bancada de granito branco itaunas de (2,79x0,50)m com espaço para 3 cubas de embutir, frontão de 3,29m h=10cm, saia 2,79m h=10cm (san. masc. - mezanino)</v>
          </cell>
          <cell r="F1172" t="str">
            <v>un</v>
          </cell>
          <cell r="G1172">
            <v>1</v>
          </cell>
          <cell r="H1172">
            <v>755</v>
          </cell>
          <cell r="I1172">
            <v>755</v>
          </cell>
        </row>
        <row r="1173">
          <cell r="C1173" t="str">
            <v>29.02.01.13</v>
          </cell>
          <cell r="D1173" t="str">
            <v>Bancada de granito branco itaunas de (2,64x0,50)m com espaço para 3 cubas de embutir, frontão de 3,15m h=10cm, saia 2,64m h=10cm (san. masc. - mezanino)</v>
          </cell>
          <cell r="F1173" t="str">
            <v xml:space="preserve">un </v>
          </cell>
          <cell r="G1173">
            <v>1</v>
          </cell>
          <cell r="H1173">
            <v>755.34730000000002</v>
          </cell>
          <cell r="I1173">
            <v>755.35</v>
          </cell>
        </row>
        <row r="1174">
          <cell r="C1174">
            <v>329</v>
          </cell>
          <cell r="D1174" t="str">
            <v>Argamassa colante ferma marmore granito interna da Quartzolit® (sc 20Kg)</v>
          </cell>
          <cell r="F1174" t="str">
            <v>sc</v>
          </cell>
          <cell r="G1174">
            <v>0.19689999999999999</v>
          </cell>
          <cell r="H1174">
            <v>17</v>
          </cell>
          <cell r="I1174">
            <v>3.3473000000000002</v>
          </cell>
        </row>
        <row r="1175">
          <cell r="C1175">
            <v>513</v>
          </cell>
          <cell r="D1175" t="str">
            <v>Grapas para fixação de bancadas</v>
          </cell>
          <cell r="F1175" t="str">
            <v>un</v>
          </cell>
          <cell r="G1175">
            <v>2</v>
          </cell>
          <cell r="H1175">
            <v>15</v>
          </cell>
          <cell r="I1175">
            <v>30</v>
          </cell>
        </row>
        <row r="1176">
          <cell r="C1176">
            <v>526</v>
          </cell>
          <cell r="D1176" t="str">
            <v>Bancada de granito branco itaunas de (2,64x0,50)m com espaço para 3 cubas de embutir, frontão de 3,15m h=10cm, saia 2,64m h=10cm (san. masc. - mezanino)</v>
          </cell>
          <cell r="F1176" t="str">
            <v>un</v>
          </cell>
          <cell r="G1176">
            <v>1</v>
          </cell>
          <cell r="H1176">
            <v>722</v>
          </cell>
          <cell r="I1176">
            <v>722</v>
          </cell>
        </row>
        <row r="1177">
          <cell r="C1177" t="str">
            <v>30.01.01.01</v>
          </cell>
          <cell r="D1177" t="str">
            <v>Infra estrutura para instalações de ar condicionado (salas comerciais)</v>
          </cell>
          <cell r="F1177" t="str">
            <v xml:space="preserve">un </v>
          </cell>
          <cell r="G1177">
            <v>1</v>
          </cell>
          <cell r="H1177">
            <v>271801.64726499998</v>
          </cell>
          <cell r="I1177">
            <v>271801.65000000002</v>
          </cell>
        </row>
        <row r="1178">
          <cell r="C1178">
            <v>527</v>
          </cell>
          <cell r="D1178" t="str">
            <v>Infra estrutura para instalações de ar condicionado (salas comerciais)</v>
          </cell>
          <cell r="F1178" t="str">
            <v>Vb</v>
          </cell>
          <cell r="G1178">
            <v>1</v>
          </cell>
          <cell r="H1178">
            <v>271801.64726500004</v>
          </cell>
          <cell r="I1178">
            <v>271801.64726499998</v>
          </cell>
        </row>
        <row r="1179">
          <cell r="C1179" t="str">
            <v>30.02.01.01</v>
          </cell>
          <cell r="D1179" t="str">
            <v>Pressurização de escadas</v>
          </cell>
          <cell r="F1179" t="str">
            <v xml:space="preserve">un </v>
          </cell>
          <cell r="G1179">
            <v>1</v>
          </cell>
          <cell r="H1179">
            <v>37921.199999999997</v>
          </cell>
          <cell r="I1179">
            <v>37921.199999999997</v>
          </cell>
        </row>
        <row r="1180">
          <cell r="C1180">
            <v>528</v>
          </cell>
          <cell r="D1180" t="str">
            <v>Pressurização de escada (edifício comercial)</v>
          </cell>
          <cell r="F1180" t="str">
            <v>Vb</v>
          </cell>
          <cell r="G1180">
            <v>1</v>
          </cell>
          <cell r="H1180">
            <v>37921.199999999997</v>
          </cell>
          <cell r="I1180">
            <v>37921.199999999997</v>
          </cell>
        </row>
        <row r="1181">
          <cell r="C1181" t="str">
            <v>30.03.01.01</v>
          </cell>
          <cell r="D1181" t="str">
            <v>Exaustão mecânica</v>
          </cell>
          <cell r="F1181" t="str">
            <v xml:space="preserve">Vb </v>
          </cell>
          <cell r="G1181">
            <v>1</v>
          </cell>
          <cell r="H1181">
            <v>48925</v>
          </cell>
          <cell r="I1181">
            <v>48925</v>
          </cell>
        </row>
        <row r="1182">
          <cell r="C1182">
            <v>529</v>
          </cell>
          <cell r="D1182" t="str">
            <v>Exaustão mecânica</v>
          </cell>
          <cell r="F1182" t="str">
            <v>Vb</v>
          </cell>
          <cell r="G1182">
            <v>1</v>
          </cell>
          <cell r="H1182">
            <v>48925</v>
          </cell>
          <cell r="I1182">
            <v>48925</v>
          </cell>
        </row>
        <row r="1183">
          <cell r="C1183" t="str">
            <v>30.04.01.01</v>
          </cell>
          <cell r="D1183" t="str">
            <v>Obras civis para instalações de ar condicionado</v>
          </cell>
          <cell r="F1183" t="str">
            <v xml:space="preserve">un </v>
          </cell>
          <cell r="G1183">
            <v>1</v>
          </cell>
          <cell r="H1183">
            <v>10000</v>
          </cell>
          <cell r="I1183">
            <v>10000</v>
          </cell>
        </row>
        <row r="1184">
          <cell r="C1184">
            <v>530</v>
          </cell>
          <cell r="D1184" t="str">
            <v>MDO civil de apoio para instalação de ar condicionado</v>
          </cell>
          <cell r="F1184" t="str">
            <v>Vb</v>
          </cell>
          <cell r="G1184">
            <v>1</v>
          </cell>
          <cell r="H1184">
            <v>10000</v>
          </cell>
          <cell r="I1184">
            <v>10000</v>
          </cell>
        </row>
        <row r="1185">
          <cell r="C1185" t="str">
            <v>30.04.01.02</v>
          </cell>
          <cell r="D1185" t="str">
            <v>Obras civis para instalações de pressurização de escadas</v>
          </cell>
          <cell r="F1185" t="str">
            <v xml:space="preserve">un </v>
          </cell>
          <cell r="G1185">
            <v>1</v>
          </cell>
          <cell r="H1185">
            <v>5000</v>
          </cell>
          <cell r="I1185">
            <v>5000</v>
          </cell>
        </row>
        <row r="1186">
          <cell r="C1186">
            <v>531</v>
          </cell>
          <cell r="D1186" t="str">
            <v>MDO civil de apoio para instalação de pressurização de escadas</v>
          </cell>
          <cell r="F1186" t="str">
            <v>Vb</v>
          </cell>
          <cell r="G1186">
            <v>1</v>
          </cell>
          <cell r="H1186">
            <v>5000</v>
          </cell>
          <cell r="I1186">
            <v>5000</v>
          </cell>
        </row>
        <row r="1187">
          <cell r="C1187" t="str">
            <v>30.04.01.03</v>
          </cell>
          <cell r="D1187" t="str">
            <v>Obras civis para instalações de exaustão</v>
          </cell>
          <cell r="F1187" t="str">
            <v xml:space="preserve">un </v>
          </cell>
          <cell r="G1187">
            <v>1</v>
          </cell>
          <cell r="H1187">
            <v>5000</v>
          </cell>
          <cell r="I1187">
            <v>5000</v>
          </cell>
        </row>
        <row r="1188">
          <cell r="C1188">
            <v>532</v>
          </cell>
          <cell r="D1188" t="str">
            <v>MDO civil de apoio para instalação de exaustão</v>
          </cell>
          <cell r="F1188" t="str">
            <v>Vb</v>
          </cell>
          <cell r="G1188">
            <v>1</v>
          </cell>
          <cell r="H1188">
            <v>5000</v>
          </cell>
          <cell r="I1188">
            <v>5000</v>
          </cell>
        </row>
        <row r="1189">
          <cell r="C1189" t="str">
            <v>31.01.01.01</v>
          </cell>
          <cell r="D1189" t="str">
            <v>Elevador  2,30x2,71m com 5 paradas V=1,0m/s (social)</v>
          </cell>
          <cell r="F1189" t="str">
            <v xml:space="preserve">un </v>
          </cell>
          <cell r="G1189">
            <v>2</v>
          </cell>
          <cell r="H1189">
            <v>65000</v>
          </cell>
          <cell r="I1189">
            <v>130000</v>
          </cell>
        </row>
        <row r="1190">
          <cell r="C1190">
            <v>533</v>
          </cell>
          <cell r="D1190" t="str">
            <v>Elevador  2,30x2,71m com 5 paradas V=2,5m/s (social)</v>
          </cell>
          <cell r="F1190" t="str">
            <v>un</v>
          </cell>
          <cell r="G1190">
            <v>1</v>
          </cell>
          <cell r="H1190">
            <v>65000</v>
          </cell>
          <cell r="I1190">
            <v>65000</v>
          </cell>
        </row>
        <row r="1191">
          <cell r="C1191" t="str">
            <v>31.01.01.02</v>
          </cell>
          <cell r="D1191" t="str">
            <v>Elevador  2,42x2,48m com 13 paradas V=2,5m/s (social)</v>
          </cell>
          <cell r="F1191" t="str">
            <v xml:space="preserve">un </v>
          </cell>
          <cell r="G1191">
            <v>3</v>
          </cell>
          <cell r="H1191">
            <v>235105.92000000001</v>
          </cell>
          <cell r="I1191">
            <v>705317.76</v>
          </cell>
        </row>
        <row r="1192">
          <cell r="C1192">
            <v>534</v>
          </cell>
          <cell r="D1192" t="str">
            <v>Elevador  2,42x2,48m com 13 paradas V=3,4m/s (social)</v>
          </cell>
          <cell r="F1192" t="str">
            <v>un</v>
          </cell>
          <cell r="G1192">
            <v>1</v>
          </cell>
          <cell r="H1192">
            <v>235105.92000000001</v>
          </cell>
          <cell r="I1192">
            <v>235105.92000000001</v>
          </cell>
        </row>
        <row r="1193">
          <cell r="C1193" t="str">
            <v>31.01.01.03</v>
          </cell>
          <cell r="D1193" t="str">
            <v>Elevador  2,42x2,48m com 12 paradas V=2,5m/s (social)</v>
          </cell>
          <cell r="F1193" t="str">
            <v xml:space="preserve">un </v>
          </cell>
          <cell r="G1193">
            <v>3</v>
          </cell>
          <cell r="H1193">
            <v>235105.92000000001</v>
          </cell>
          <cell r="I1193">
            <v>705317.76</v>
          </cell>
        </row>
        <row r="1194">
          <cell r="C1194">
            <v>535</v>
          </cell>
          <cell r="D1194" t="str">
            <v>Elevador  2,42x2,48m com 12 paradas V=2,5m/s (social)</v>
          </cell>
          <cell r="F1194" t="str">
            <v>un</v>
          </cell>
          <cell r="G1194">
            <v>1</v>
          </cell>
          <cell r="H1194">
            <v>235105.92000000001</v>
          </cell>
          <cell r="I1194">
            <v>235105.92000000001</v>
          </cell>
        </row>
        <row r="1195">
          <cell r="C1195" t="str">
            <v>31.01.01.04</v>
          </cell>
          <cell r="D1195" t="str">
            <v>Chumbamento de batentes dos elevadores</v>
          </cell>
          <cell r="F1195" t="str">
            <v xml:space="preserve">un </v>
          </cell>
          <cell r="G1195">
            <v>85</v>
          </cell>
          <cell r="H1195">
            <v>60</v>
          </cell>
          <cell r="I1195">
            <v>5100</v>
          </cell>
        </row>
        <row r="1196">
          <cell r="C1196">
            <v>536</v>
          </cell>
          <cell r="D1196" t="str">
            <v>MDO para chumbamento de Batentes de elevador</v>
          </cell>
          <cell r="F1196" t="str">
            <v>um</v>
          </cell>
          <cell r="G1196">
            <v>1</v>
          </cell>
          <cell r="H1196">
            <v>60</v>
          </cell>
          <cell r="I1196">
            <v>60</v>
          </cell>
        </row>
        <row r="1197">
          <cell r="C1197" t="str">
            <v>31.02.01.01</v>
          </cell>
          <cell r="D1197" t="str">
            <v>Obras civis para instalações de elevadores</v>
          </cell>
          <cell r="F1197" t="str">
            <v xml:space="preserve">un </v>
          </cell>
          <cell r="G1197">
            <v>1</v>
          </cell>
          <cell r="H1197">
            <v>10000</v>
          </cell>
          <cell r="I1197">
            <v>10000</v>
          </cell>
        </row>
        <row r="1198">
          <cell r="C1198">
            <v>537</v>
          </cell>
          <cell r="D1198" t="str">
            <v>MDO civil de apoio para instalação de elevadores</v>
          </cell>
          <cell r="F1198" t="str">
            <v>Vb</v>
          </cell>
          <cell r="G1198">
            <v>1</v>
          </cell>
          <cell r="H1198">
            <v>10000</v>
          </cell>
          <cell r="I1198">
            <v>10000</v>
          </cell>
        </row>
        <row r="1199">
          <cell r="C1199" t="str">
            <v>32.01.01.01</v>
          </cell>
          <cell r="D1199" t="str">
            <v>Sistema de supervisão predial</v>
          </cell>
          <cell r="F1199" t="str">
            <v xml:space="preserve">Vb </v>
          </cell>
          <cell r="G1199">
            <v>1</v>
          </cell>
          <cell r="H1199">
            <v>98000</v>
          </cell>
          <cell r="I1199">
            <v>98000</v>
          </cell>
        </row>
        <row r="1200">
          <cell r="C1200">
            <v>538</v>
          </cell>
          <cell r="D1200" t="str">
            <v>Sistema de supervisão predial</v>
          </cell>
          <cell r="F1200" t="str">
            <v>Vb</v>
          </cell>
          <cell r="G1200">
            <v>1</v>
          </cell>
          <cell r="H1200">
            <v>98000</v>
          </cell>
          <cell r="I1200">
            <v>98000</v>
          </cell>
        </row>
        <row r="1201">
          <cell r="C1201" t="str">
            <v>32.01.02.01</v>
          </cell>
          <cell r="D1201" t="str">
            <v>Catracas</v>
          </cell>
          <cell r="F1201" t="str">
            <v xml:space="preserve">Vb </v>
          </cell>
          <cell r="G1201">
            <v>1</v>
          </cell>
          <cell r="H1201">
            <v>75601</v>
          </cell>
          <cell r="I1201">
            <v>75601</v>
          </cell>
        </row>
        <row r="1202">
          <cell r="C1202">
            <v>539</v>
          </cell>
          <cell r="D1202" t="str">
            <v>Catracas eletrônicas</v>
          </cell>
          <cell r="F1202" t="str">
            <v>Vb</v>
          </cell>
          <cell r="G1202">
            <v>1</v>
          </cell>
          <cell r="H1202">
            <v>75601</v>
          </cell>
          <cell r="I1202">
            <v>75601</v>
          </cell>
        </row>
        <row r="1203">
          <cell r="C1203" t="str">
            <v>32.01.03.01</v>
          </cell>
          <cell r="D1203" t="str">
            <v>CFTV</v>
          </cell>
          <cell r="F1203" t="str">
            <v xml:space="preserve">Vb </v>
          </cell>
          <cell r="G1203">
            <v>1</v>
          </cell>
          <cell r="H1203">
            <v>86000</v>
          </cell>
          <cell r="I1203">
            <v>86000</v>
          </cell>
        </row>
        <row r="1204">
          <cell r="C1204">
            <v>540</v>
          </cell>
          <cell r="D1204" t="str">
            <v>CFTV</v>
          </cell>
          <cell r="F1204" t="str">
            <v>Vb</v>
          </cell>
          <cell r="G1204">
            <v>1</v>
          </cell>
          <cell r="H1204">
            <v>86000</v>
          </cell>
          <cell r="I1204">
            <v>86000</v>
          </cell>
        </row>
        <row r="1205">
          <cell r="C1205" t="str">
            <v>32.01.04.01</v>
          </cell>
          <cell r="D1205" t="str">
            <v>Detecção e alarme de incêndio</v>
          </cell>
          <cell r="F1205" t="str">
            <v xml:space="preserve">Vb </v>
          </cell>
          <cell r="G1205">
            <v>1</v>
          </cell>
          <cell r="H1205">
            <v>119000</v>
          </cell>
          <cell r="I1205">
            <v>119000</v>
          </cell>
        </row>
        <row r="1206">
          <cell r="C1206">
            <v>541</v>
          </cell>
          <cell r="D1206" t="str">
            <v>Detecção e alarme de incêndio</v>
          </cell>
          <cell r="F1206" t="str">
            <v>Vb</v>
          </cell>
          <cell r="G1206">
            <v>1</v>
          </cell>
          <cell r="H1206">
            <v>119000</v>
          </cell>
          <cell r="I1206">
            <v>119000</v>
          </cell>
        </row>
        <row r="1207">
          <cell r="C1207" t="str">
            <v>32.01.05.01</v>
          </cell>
          <cell r="D1207" t="str">
            <v>Sistema de alarme</v>
          </cell>
          <cell r="F1207" t="str">
            <v xml:space="preserve">Vb </v>
          </cell>
          <cell r="G1207">
            <v>1</v>
          </cell>
          <cell r="H1207">
            <v>22000</v>
          </cell>
          <cell r="I1207">
            <v>22000</v>
          </cell>
        </row>
        <row r="1208">
          <cell r="C1208">
            <v>542</v>
          </cell>
          <cell r="D1208" t="str">
            <v>Sistema de alarme perimetral</v>
          </cell>
          <cell r="F1208" t="str">
            <v>Vb</v>
          </cell>
          <cell r="G1208">
            <v>1</v>
          </cell>
          <cell r="H1208">
            <v>22000</v>
          </cell>
          <cell r="I1208">
            <v>22000</v>
          </cell>
        </row>
        <row r="1209">
          <cell r="C1209" t="str">
            <v>32.02.01.01</v>
          </cell>
          <cell r="D1209" t="str">
            <v>Telefonia - Rede Interna</v>
          </cell>
          <cell r="F1209" t="str">
            <v xml:space="preserve">un </v>
          </cell>
          <cell r="G1209">
            <v>1</v>
          </cell>
          <cell r="H1209">
            <v>20000</v>
          </cell>
          <cell r="I1209">
            <v>20000</v>
          </cell>
        </row>
        <row r="1210">
          <cell r="C1210">
            <v>543</v>
          </cell>
          <cell r="D1210" t="str">
            <v>Telefonia (rede interna)</v>
          </cell>
          <cell r="F1210" t="str">
            <v>Vb</v>
          </cell>
          <cell r="G1210">
            <v>1</v>
          </cell>
          <cell r="H1210">
            <v>20000</v>
          </cell>
          <cell r="I1210">
            <v>20000</v>
          </cell>
        </row>
        <row r="1211">
          <cell r="C1211" t="str">
            <v>32.02.02.01</v>
          </cell>
          <cell r="D1211" t="str">
            <v>Telefonia - Rede Externa</v>
          </cell>
          <cell r="F1211" t="str">
            <v xml:space="preserve">un </v>
          </cell>
          <cell r="G1211">
            <v>1</v>
          </cell>
          <cell r="H1211">
            <v>18000</v>
          </cell>
          <cell r="I1211">
            <v>18000</v>
          </cell>
        </row>
        <row r="1212">
          <cell r="C1212">
            <v>544</v>
          </cell>
          <cell r="D1212" t="str">
            <v>Telefonia (rede externa)</v>
          </cell>
          <cell r="F1212" t="str">
            <v>Vb</v>
          </cell>
          <cell r="G1212">
            <v>1</v>
          </cell>
          <cell r="H1212">
            <v>18000</v>
          </cell>
          <cell r="I1212">
            <v>18000</v>
          </cell>
        </row>
        <row r="1213">
          <cell r="C1213" t="str">
            <v>32.03.01.01</v>
          </cell>
          <cell r="D1213" t="str">
            <v>Interfone</v>
          </cell>
          <cell r="F1213" t="str">
            <v xml:space="preserve">un </v>
          </cell>
          <cell r="G1213">
            <v>1</v>
          </cell>
          <cell r="H1213">
            <v>15000</v>
          </cell>
          <cell r="I1213">
            <v>15000</v>
          </cell>
        </row>
        <row r="1214">
          <cell r="C1214">
            <v>545</v>
          </cell>
          <cell r="D1214" t="str">
            <v>Intercomunicação</v>
          </cell>
          <cell r="F1214" t="str">
            <v>Vb</v>
          </cell>
          <cell r="G1214">
            <v>1</v>
          </cell>
          <cell r="H1214">
            <v>15000</v>
          </cell>
          <cell r="I1214">
            <v>15000</v>
          </cell>
        </row>
        <row r="1215">
          <cell r="C1215" t="str">
            <v>32.03.02.01</v>
          </cell>
          <cell r="D1215" t="str">
            <v>Porteiro eletrônico</v>
          </cell>
          <cell r="F1215" t="str">
            <v xml:space="preserve">un </v>
          </cell>
          <cell r="G1215">
            <v>1</v>
          </cell>
          <cell r="H1215">
            <v>3000</v>
          </cell>
          <cell r="I1215">
            <v>3000</v>
          </cell>
        </row>
        <row r="1216">
          <cell r="C1216">
            <v>546</v>
          </cell>
          <cell r="D1216" t="str">
            <v>Porteiro eletrônico</v>
          </cell>
          <cell r="F1216" t="str">
            <v>Vb</v>
          </cell>
          <cell r="G1216">
            <v>1</v>
          </cell>
          <cell r="H1216">
            <v>3000</v>
          </cell>
          <cell r="I1216">
            <v>3000</v>
          </cell>
        </row>
        <row r="1217">
          <cell r="C1217" t="str">
            <v>33.01.01.01</v>
          </cell>
          <cell r="D1217" t="str">
            <v>Paisagismo</v>
          </cell>
          <cell r="F1217" t="str">
            <v xml:space="preserve">m2 </v>
          </cell>
          <cell r="G1217">
            <v>1215</v>
          </cell>
          <cell r="H1217">
            <v>85.57</v>
          </cell>
          <cell r="I1217">
            <v>103967.55</v>
          </cell>
        </row>
        <row r="1218">
          <cell r="C1218">
            <v>547</v>
          </cell>
          <cell r="D1218" t="str">
            <v>Paisagismo</v>
          </cell>
          <cell r="F1218" t="str">
            <v>m2</v>
          </cell>
          <cell r="G1218">
            <v>1</v>
          </cell>
          <cell r="H1218">
            <v>85.57</v>
          </cell>
          <cell r="I1218">
            <v>85.57</v>
          </cell>
        </row>
        <row r="1219">
          <cell r="C1219" t="str">
            <v>34.01.01.01</v>
          </cell>
          <cell r="D1219" t="str">
            <v>Limpeza final para entrega da obra</v>
          </cell>
          <cell r="F1219" t="str">
            <v xml:space="preserve">m2 </v>
          </cell>
          <cell r="G1219">
            <v>35419.25</v>
          </cell>
          <cell r="H1219">
            <v>2.2000000000000002</v>
          </cell>
          <cell r="I1219">
            <v>77922.350000000006</v>
          </cell>
        </row>
        <row r="1220">
          <cell r="C1220">
            <v>548</v>
          </cell>
          <cell r="D1220" t="str">
            <v>Limpeza final para entrega da obra</v>
          </cell>
          <cell r="F1220" t="str">
            <v>m2</v>
          </cell>
          <cell r="G1220">
            <v>1</v>
          </cell>
          <cell r="H1220">
            <v>2.2000000000000002</v>
          </cell>
          <cell r="I1220">
            <v>2.2000000000000002</v>
          </cell>
        </row>
        <row r="1221">
          <cell r="C1221" t="str">
            <v>34.02.01.01</v>
          </cell>
          <cell r="D1221" t="str">
            <v>Desmobilização final</v>
          </cell>
          <cell r="F1221" t="str">
            <v xml:space="preserve">un </v>
          </cell>
          <cell r="G1221">
            <v>1</v>
          </cell>
          <cell r="H1221">
            <v>10000</v>
          </cell>
          <cell r="I1221">
            <v>10000</v>
          </cell>
        </row>
        <row r="1222">
          <cell r="C1222">
            <v>549</v>
          </cell>
          <cell r="D1222" t="str">
            <v>MDO para desmobilização final</v>
          </cell>
          <cell r="F1222" t="str">
            <v>Vb</v>
          </cell>
          <cell r="G1222">
            <v>1</v>
          </cell>
          <cell r="H1222">
            <v>10000</v>
          </cell>
          <cell r="I1222">
            <v>10000</v>
          </cell>
        </row>
        <row r="1223">
          <cell r="C1223" t="str">
            <v>34.03.01.01</v>
          </cell>
          <cell r="D1223" t="str">
            <v>Arremates Finais</v>
          </cell>
          <cell r="F1223" t="str">
            <v xml:space="preserve">mês </v>
          </cell>
          <cell r="G1223">
            <v>1</v>
          </cell>
          <cell r="H1223">
            <v>14520</v>
          </cell>
          <cell r="I1223">
            <v>14520</v>
          </cell>
        </row>
        <row r="1224">
          <cell r="C1224">
            <v>550</v>
          </cell>
          <cell r="D1224" t="str">
            <v>Ajudante</v>
          </cell>
          <cell r="F1224" t="str">
            <v>h</v>
          </cell>
          <cell r="G1224">
            <v>660</v>
          </cell>
          <cell r="H1224">
            <v>10</v>
          </cell>
          <cell r="I1224">
            <v>6600</v>
          </cell>
        </row>
        <row r="1225">
          <cell r="C1225">
            <v>551</v>
          </cell>
          <cell r="D1225" t="str">
            <v>Oficial</v>
          </cell>
          <cell r="F1225" t="str">
            <v>h</v>
          </cell>
          <cell r="G1225">
            <v>660</v>
          </cell>
          <cell r="H1225">
            <v>12</v>
          </cell>
          <cell r="I1225">
            <v>7920</v>
          </cell>
        </row>
        <row r="1226">
          <cell r="C1226" t="str">
            <v>34.04.01.01</v>
          </cell>
          <cell r="D1226" t="str">
            <v>Comunicação visual</v>
          </cell>
          <cell r="F1226" t="str">
            <v xml:space="preserve">Vb </v>
          </cell>
          <cell r="G1226">
            <v>1</v>
          </cell>
          <cell r="H1226">
            <v>5000</v>
          </cell>
          <cell r="I1226">
            <v>5000</v>
          </cell>
        </row>
        <row r="1227">
          <cell r="C1227">
            <v>552</v>
          </cell>
          <cell r="D1227" t="str">
            <v>Comunicação visual</v>
          </cell>
          <cell r="F1227" t="str">
            <v>Vb</v>
          </cell>
          <cell r="G1227">
            <v>1</v>
          </cell>
          <cell r="H1227">
            <v>5000</v>
          </cell>
          <cell r="I1227">
            <v>5000</v>
          </cell>
        </row>
        <row r="1228">
          <cell r="C1228" t="str">
            <v>34.07.01.01</v>
          </cell>
          <cell r="D1228" t="str">
            <v>Manual do Proprietário</v>
          </cell>
          <cell r="F1228" t="str">
            <v>vb</v>
          </cell>
          <cell r="G1228">
            <v>1</v>
          </cell>
          <cell r="H1228">
            <v>12000</v>
          </cell>
          <cell r="I1228">
            <v>12000</v>
          </cell>
        </row>
        <row r="1229">
          <cell r="C1229">
            <v>553</v>
          </cell>
          <cell r="D1229" t="str">
            <v>Manual do proprietário</v>
          </cell>
          <cell r="F1229" t="str">
            <v>Vb</v>
          </cell>
          <cell r="G1229">
            <v>1</v>
          </cell>
          <cell r="H1229">
            <v>12000</v>
          </cell>
          <cell r="I1229">
            <v>12000</v>
          </cell>
        </row>
        <row r="1230">
          <cell r="C1230" t="str">
            <v>34.07.03.01</v>
          </cell>
          <cell r="D1230" t="str">
            <v>Caderno de detalhamento</v>
          </cell>
          <cell r="F1230" t="str">
            <v xml:space="preserve">Vb </v>
          </cell>
          <cell r="G1230">
            <v>1</v>
          </cell>
          <cell r="H1230">
            <v>14000</v>
          </cell>
          <cell r="I1230">
            <v>14000</v>
          </cell>
        </row>
        <row r="1231">
          <cell r="C1231">
            <v>554</v>
          </cell>
          <cell r="D1231" t="str">
            <v>Caderno de detalhamento</v>
          </cell>
          <cell r="F1231" t="str">
            <v>un</v>
          </cell>
          <cell r="G1231">
            <v>1</v>
          </cell>
          <cell r="H1231">
            <v>14000</v>
          </cell>
          <cell r="I1231">
            <v>14000</v>
          </cell>
        </row>
        <row r="1232">
          <cell r="C1232" t="str">
            <v>34.08.07.01</v>
          </cell>
          <cell r="D1232" t="str">
            <v>Espelho d`água - conforme projeto de paisagismo</v>
          </cell>
          <cell r="F1232" t="str">
            <v>vb</v>
          </cell>
          <cell r="G1232">
            <v>1</v>
          </cell>
          <cell r="H1232">
            <v>25340.3</v>
          </cell>
          <cell r="I1232">
            <v>25340.3</v>
          </cell>
        </row>
        <row r="1233">
          <cell r="C1233">
            <v>555</v>
          </cell>
          <cell r="D1233" t="str">
            <v>Espelho d`água</v>
          </cell>
          <cell r="F1233" t="str">
            <v>Vb</v>
          </cell>
          <cell r="G1233">
            <v>1</v>
          </cell>
          <cell r="H1233">
            <v>25340.3</v>
          </cell>
          <cell r="I1233">
            <v>25340.3</v>
          </cell>
        </row>
        <row r="1234">
          <cell r="C1234" t="str">
            <v>50.01.01.01</v>
          </cell>
          <cell r="D1234" t="str">
            <v>Taxa de administração (10%)</v>
          </cell>
          <cell r="F1234" t="str">
            <v xml:space="preserve">Vb </v>
          </cell>
          <cell r="G1234">
            <v>1</v>
          </cell>
          <cell r="H1234">
            <v>3157415.9837519</v>
          </cell>
          <cell r="I1234">
            <v>3157415.98</v>
          </cell>
        </row>
        <row r="1235">
          <cell r="C1235" t="str">
            <v>556</v>
          </cell>
          <cell r="D1235" t="str">
            <v>Taxa de administração</v>
          </cell>
          <cell r="F1235" t="str">
            <v>Vb</v>
          </cell>
          <cell r="G1235">
            <v>1</v>
          </cell>
          <cell r="H1235">
            <v>3157415.9837518712</v>
          </cell>
          <cell r="I1235">
            <v>3157415.9837519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B66208-164D-442D-A093-A5B76295A229}">
  <sheetPr>
    <pageSetUpPr fitToPage="1"/>
  </sheetPr>
  <dimension ref="A1:AO470"/>
  <sheetViews>
    <sheetView showGridLines="0" tabSelected="1" view="pageBreakPreview" topLeftCell="A6" zoomScale="55" zoomScaleNormal="70" zoomScaleSheetLayoutView="55" workbookViewId="0">
      <selection activeCell="H21" sqref="H21"/>
    </sheetView>
  </sheetViews>
  <sheetFormatPr defaultColWidth="22.140625" defaultRowHeight="20.100000000000001" customHeight="1" outlineLevelRow="2" x14ac:dyDescent="0.25"/>
  <cols>
    <col min="1" max="1" width="0.140625" style="1" customWidth="1"/>
    <col min="2" max="2" width="23" style="1" customWidth="1"/>
    <col min="3" max="3" width="18.5703125" style="1" bestFit="1" customWidth="1"/>
    <col min="4" max="4" width="31" style="1" customWidth="1"/>
    <col min="5" max="5" width="34.140625" style="1" customWidth="1"/>
    <col min="6" max="6" width="35.7109375" style="1" bestFit="1" customWidth="1"/>
    <col min="7" max="7" width="14.85546875" style="1" customWidth="1"/>
    <col min="8" max="8" width="24.42578125" style="1" customWidth="1"/>
    <col min="9" max="9" width="33" style="77" customWidth="1"/>
    <col min="10" max="10" width="24.42578125" style="1" customWidth="1"/>
    <col min="11" max="11" width="28.140625" style="77" customWidth="1"/>
    <col min="12" max="12" width="27.85546875" style="1" customWidth="1"/>
    <col min="13" max="13" width="24.42578125" style="1" customWidth="1"/>
    <col min="14" max="14" width="21.7109375" style="77" customWidth="1"/>
    <col min="15" max="15" width="28" style="1" customWidth="1"/>
    <col min="16" max="16" width="37.85546875" style="77" customWidth="1"/>
    <col min="17" max="17" width="8.42578125" style="1" customWidth="1"/>
    <col min="18" max="18" width="22.140625" style="1" customWidth="1"/>
    <col min="19" max="19" width="30.28515625" style="77" customWidth="1"/>
    <col min="20" max="20" width="12.28515625" style="1" customWidth="1"/>
    <col min="21" max="21" width="22.140625" style="1" customWidth="1"/>
    <col min="22" max="22" width="30.28515625" style="77" customWidth="1"/>
    <col min="23" max="23" width="8.42578125" style="1" customWidth="1"/>
    <col min="24" max="24" width="22.140625" style="1" customWidth="1"/>
    <col min="25" max="25" width="30.28515625" style="77" customWidth="1"/>
    <col min="26" max="26" width="8.42578125" style="1" customWidth="1"/>
    <col min="27" max="27" width="27.42578125" style="1" customWidth="1"/>
    <col min="28" max="28" width="30.28515625" style="77" customWidth="1"/>
    <col min="29" max="29" width="8.42578125" style="1" customWidth="1"/>
    <col min="30" max="30" width="26.42578125" style="1" customWidth="1"/>
    <col min="31" max="31" width="30.28515625" style="77" customWidth="1"/>
    <col min="32" max="32" width="8.42578125" style="1" customWidth="1"/>
    <col min="33" max="33" width="26.85546875" style="1" customWidth="1"/>
    <col min="34" max="34" width="30.28515625" style="77" customWidth="1"/>
    <col min="35" max="35" width="8.42578125" style="1" customWidth="1"/>
    <col min="36" max="36" width="30.85546875" style="1" customWidth="1"/>
    <col min="37" max="37" width="30.28515625" style="77" customWidth="1"/>
    <col min="38" max="38" width="8.42578125" style="1" customWidth="1"/>
    <col min="39" max="39" width="22.140625" style="1" bestFit="1"/>
    <col min="40" max="40" width="30.28515625" style="77" bestFit="1" customWidth="1"/>
    <col min="41" max="41" width="8.42578125" style="1" bestFit="1" customWidth="1"/>
    <col min="42" max="86" width="22.140625" style="1"/>
    <col min="87" max="87" width="40.42578125" style="1" customWidth="1"/>
    <col min="88" max="88" width="25.42578125" style="1" bestFit="1" customWidth="1"/>
    <col min="89" max="89" width="23.85546875" style="1" bestFit="1" customWidth="1"/>
    <col min="90" max="90" width="41.85546875" style="1" customWidth="1"/>
    <col min="91" max="91" width="26.42578125" style="1" bestFit="1" customWidth="1"/>
    <col min="92" max="93" width="16.42578125" style="1" customWidth="1"/>
    <col min="94" max="94" width="19.42578125" style="1" customWidth="1"/>
    <col min="95" max="95" width="16" style="1" customWidth="1"/>
    <col min="96" max="96" width="16.5703125" style="1" customWidth="1"/>
    <col min="97" max="97" width="7.5703125" style="1" bestFit="1" customWidth="1"/>
    <col min="98" max="98" width="16.5703125" style="1" customWidth="1"/>
    <col min="99" max="99" width="17.140625" style="1" customWidth="1"/>
    <col min="100" max="123" width="0" style="1" hidden="1" customWidth="1"/>
    <col min="124" max="124" width="35.85546875" style="1" bestFit="1" customWidth="1"/>
    <col min="125" max="125" width="33.85546875" style="1" bestFit="1" customWidth="1"/>
    <col min="126" max="126" width="9.5703125" style="1" bestFit="1" customWidth="1"/>
    <col min="127" max="127" width="35.85546875" style="1" bestFit="1" customWidth="1"/>
    <col min="128" max="128" width="33.85546875" style="1" bestFit="1" customWidth="1"/>
    <col min="129" max="129" width="9.5703125" style="1" bestFit="1" customWidth="1"/>
    <col min="130" max="130" width="35.85546875" style="1" bestFit="1" customWidth="1"/>
    <col min="131" max="131" width="33.85546875" style="1" bestFit="1" customWidth="1"/>
    <col min="132" max="132" width="9.5703125" style="1" bestFit="1" customWidth="1"/>
    <col min="133" max="133" width="35.85546875" style="1" bestFit="1" customWidth="1"/>
    <col min="134" max="134" width="33.85546875" style="1" bestFit="1" customWidth="1"/>
    <col min="135" max="135" width="9.5703125" style="1" bestFit="1" customWidth="1"/>
    <col min="136" max="136" width="35.85546875" style="1" bestFit="1" customWidth="1"/>
    <col min="137" max="137" width="33.85546875" style="1" bestFit="1" customWidth="1"/>
    <col min="138" max="138" width="9.5703125" style="1" bestFit="1" customWidth="1"/>
    <col min="139" max="139" width="35.85546875" style="1" bestFit="1" customWidth="1"/>
    <col min="140" max="140" width="33.85546875" style="1" bestFit="1" customWidth="1"/>
    <col min="141" max="141" width="9.5703125" style="1" bestFit="1" customWidth="1"/>
    <col min="142" max="142" width="35.85546875" style="1" bestFit="1" customWidth="1"/>
    <col min="143" max="143" width="33.85546875" style="1" bestFit="1" customWidth="1"/>
    <col min="144" max="144" width="9.5703125" style="1" bestFit="1" customWidth="1"/>
    <col min="145" max="145" width="35.85546875" style="1" bestFit="1" customWidth="1"/>
    <col min="146" max="146" width="33.85546875" style="1" bestFit="1" customWidth="1"/>
    <col min="147" max="147" width="9.5703125" style="1" bestFit="1" customWidth="1"/>
    <col min="148" max="148" width="35.85546875" style="1" bestFit="1" customWidth="1"/>
    <col min="149" max="149" width="33.85546875" style="1" bestFit="1" customWidth="1"/>
    <col min="150" max="150" width="9.5703125" style="1" bestFit="1" customWidth="1"/>
    <col min="151" max="151" width="35.85546875" style="1" bestFit="1" customWidth="1"/>
    <col min="152" max="152" width="33.85546875" style="1" bestFit="1" customWidth="1"/>
    <col min="153" max="153" width="9.5703125" style="1" bestFit="1" customWidth="1"/>
    <col min="154" max="154" width="35.85546875" style="1" bestFit="1" customWidth="1"/>
    <col min="155" max="155" width="33.85546875" style="1" bestFit="1" customWidth="1"/>
    <col min="156" max="156" width="9.5703125" style="1" bestFit="1" customWidth="1"/>
    <col min="157" max="157" width="35.85546875" style="1" bestFit="1" customWidth="1"/>
    <col min="158" max="158" width="33.85546875" style="1" bestFit="1" customWidth="1"/>
    <col min="159" max="159" width="9.5703125" style="1" bestFit="1" customWidth="1"/>
    <col min="160" max="160" width="35.85546875" style="1" bestFit="1" customWidth="1"/>
    <col min="161" max="161" width="33.85546875" style="1" bestFit="1" customWidth="1"/>
    <col min="162" max="162" width="9.5703125" style="1" bestFit="1" customWidth="1"/>
    <col min="163" max="163" width="35.85546875" style="1" bestFit="1" customWidth="1"/>
    <col min="164" max="164" width="33.85546875" style="1" bestFit="1" customWidth="1"/>
    <col min="165" max="165" width="9.5703125" style="1" bestFit="1" customWidth="1"/>
    <col min="166" max="166" width="35.85546875" style="1" bestFit="1" customWidth="1"/>
    <col min="167" max="167" width="33.85546875" style="1" bestFit="1" customWidth="1"/>
    <col min="168" max="168" width="9.5703125" style="1" bestFit="1" customWidth="1"/>
    <col min="169" max="169" width="35.85546875" style="1" bestFit="1" customWidth="1"/>
    <col min="170" max="170" width="33.85546875" style="1" bestFit="1" customWidth="1"/>
    <col min="171" max="171" width="9.5703125" style="1" bestFit="1" customWidth="1"/>
    <col min="172" max="172" width="35.85546875" style="1" bestFit="1" customWidth="1"/>
    <col min="173" max="173" width="33.85546875" style="1" bestFit="1" customWidth="1"/>
    <col min="174" max="174" width="9.5703125" style="1" bestFit="1" customWidth="1"/>
    <col min="175" max="175" width="35.85546875" style="1" bestFit="1" customWidth="1"/>
    <col min="176" max="176" width="33.85546875" style="1" bestFit="1" customWidth="1"/>
    <col min="177" max="177" width="9.5703125" style="1" bestFit="1" customWidth="1"/>
    <col min="178" max="178" width="35.85546875" style="1" bestFit="1" customWidth="1"/>
    <col min="179" max="179" width="33.85546875" style="1" bestFit="1" customWidth="1"/>
    <col min="180" max="180" width="9.5703125" style="1" bestFit="1" customWidth="1"/>
    <col min="181" max="181" width="35.85546875" style="1" bestFit="1" customWidth="1"/>
    <col min="182" max="182" width="33.85546875" style="1" bestFit="1" customWidth="1"/>
    <col min="183" max="183" width="9.5703125" style="1" bestFit="1" customWidth="1"/>
    <col min="184" max="184" width="35.85546875" style="1" bestFit="1" customWidth="1"/>
    <col min="185" max="185" width="33.85546875" style="1" bestFit="1" customWidth="1"/>
    <col min="186" max="186" width="9.5703125" style="1" bestFit="1" customWidth="1"/>
    <col min="187" max="187" width="35.85546875" style="1" bestFit="1" customWidth="1"/>
    <col min="188" max="188" width="33.85546875" style="1" bestFit="1" customWidth="1"/>
    <col min="189" max="189" width="9.5703125" style="1" bestFit="1" customWidth="1"/>
    <col min="190" max="190" width="35.85546875" style="1" bestFit="1" customWidth="1"/>
    <col min="191" max="191" width="33.85546875" style="1" bestFit="1" customWidth="1"/>
    <col min="192" max="192" width="9.5703125" style="1" bestFit="1" customWidth="1"/>
    <col min="193" max="193" width="35.85546875" style="1" bestFit="1" customWidth="1"/>
    <col min="194" max="194" width="33.85546875" style="1" bestFit="1" customWidth="1"/>
    <col min="195" max="195" width="9.5703125" style="1" bestFit="1" customWidth="1"/>
    <col min="196" max="196" width="35.85546875" style="1" bestFit="1" customWidth="1"/>
    <col min="197" max="197" width="33.85546875" style="1" bestFit="1" customWidth="1"/>
    <col min="198" max="198" width="9.5703125" style="1" bestFit="1" customWidth="1"/>
    <col min="199" max="199" width="35.85546875" style="1" bestFit="1" customWidth="1"/>
    <col min="200" max="200" width="33.85546875" style="1" bestFit="1" customWidth="1"/>
    <col min="201" max="201" width="9.5703125" style="1" bestFit="1" customWidth="1"/>
    <col min="202" max="202" width="35.85546875" style="1" bestFit="1" customWidth="1"/>
    <col min="203" max="203" width="33.85546875" style="1" bestFit="1" customWidth="1"/>
    <col min="204" max="204" width="9.5703125" style="1" bestFit="1" customWidth="1"/>
    <col min="205" max="205" width="35.85546875" style="1" bestFit="1" customWidth="1"/>
    <col min="206" max="206" width="33.85546875" style="1" bestFit="1" customWidth="1"/>
    <col min="207" max="207" width="9.5703125" style="1" bestFit="1" customWidth="1"/>
    <col min="208" max="208" width="35.85546875" style="1" bestFit="1" customWidth="1"/>
    <col min="209" max="209" width="33.85546875" style="1" bestFit="1" customWidth="1"/>
    <col min="210" max="210" width="9.5703125" style="1" bestFit="1" customWidth="1"/>
    <col min="211" max="211" width="35.85546875" style="1" bestFit="1" customWidth="1"/>
    <col min="212" max="212" width="33.85546875" style="1" bestFit="1" customWidth="1"/>
    <col min="213" max="213" width="9.5703125" style="1" bestFit="1" customWidth="1"/>
    <col min="214" max="214" width="35.85546875" style="1" bestFit="1" customWidth="1"/>
    <col min="215" max="215" width="33.85546875" style="1" bestFit="1" customWidth="1"/>
    <col min="216" max="216" width="9.5703125" style="1" bestFit="1" customWidth="1"/>
    <col min="217" max="217" width="35.85546875" style="1" bestFit="1" customWidth="1"/>
    <col min="218" max="218" width="33.85546875" style="1" bestFit="1" customWidth="1"/>
    <col min="219" max="219" width="9.5703125" style="1" bestFit="1" customWidth="1"/>
    <col min="220" max="220" width="35.85546875" style="1" bestFit="1" customWidth="1"/>
    <col min="221" max="221" width="33.85546875" style="1" bestFit="1" customWidth="1"/>
    <col min="222" max="222" width="9.5703125" style="1" bestFit="1" customWidth="1"/>
    <col min="223" max="223" width="35.85546875" style="1" bestFit="1" customWidth="1"/>
    <col min="224" max="224" width="33.85546875" style="1" bestFit="1" customWidth="1"/>
    <col min="225" max="225" width="9.5703125" style="1" bestFit="1" customWidth="1"/>
    <col min="226" max="226" width="35.85546875" style="1" bestFit="1" customWidth="1"/>
    <col min="227" max="227" width="33.85546875" style="1" bestFit="1" customWidth="1"/>
    <col min="228" max="228" width="9.5703125" style="1" bestFit="1" customWidth="1"/>
    <col min="229" max="229" width="35.85546875" style="1" bestFit="1" customWidth="1"/>
    <col min="230" max="230" width="33.85546875" style="1" bestFit="1" customWidth="1"/>
    <col min="231" max="231" width="9.5703125" style="1" bestFit="1" customWidth="1"/>
    <col min="232" max="232" width="35.85546875" style="1" bestFit="1" customWidth="1"/>
    <col min="233" max="233" width="33.85546875" style="1" bestFit="1" customWidth="1"/>
    <col min="234" max="234" width="9.5703125" style="1" bestFit="1" customWidth="1"/>
    <col min="235" max="235" width="35.85546875" style="1" bestFit="1" customWidth="1"/>
    <col min="236" max="236" width="33.85546875" style="1" bestFit="1" customWidth="1"/>
    <col min="237" max="237" width="9.5703125" style="1" bestFit="1" customWidth="1"/>
    <col min="238" max="238" width="35.85546875" style="1" bestFit="1" customWidth="1"/>
    <col min="239" max="239" width="33.85546875" style="1" bestFit="1" customWidth="1"/>
    <col min="240" max="240" width="9.5703125" style="1" bestFit="1" customWidth="1"/>
    <col min="241" max="241" width="35.85546875" style="1" bestFit="1" customWidth="1"/>
    <col min="242" max="242" width="33.85546875" style="1" bestFit="1" customWidth="1"/>
    <col min="243" max="243" width="9.5703125" style="1" bestFit="1" customWidth="1"/>
    <col min="244" max="244" width="35.85546875" style="1" bestFit="1" customWidth="1"/>
    <col min="245" max="245" width="33.85546875" style="1" bestFit="1" customWidth="1"/>
    <col min="246" max="246" width="9.5703125" style="1" bestFit="1" customWidth="1"/>
    <col min="247" max="247" width="35.85546875" style="1" bestFit="1" customWidth="1"/>
    <col min="248" max="248" width="33.85546875" style="1" bestFit="1" customWidth="1"/>
    <col min="249" max="249" width="9.5703125" style="1" bestFit="1" customWidth="1"/>
    <col min="250" max="250" width="35.85546875" style="1" bestFit="1" customWidth="1"/>
    <col min="251" max="251" width="33.85546875" style="1" bestFit="1" customWidth="1"/>
    <col min="252" max="252" width="9.5703125" style="1" bestFit="1" customWidth="1"/>
    <col min="253" max="253" width="35.85546875" style="1" bestFit="1" customWidth="1"/>
    <col min="254" max="254" width="33.85546875" style="1" bestFit="1" customWidth="1"/>
    <col min="255" max="255" width="9.5703125" style="1" bestFit="1" customWidth="1"/>
    <col min="256" max="256" width="35.85546875" style="1" bestFit="1" customWidth="1"/>
    <col min="257" max="257" width="33.85546875" style="1" bestFit="1" customWidth="1"/>
    <col min="258" max="258" width="9.5703125" style="1" bestFit="1" customWidth="1"/>
    <col min="259" max="259" width="35.85546875" style="1" bestFit="1" customWidth="1"/>
    <col min="260" max="260" width="33.85546875" style="1" bestFit="1" customWidth="1"/>
    <col min="261" max="261" width="9.5703125" style="1" bestFit="1" customWidth="1"/>
    <col min="262" max="262" width="35.85546875" style="1" bestFit="1" customWidth="1"/>
    <col min="263" max="263" width="33.85546875" style="1" bestFit="1" customWidth="1"/>
    <col min="264" max="264" width="9.5703125" style="1" bestFit="1" customWidth="1"/>
    <col min="265" max="265" width="35.85546875" style="1" bestFit="1" customWidth="1"/>
    <col min="266" max="266" width="33.85546875" style="1" bestFit="1" customWidth="1"/>
    <col min="267" max="267" width="9.5703125" style="1" bestFit="1" customWidth="1"/>
    <col min="268" max="268" width="35.85546875" style="1" bestFit="1" customWidth="1"/>
    <col min="269" max="269" width="33.85546875" style="1" bestFit="1" customWidth="1"/>
    <col min="270" max="270" width="9.5703125" style="1" bestFit="1" customWidth="1"/>
    <col min="271" max="271" width="35.85546875" style="1" bestFit="1" customWidth="1"/>
    <col min="272" max="272" width="33.85546875" style="1" bestFit="1" customWidth="1"/>
    <col min="273" max="273" width="9.5703125" style="1" bestFit="1" customWidth="1"/>
    <col min="274" max="274" width="35.85546875" style="1" bestFit="1" customWidth="1"/>
    <col min="275" max="275" width="33.85546875" style="1" bestFit="1" customWidth="1"/>
    <col min="276" max="276" width="9.5703125" style="1" bestFit="1" customWidth="1"/>
    <col min="277" max="277" width="35.85546875" style="1" bestFit="1" customWidth="1"/>
    <col min="278" max="278" width="33.85546875" style="1" bestFit="1" customWidth="1"/>
    <col min="279" max="279" width="9.5703125" style="1" bestFit="1" customWidth="1"/>
    <col min="280" max="342" width="22.140625" style="1"/>
    <col min="343" max="343" width="40.42578125" style="1" customWidth="1"/>
    <col min="344" max="344" width="25.42578125" style="1" bestFit="1" customWidth="1"/>
    <col min="345" max="345" width="23.85546875" style="1" bestFit="1" customWidth="1"/>
    <col min="346" max="346" width="41.85546875" style="1" customWidth="1"/>
    <col min="347" max="347" width="26.42578125" style="1" bestFit="1" customWidth="1"/>
    <col min="348" max="349" width="16.42578125" style="1" customWidth="1"/>
    <col min="350" max="350" width="19.42578125" style="1" customWidth="1"/>
    <col min="351" max="351" width="16" style="1" customWidth="1"/>
    <col min="352" max="352" width="16.5703125" style="1" customWidth="1"/>
    <col min="353" max="353" width="7.5703125" style="1" bestFit="1" customWidth="1"/>
    <col min="354" max="354" width="16.5703125" style="1" customWidth="1"/>
    <col min="355" max="355" width="17.140625" style="1" customWidth="1"/>
    <col min="356" max="379" width="0" style="1" hidden="1" customWidth="1"/>
    <col min="380" max="380" width="35.85546875" style="1" bestFit="1" customWidth="1"/>
    <col min="381" max="381" width="33.85546875" style="1" bestFit="1" customWidth="1"/>
    <col min="382" max="382" width="9.5703125" style="1" bestFit="1" customWidth="1"/>
    <col min="383" max="383" width="35.85546875" style="1" bestFit="1" customWidth="1"/>
    <col min="384" max="384" width="33.85546875" style="1" bestFit="1" customWidth="1"/>
    <col min="385" max="385" width="9.5703125" style="1" bestFit="1" customWidth="1"/>
    <col min="386" max="386" width="35.85546875" style="1" bestFit="1" customWidth="1"/>
    <col min="387" max="387" width="33.85546875" style="1" bestFit="1" customWidth="1"/>
    <col min="388" max="388" width="9.5703125" style="1" bestFit="1" customWidth="1"/>
    <col min="389" max="389" width="35.85546875" style="1" bestFit="1" customWidth="1"/>
    <col min="390" max="390" width="33.85546875" style="1" bestFit="1" customWidth="1"/>
    <col min="391" max="391" width="9.5703125" style="1" bestFit="1" customWidth="1"/>
    <col min="392" max="392" width="35.85546875" style="1" bestFit="1" customWidth="1"/>
    <col min="393" max="393" width="33.85546875" style="1" bestFit="1" customWidth="1"/>
    <col min="394" max="394" width="9.5703125" style="1" bestFit="1" customWidth="1"/>
    <col min="395" max="395" width="35.85546875" style="1" bestFit="1" customWidth="1"/>
    <col min="396" max="396" width="33.85546875" style="1" bestFit="1" customWidth="1"/>
    <col min="397" max="397" width="9.5703125" style="1" bestFit="1" customWidth="1"/>
    <col min="398" max="398" width="35.85546875" style="1" bestFit="1" customWidth="1"/>
    <col min="399" max="399" width="33.85546875" style="1" bestFit="1" customWidth="1"/>
    <col min="400" max="400" width="9.5703125" style="1" bestFit="1" customWidth="1"/>
    <col min="401" max="401" width="35.85546875" style="1" bestFit="1" customWidth="1"/>
    <col min="402" max="402" width="33.85546875" style="1" bestFit="1" customWidth="1"/>
    <col min="403" max="403" width="9.5703125" style="1" bestFit="1" customWidth="1"/>
    <col min="404" max="404" width="35.85546875" style="1" bestFit="1" customWidth="1"/>
    <col min="405" max="405" width="33.85546875" style="1" bestFit="1" customWidth="1"/>
    <col min="406" max="406" width="9.5703125" style="1" bestFit="1" customWidth="1"/>
    <col min="407" max="407" width="35.85546875" style="1" bestFit="1" customWidth="1"/>
    <col min="408" max="408" width="33.85546875" style="1" bestFit="1" customWidth="1"/>
    <col min="409" max="409" width="9.5703125" style="1" bestFit="1" customWidth="1"/>
    <col min="410" max="410" width="35.85546875" style="1" bestFit="1" customWidth="1"/>
    <col min="411" max="411" width="33.85546875" style="1" bestFit="1" customWidth="1"/>
    <col min="412" max="412" width="9.5703125" style="1" bestFit="1" customWidth="1"/>
    <col min="413" max="413" width="35.85546875" style="1" bestFit="1" customWidth="1"/>
    <col min="414" max="414" width="33.85546875" style="1" bestFit="1" customWidth="1"/>
    <col min="415" max="415" width="9.5703125" style="1" bestFit="1" customWidth="1"/>
    <col min="416" max="416" width="35.85546875" style="1" bestFit="1" customWidth="1"/>
    <col min="417" max="417" width="33.85546875" style="1" bestFit="1" customWidth="1"/>
    <col min="418" max="418" width="9.5703125" style="1" bestFit="1" customWidth="1"/>
    <col min="419" max="419" width="35.85546875" style="1" bestFit="1" customWidth="1"/>
    <col min="420" max="420" width="33.85546875" style="1" bestFit="1" customWidth="1"/>
    <col min="421" max="421" width="9.5703125" style="1" bestFit="1" customWidth="1"/>
    <col min="422" max="422" width="35.85546875" style="1" bestFit="1" customWidth="1"/>
    <col min="423" max="423" width="33.85546875" style="1" bestFit="1" customWidth="1"/>
    <col min="424" max="424" width="9.5703125" style="1" bestFit="1" customWidth="1"/>
    <col min="425" max="425" width="35.85546875" style="1" bestFit="1" customWidth="1"/>
    <col min="426" max="426" width="33.85546875" style="1" bestFit="1" customWidth="1"/>
    <col min="427" max="427" width="9.5703125" style="1" bestFit="1" customWidth="1"/>
    <col min="428" max="428" width="35.85546875" style="1" bestFit="1" customWidth="1"/>
    <col min="429" max="429" width="33.85546875" style="1" bestFit="1" customWidth="1"/>
    <col min="430" max="430" width="9.5703125" style="1" bestFit="1" customWidth="1"/>
    <col min="431" max="431" width="35.85546875" style="1" bestFit="1" customWidth="1"/>
    <col min="432" max="432" width="33.85546875" style="1" bestFit="1" customWidth="1"/>
    <col min="433" max="433" width="9.5703125" style="1" bestFit="1" customWidth="1"/>
    <col min="434" max="434" width="35.85546875" style="1" bestFit="1" customWidth="1"/>
    <col min="435" max="435" width="33.85546875" style="1" bestFit="1" customWidth="1"/>
    <col min="436" max="436" width="9.5703125" style="1" bestFit="1" customWidth="1"/>
    <col min="437" max="437" width="35.85546875" style="1" bestFit="1" customWidth="1"/>
    <col min="438" max="438" width="33.85546875" style="1" bestFit="1" customWidth="1"/>
    <col min="439" max="439" width="9.5703125" style="1" bestFit="1" customWidth="1"/>
    <col min="440" max="440" width="35.85546875" style="1" bestFit="1" customWidth="1"/>
    <col min="441" max="441" width="33.85546875" style="1" bestFit="1" customWidth="1"/>
    <col min="442" max="442" width="9.5703125" style="1" bestFit="1" customWidth="1"/>
    <col min="443" max="443" width="35.85546875" style="1" bestFit="1" customWidth="1"/>
    <col min="444" max="444" width="33.85546875" style="1" bestFit="1" customWidth="1"/>
    <col min="445" max="445" width="9.5703125" style="1" bestFit="1" customWidth="1"/>
    <col min="446" max="446" width="35.85546875" style="1" bestFit="1" customWidth="1"/>
    <col min="447" max="447" width="33.85546875" style="1" bestFit="1" customWidth="1"/>
    <col min="448" max="448" width="9.5703125" style="1" bestFit="1" customWidth="1"/>
    <col min="449" max="449" width="35.85546875" style="1" bestFit="1" customWidth="1"/>
    <col min="450" max="450" width="33.85546875" style="1" bestFit="1" customWidth="1"/>
    <col min="451" max="451" width="9.5703125" style="1" bestFit="1" customWidth="1"/>
    <col min="452" max="452" width="35.85546875" style="1" bestFit="1" customWidth="1"/>
    <col min="453" max="453" width="33.85546875" style="1" bestFit="1" customWidth="1"/>
    <col min="454" max="454" width="9.5703125" style="1" bestFit="1" customWidth="1"/>
    <col min="455" max="455" width="35.85546875" style="1" bestFit="1" customWidth="1"/>
    <col min="456" max="456" width="33.85546875" style="1" bestFit="1" customWidth="1"/>
    <col min="457" max="457" width="9.5703125" style="1" bestFit="1" customWidth="1"/>
    <col min="458" max="458" width="35.85546875" style="1" bestFit="1" customWidth="1"/>
    <col min="459" max="459" width="33.85546875" style="1" bestFit="1" customWidth="1"/>
    <col min="460" max="460" width="9.5703125" style="1" bestFit="1" customWidth="1"/>
    <col min="461" max="461" width="35.85546875" style="1" bestFit="1" customWidth="1"/>
    <col min="462" max="462" width="33.85546875" style="1" bestFit="1" customWidth="1"/>
    <col min="463" max="463" width="9.5703125" style="1" bestFit="1" customWidth="1"/>
    <col min="464" max="464" width="35.85546875" style="1" bestFit="1" customWidth="1"/>
    <col min="465" max="465" width="33.85546875" style="1" bestFit="1" customWidth="1"/>
    <col min="466" max="466" width="9.5703125" style="1" bestFit="1" customWidth="1"/>
    <col min="467" max="467" width="35.85546875" style="1" bestFit="1" customWidth="1"/>
    <col min="468" max="468" width="33.85546875" style="1" bestFit="1" customWidth="1"/>
    <col min="469" max="469" width="9.5703125" style="1" bestFit="1" customWidth="1"/>
    <col min="470" max="470" width="35.85546875" style="1" bestFit="1" customWidth="1"/>
    <col min="471" max="471" width="33.85546875" style="1" bestFit="1" customWidth="1"/>
    <col min="472" max="472" width="9.5703125" style="1" bestFit="1" customWidth="1"/>
    <col min="473" max="473" width="35.85546875" style="1" bestFit="1" customWidth="1"/>
    <col min="474" max="474" width="33.85546875" style="1" bestFit="1" customWidth="1"/>
    <col min="475" max="475" width="9.5703125" style="1" bestFit="1" customWidth="1"/>
    <col min="476" max="476" width="35.85546875" style="1" bestFit="1" customWidth="1"/>
    <col min="477" max="477" width="33.85546875" style="1" bestFit="1" customWidth="1"/>
    <col min="478" max="478" width="9.5703125" style="1" bestFit="1" customWidth="1"/>
    <col min="479" max="479" width="35.85546875" style="1" bestFit="1" customWidth="1"/>
    <col min="480" max="480" width="33.85546875" style="1" bestFit="1" customWidth="1"/>
    <col min="481" max="481" width="9.5703125" style="1" bestFit="1" customWidth="1"/>
    <col min="482" max="482" width="35.85546875" style="1" bestFit="1" customWidth="1"/>
    <col min="483" max="483" width="33.85546875" style="1" bestFit="1" customWidth="1"/>
    <col min="484" max="484" width="9.5703125" style="1" bestFit="1" customWidth="1"/>
    <col min="485" max="485" width="35.85546875" style="1" bestFit="1" customWidth="1"/>
    <col min="486" max="486" width="33.85546875" style="1" bestFit="1" customWidth="1"/>
    <col min="487" max="487" width="9.5703125" style="1" bestFit="1" customWidth="1"/>
    <col min="488" max="488" width="35.85546875" style="1" bestFit="1" customWidth="1"/>
    <col min="489" max="489" width="33.85546875" style="1" bestFit="1" customWidth="1"/>
    <col min="490" max="490" width="9.5703125" style="1" bestFit="1" customWidth="1"/>
    <col min="491" max="491" width="35.85546875" style="1" bestFit="1" customWidth="1"/>
    <col min="492" max="492" width="33.85546875" style="1" bestFit="1" customWidth="1"/>
    <col min="493" max="493" width="9.5703125" style="1" bestFit="1" customWidth="1"/>
    <col min="494" max="494" width="35.85546875" style="1" bestFit="1" customWidth="1"/>
    <col min="495" max="495" width="33.85546875" style="1" bestFit="1" customWidth="1"/>
    <col min="496" max="496" width="9.5703125" style="1" bestFit="1" customWidth="1"/>
    <col min="497" max="497" width="35.85546875" style="1" bestFit="1" customWidth="1"/>
    <col min="498" max="498" width="33.85546875" style="1" bestFit="1" customWidth="1"/>
    <col min="499" max="499" width="9.5703125" style="1" bestFit="1" customWidth="1"/>
    <col min="500" max="500" width="35.85546875" style="1" bestFit="1" customWidth="1"/>
    <col min="501" max="501" width="33.85546875" style="1" bestFit="1" customWidth="1"/>
    <col min="502" max="502" width="9.5703125" style="1" bestFit="1" customWidth="1"/>
    <col min="503" max="503" width="35.85546875" style="1" bestFit="1" customWidth="1"/>
    <col min="504" max="504" width="33.85546875" style="1" bestFit="1" customWidth="1"/>
    <col min="505" max="505" width="9.5703125" style="1" bestFit="1" customWidth="1"/>
    <col min="506" max="506" width="35.85546875" style="1" bestFit="1" customWidth="1"/>
    <col min="507" max="507" width="33.85546875" style="1" bestFit="1" customWidth="1"/>
    <col min="508" max="508" width="9.5703125" style="1" bestFit="1" customWidth="1"/>
    <col min="509" max="509" width="35.85546875" style="1" bestFit="1" customWidth="1"/>
    <col min="510" max="510" width="33.85546875" style="1" bestFit="1" customWidth="1"/>
    <col min="511" max="511" width="9.5703125" style="1" bestFit="1" customWidth="1"/>
    <col min="512" max="512" width="35.85546875" style="1" bestFit="1" customWidth="1"/>
    <col min="513" max="513" width="33.85546875" style="1" bestFit="1" customWidth="1"/>
    <col min="514" max="514" width="9.5703125" style="1" bestFit="1" customWidth="1"/>
    <col min="515" max="515" width="35.85546875" style="1" bestFit="1" customWidth="1"/>
    <col min="516" max="516" width="33.85546875" style="1" bestFit="1" customWidth="1"/>
    <col min="517" max="517" width="9.5703125" style="1" bestFit="1" customWidth="1"/>
    <col min="518" max="518" width="35.85546875" style="1" bestFit="1" customWidth="1"/>
    <col min="519" max="519" width="33.85546875" style="1" bestFit="1" customWidth="1"/>
    <col min="520" max="520" width="9.5703125" style="1" bestFit="1" customWidth="1"/>
    <col min="521" max="521" width="35.85546875" style="1" bestFit="1" customWidth="1"/>
    <col min="522" max="522" width="33.85546875" style="1" bestFit="1" customWidth="1"/>
    <col min="523" max="523" width="9.5703125" style="1" bestFit="1" customWidth="1"/>
    <col min="524" max="524" width="35.85546875" style="1" bestFit="1" customWidth="1"/>
    <col min="525" max="525" width="33.85546875" style="1" bestFit="1" customWidth="1"/>
    <col min="526" max="526" width="9.5703125" style="1" bestFit="1" customWidth="1"/>
    <col min="527" max="527" width="35.85546875" style="1" bestFit="1" customWidth="1"/>
    <col min="528" max="528" width="33.85546875" style="1" bestFit="1" customWidth="1"/>
    <col min="529" max="529" width="9.5703125" style="1" bestFit="1" customWidth="1"/>
    <col min="530" max="530" width="35.85546875" style="1" bestFit="1" customWidth="1"/>
    <col min="531" max="531" width="33.85546875" style="1" bestFit="1" customWidth="1"/>
    <col min="532" max="532" width="9.5703125" style="1" bestFit="1" customWidth="1"/>
    <col min="533" max="533" width="35.85546875" style="1" bestFit="1" customWidth="1"/>
    <col min="534" max="534" width="33.85546875" style="1" bestFit="1" customWidth="1"/>
    <col min="535" max="535" width="9.5703125" style="1" bestFit="1" customWidth="1"/>
    <col min="536" max="598" width="22.140625" style="1"/>
    <col min="599" max="599" width="40.42578125" style="1" customWidth="1"/>
    <col min="600" max="600" width="25.42578125" style="1" bestFit="1" customWidth="1"/>
    <col min="601" max="601" width="23.85546875" style="1" bestFit="1" customWidth="1"/>
    <col min="602" max="602" width="41.85546875" style="1" customWidth="1"/>
    <col min="603" max="603" width="26.42578125" style="1" bestFit="1" customWidth="1"/>
    <col min="604" max="605" width="16.42578125" style="1" customWidth="1"/>
    <col min="606" max="606" width="19.42578125" style="1" customWidth="1"/>
    <col min="607" max="607" width="16" style="1" customWidth="1"/>
    <col min="608" max="608" width="16.5703125" style="1" customWidth="1"/>
    <col min="609" max="609" width="7.5703125" style="1" bestFit="1" customWidth="1"/>
    <col min="610" max="610" width="16.5703125" style="1" customWidth="1"/>
    <col min="611" max="611" width="17.140625" style="1" customWidth="1"/>
    <col min="612" max="635" width="0" style="1" hidden="1" customWidth="1"/>
    <col min="636" max="636" width="35.85546875" style="1" bestFit="1" customWidth="1"/>
    <col min="637" max="637" width="33.85546875" style="1" bestFit="1" customWidth="1"/>
    <col min="638" max="638" width="9.5703125" style="1" bestFit="1" customWidth="1"/>
    <col min="639" max="639" width="35.85546875" style="1" bestFit="1" customWidth="1"/>
    <col min="640" max="640" width="33.85546875" style="1" bestFit="1" customWidth="1"/>
    <col min="641" max="641" width="9.5703125" style="1" bestFit="1" customWidth="1"/>
    <col min="642" max="642" width="35.85546875" style="1" bestFit="1" customWidth="1"/>
    <col min="643" max="643" width="33.85546875" style="1" bestFit="1" customWidth="1"/>
    <col min="644" max="644" width="9.5703125" style="1" bestFit="1" customWidth="1"/>
    <col min="645" max="645" width="35.85546875" style="1" bestFit="1" customWidth="1"/>
    <col min="646" max="646" width="33.85546875" style="1" bestFit="1" customWidth="1"/>
    <col min="647" max="647" width="9.5703125" style="1" bestFit="1" customWidth="1"/>
    <col min="648" max="648" width="35.85546875" style="1" bestFit="1" customWidth="1"/>
    <col min="649" max="649" width="33.85546875" style="1" bestFit="1" customWidth="1"/>
    <col min="650" max="650" width="9.5703125" style="1" bestFit="1" customWidth="1"/>
    <col min="651" max="651" width="35.85546875" style="1" bestFit="1" customWidth="1"/>
    <col min="652" max="652" width="33.85546875" style="1" bestFit="1" customWidth="1"/>
    <col min="653" max="653" width="9.5703125" style="1" bestFit="1" customWidth="1"/>
    <col min="654" max="654" width="35.85546875" style="1" bestFit="1" customWidth="1"/>
    <col min="655" max="655" width="33.85546875" style="1" bestFit="1" customWidth="1"/>
    <col min="656" max="656" width="9.5703125" style="1" bestFit="1" customWidth="1"/>
    <col min="657" max="657" width="35.85546875" style="1" bestFit="1" customWidth="1"/>
    <col min="658" max="658" width="33.85546875" style="1" bestFit="1" customWidth="1"/>
    <col min="659" max="659" width="9.5703125" style="1" bestFit="1" customWidth="1"/>
    <col min="660" max="660" width="35.85546875" style="1" bestFit="1" customWidth="1"/>
    <col min="661" max="661" width="33.85546875" style="1" bestFit="1" customWidth="1"/>
    <col min="662" max="662" width="9.5703125" style="1" bestFit="1" customWidth="1"/>
    <col min="663" max="663" width="35.85546875" style="1" bestFit="1" customWidth="1"/>
    <col min="664" max="664" width="33.85546875" style="1" bestFit="1" customWidth="1"/>
    <col min="665" max="665" width="9.5703125" style="1" bestFit="1" customWidth="1"/>
    <col min="666" max="666" width="35.85546875" style="1" bestFit="1" customWidth="1"/>
    <col min="667" max="667" width="33.85546875" style="1" bestFit="1" customWidth="1"/>
    <col min="668" max="668" width="9.5703125" style="1" bestFit="1" customWidth="1"/>
    <col min="669" max="669" width="35.85546875" style="1" bestFit="1" customWidth="1"/>
    <col min="670" max="670" width="33.85546875" style="1" bestFit="1" customWidth="1"/>
    <col min="671" max="671" width="9.5703125" style="1" bestFit="1" customWidth="1"/>
    <col min="672" max="672" width="35.85546875" style="1" bestFit="1" customWidth="1"/>
    <col min="673" max="673" width="33.85546875" style="1" bestFit="1" customWidth="1"/>
    <col min="674" max="674" width="9.5703125" style="1" bestFit="1" customWidth="1"/>
    <col min="675" max="675" width="35.85546875" style="1" bestFit="1" customWidth="1"/>
    <col min="676" max="676" width="33.85546875" style="1" bestFit="1" customWidth="1"/>
    <col min="677" max="677" width="9.5703125" style="1" bestFit="1" customWidth="1"/>
    <col min="678" max="678" width="35.85546875" style="1" bestFit="1" customWidth="1"/>
    <col min="679" max="679" width="33.85546875" style="1" bestFit="1" customWidth="1"/>
    <col min="680" max="680" width="9.5703125" style="1" bestFit="1" customWidth="1"/>
    <col min="681" max="681" width="35.85546875" style="1" bestFit="1" customWidth="1"/>
    <col min="682" max="682" width="33.85546875" style="1" bestFit="1" customWidth="1"/>
    <col min="683" max="683" width="9.5703125" style="1" bestFit="1" customWidth="1"/>
    <col min="684" max="684" width="35.85546875" style="1" bestFit="1" customWidth="1"/>
    <col min="685" max="685" width="33.85546875" style="1" bestFit="1" customWidth="1"/>
    <col min="686" max="686" width="9.5703125" style="1" bestFit="1" customWidth="1"/>
    <col min="687" max="687" width="35.85546875" style="1" bestFit="1" customWidth="1"/>
    <col min="688" max="688" width="33.85546875" style="1" bestFit="1" customWidth="1"/>
    <col min="689" max="689" width="9.5703125" style="1" bestFit="1" customWidth="1"/>
    <col min="690" max="690" width="35.85546875" style="1" bestFit="1" customWidth="1"/>
    <col min="691" max="691" width="33.85546875" style="1" bestFit="1" customWidth="1"/>
    <col min="692" max="692" width="9.5703125" style="1" bestFit="1" customWidth="1"/>
    <col min="693" max="693" width="35.85546875" style="1" bestFit="1" customWidth="1"/>
    <col min="694" max="694" width="33.85546875" style="1" bestFit="1" customWidth="1"/>
    <col min="695" max="695" width="9.5703125" style="1" bestFit="1" customWidth="1"/>
    <col min="696" max="696" width="35.85546875" style="1" bestFit="1" customWidth="1"/>
    <col min="697" max="697" width="33.85546875" style="1" bestFit="1" customWidth="1"/>
    <col min="698" max="698" width="9.5703125" style="1" bestFit="1" customWidth="1"/>
    <col min="699" max="699" width="35.85546875" style="1" bestFit="1" customWidth="1"/>
    <col min="700" max="700" width="33.85546875" style="1" bestFit="1" customWidth="1"/>
    <col min="701" max="701" width="9.5703125" style="1" bestFit="1" customWidth="1"/>
    <col min="702" max="702" width="35.85546875" style="1" bestFit="1" customWidth="1"/>
    <col min="703" max="703" width="33.85546875" style="1" bestFit="1" customWidth="1"/>
    <col min="704" max="704" width="9.5703125" style="1" bestFit="1" customWidth="1"/>
    <col min="705" max="705" width="35.85546875" style="1" bestFit="1" customWidth="1"/>
    <col min="706" max="706" width="33.85546875" style="1" bestFit="1" customWidth="1"/>
    <col min="707" max="707" width="9.5703125" style="1" bestFit="1" customWidth="1"/>
    <col min="708" max="708" width="35.85546875" style="1" bestFit="1" customWidth="1"/>
    <col min="709" max="709" width="33.85546875" style="1" bestFit="1" customWidth="1"/>
    <col min="710" max="710" width="9.5703125" style="1" bestFit="1" customWidth="1"/>
    <col min="711" max="711" width="35.85546875" style="1" bestFit="1" customWidth="1"/>
    <col min="712" max="712" width="33.85546875" style="1" bestFit="1" customWidth="1"/>
    <col min="713" max="713" width="9.5703125" style="1" bestFit="1" customWidth="1"/>
    <col min="714" max="714" width="35.85546875" style="1" bestFit="1" customWidth="1"/>
    <col min="715" max="715" width="33.85546875" style="1" bestFit="1" customWidth="1"/>
    <col min="716" max="716" width="9.5703125" style="1" bestFit="1" customWidth="1"/>
    <col min="717" max="717" width="35.85546875" style="1" bestFit="1" customWidth="1"/>
    <col min="718" max="718" width="33.85546875" style="1" bestFit="1" customWidth="1"/>
    <col min="719" max="719" width="9.5703125" style="1" bestFit="1" customWidth="1"/>
    <col min="720" max="720" width="35.85546875" style="1" bestFit="1" customWidth="1"/>
    <col min="721" max="721" width="33.85546875" style="1" bestFit="1" customWidth="1"/>
    <col min="722" max="722" width="9.5703125" style="1" bestFit="1" customWidth="1"/>
    <col min="723" max="723" width="35.85546875" style="1" bestFit="1" customWidth="1"/>
    <col min="724" max="724" width="33.85546875" style="1" bestFit="1" customWidth="1"/>
    <col min="725" max="725" width="9.5703125" style="1" bestFit="1" customWidth="1"/>
    <col min="726" max="726" width="35.85546875" style="1" bestFit="1" customWidth="1"/>
    <col min="727" max="727" width="33.85546875" style="1" bestFit="1" customWidth="1"/>
    <col min="728" max="728" width="9.5703125" style="1" bestFit="1" customWidth="1"/>
    <col min="729" max="729" width="35.85546875" style="1" bestFit="1" customWidth="1"/>
    <col min="730" max="730" width="33.85546875" style="1" bestFit="1" customWidth="1"/>
    <col min="731" max="731" width="9.5703125" style="1" bestFit="1" customWidth="1"/>
    <col min="732" max="732" width="35.85546875" style="1" bestFit="1" customWidth="1"/>
    <col min="733" max="733" width="33.85546875" style="1" bestFit="1" customWidth="1"/>
    <col min="734" max="734" width="9.5703125" style="1" bestFit="1" customWidth="1"/>
    <col min="735" max="735" width="35.85546875" style="1" bestFit="1" customWidth="1"/>
    <col min="736" max="736" width="33.85546875" style="1" bestFit="1" customWidth="1"/>
    <col min="737" max="737" width="9.5703125" style="1" bestFit="1" customWidth="1"/>
    <col min="738" max="738" width="35.85546875" style="1" bestFit="1" customWidth="1"/>
    <col min="739" max="739" width="33.85546875" style="1" bestFit="1" customWidth="1"/>
    <col min="740" max="740" width="9.5703125" style="1" bestFit="1" customWidth="1"/>
    <col min="741" max="741" width="35.85546875" style="1" bestFit="1" customWidth="1"/>
    <col min="742" max="742" width="33.85546875" style="1" bestFit="1" customWidth="1"/>
    <col min="743" max="743" width="9.5703125" style="1" bestFit="1" customWidth="1"/>
    <col min="744" max="744" width="35.85546875" style="1" bestFit="1" customWidth="1"/>
    <col min="745" max="745" width="33.85546875" style="1" bestFit="1" customWidth="1"/>
    <col min="746" max="746" width="9.5703125" style="1" bestFit="1" customWidth="1"/>
    <col min="747" max="747" width="35.85546875" style="1" bestFit="1" customWidth="1"/>
    <col min="748" max="748" width="33.85546875" style="1" bestFit="1" customWidth="1"/>
    <col min="749" max="749" width="9.5703125" style="1" bestFit="1" customWidth="1"/>
    <col min="750" max="750" width="35.85546875" style="1" bestFit="1" customWidth="1"/>
    <col min="751" max="751" width="33.85546875" style="1" bestFit="1" customWidth="1"/>
    <col min="752" max="752" width="9.5703125" style="1" bestFit="1" customWidth="1"/>
    <col min="753" max="753" width="35.85546875" style="1" bestFit="1" customWidth="1"/>
    <col min="754" max="754" width="33.85546875" style="1" bestFit="1" customWidth="1"/>
    <col min="755" max="755" width="9.5703125" style="1" bestFit="1" customWidth="1"/>
    <col min="756" max="756" width="35.85546875" style="1" bestFit="1" customWidth="1"/>
    <col min="757" max="757" width="33.85546875" style="1" bestFit="1" customWidth="1"/>
    <col min="758" max="758" width="9.5703125" style="1" bestFit="1" customWidth="1"/>
    <col min="759" max="759" width="35.85546875" style="1" bestFit="1" customWidth="1"/>
    <col min="760" max="760" width="33.85546875" style="1" bestFit="1" customWidth="1"/>
    <col min="761" max="761" width="9.5703125" style="1" bestFit="1" customWidth="1"/>
    <col min="762" max="762" width="35.85546875" style="1" bestFit="1" customWidth="1"/>
    <col min="763" max="763" width="33.85546875" style="1" bestFit="1" customWidth="1"/>
    <col min="764" max="764" width="9.5703125" style="1" bestFit="1" customWidth="1"/>
    <col min="765" max="765" width="35.85546875" style="1" bestFit="1" customWidth="1"/>
    <col min="766" max="766" width="33.85546875" style="1" bestFit="1" customWidth="1"/>
    <col min="767" max="767" width="9.5703125" style="1" bestFit="1" customWidth="1"/>
    <col min="768" max="768" width="35.85546875" style="1" bestFit="1" customWidth="1"/>
    <col min="769" max="769" width="33.85546875" style="1" bestFit="1" customWidth="1"/>
    <col min="770" max="770" width="9.5703125" style="1" bestFit="1" customWidth="1"/>
    <col min="771" max="771" width="35.85546875" style="1" bestFit="1" customWidth="1"/>
    <col min="772" max="772" width="33.85546875" style="1" bestFit="1" customWidth="1"/>
    <col min="773" max="773" width="9.5703125" style="1" bestFit="1" customWidth="1"/>
    <col min="774" max="774" width="35.85546875" style="1" bestFit="1" customWidth="1"/>
    <col min="775" max="775" width="33.85546875" style="1" bestFit="1" customWidth="1"/>
    <col min="776" max="776" width="9.5703125" style="1" bestFit="1" customWidth="1"/>
    <col min="777" max="777" width="35.85546875" style="1" bestFit="1" customWidth="1"/>
    <col min="778" max="778" width="33.85546875" style="1" bestFit="1" customWidth="1"/>
    <col min="779" max="779" width="9.5703125" style="1" bestFit="1" customWidth="1"/>
    <col min="780" max="780" width="35.85546875" style="1" bestFit="1" customWidth="1"/>
    <col min="781" max="781" width="33.85546875" style="1" bestFit="1" customWidth="1"/>
    <col min="782" max="782" width="9.5703125" style="1" bestFit="1" customWidth="1"/>
    <col min="783" max="783" width="35.85546875" style="1" bestFit="1" customWidth="1"/>
    <col min="784" max="784" width="33.85546875" style="1" bestFit="1" customWidth="1"/>
    <col min="785" max="785" width="9.5703125" style="1" bestFit="1" customWidth="1"/>
    <col min="786" max="786" width="35.85546875" style="1" bestFit="1" customWidth="1"/>
    <col min="787" max="787" width="33.85546875" style="1" bestFit="1" customWidth="1"/>
    <col min="788" max="788" width="9.5703125" style="1" bestFit="1" customWidth="1"/>
    <col min="789" max="789" width="35.85546875" style="1" bestFit="1" customWidth="1"/>
    <col min="790" max="790" width="33.85546875" style="1" bestFit="1" customWidth="1"/>
    <col min="791" max="791" width="9.5703125" style="1" bestFit="1" customWidth="1"/>
    <col min="792" max="854" width="22.140625" style="1"/>
    <col min="855" max="855" width="40.42578125" style="1" customWidth="1"/>
    <col min="856" max="856" width="25.42578125" style="1" bestFit="1" customWidth="1"/>
    <col min="857" max="857" width="23.85546875" style="1" bestFit="1" customWidth="1"/>
    <col min="858" max="858" width="41.85546875" style="1" customWidth="1"/>
    <col min="859" max="859" width="26.42578125" style="1" bestFit="1" customWidth="1"/>
    <col min="860" max="861" width="16.42578125" style="1" customWidth="1"/>
    <col min="862" max="862" width="19.42578125" style="1" customWidth="1"/>
    <col min="863" max="863" width="16" style="1" customWidth="1"/>
    <col min="864" max="864" width="16.5703125" style="1" customWidth="1"/>
    <col min="865" max="865" width="7.5703125" style="1" bestFit="1" customWidth="1"/>
    <col min="866" max="866" width="16.5703125" style="1" customWidth="1"/>
    <col min="867" max="867" width="17.140625" style="1" customWidth="1"/>
    <col min="868" max="891" width="0" style="1" hidden="1" customWidth="1"/>
    <col min="892" max="892" width="35.85546875" style="1" bestFit="1" customWidth="1"/>
    <col min="893" max="893" width="33.85546875" style="1" bestFit="1" customWidth="1"/>
    <col min="894" max="894" width="9.5703125" style="1" bestFit="1" customWidth="1"/>
    <col min="895" max="895" width="35.85546875" style="1" bestFit="1" customWidth="1"/>
    <col min="896" max="896" width="33.85546875" style="1" bestFit="1" customWidth="1"/>
    <col min="897" max="897" width="9.5703125" style="1" bestFit="1" customWidth="1"/>
    <col min="898" max="898" width="35.85546875" style="1" bestFit="1" customWidth="1"/>
    <col min="899" max="899" width="33.85546875" style="1" bestFit="1" customWidth="1"/>
    <col min="900" max="900" width="9.5703125" style="1" bestFit="1" customWidth="1"/>
    <col min="901" max="901" width="35.85546875" style="1" bestFit="1" customWidth="1"/>
    <col min="902" max="902" width="33.85546875" style="1" bestFit="1" customWidth="1"/>
    <col min="903" max="903" width="9.5703125" style="1" bestFit="1" customWidth="1"/>
    <col min="904" max="904" width="35.85546875" style="1" bestFit="1" customWidth="1"/>
    <col min="905" max="905" width="33.85546875" style="1" bestFit="1" customWidth="1"/>
    <col min="906" max="906" width="9.5703125" style="1" bestFit="1" customWidth="1"/>
    <col min="907" max="907" width="35.85546875" style="1" bestFit="1" customWidth="1"/>
    <col min="908" max="908" width="33.85546875" style="1" bestFit="1" customWidth="1"/>
    <col min="909" max="909" width="9.5703125" style="1" bestFit="1" customWidth="1"/>
    <col min="910" max="910" width="35.85546875" style="1" bestFit="1" customWidth="1"/>
    <col min="911" max="911" width="33.85546875" style="1" bestFit="1" customWidth="1"/>
    <col min="912" max="912" width="9.5703125" style="1" bestFit="1" customWidth="1"/>
    <col min="913" max="913" width="35.85546875" style="1" bestFit="1" customWidth="1"/>
    <col min="914" max="914" width="33.85546875" style="1" bestFit="1" customWidth="1"/>
    <col min="915" max="915" width="9.5703125" style="1" bestFit="1" customWidth="1"/>
    <col min="916" max="916" width="35.85546875" style="1" bestFit="1" customWidth="1"/>
    <col min="917" max="917" width="33.85546875" style="1" bestFit="1" customWidth="1"/>
    <col min="918" max="918" width="9.5703125" style="1" bestFit="1" customWidth="1"/>
    <col min="919" max="919" width="35.85546875" style="1" bestFit="1" customWidth="1"/>
    <col min="920" max="920" width="33.85546875" style="1" bestFit="1" customWidth="1"/>
    <col min="921" max="921" width="9.5703125" style="1" bestFit="1" customWidth="1"/>
    <col min="922" max="922" width="35.85546875" style="1" bestFit="1" customWidth="1"/>
    <col min="923" max="923" width="33.85546875" style="1" bestFit="1" customWidth="1"/>
    <col min="924" max="924" width="9.5703125" style="1" bestFit="1" customWidth="1"/>
    <col min="925" max="925" width="35.85546875" style="1" bestFit="1" customWidth="1"/>
    <col min="926" max="926" width="33.85546875" style="1" bestFit="1" customWidth="1"/>
    <col min="927" max="927" width="9.5703125" style="1" bestFit="1" customWidth="1"/>
    <col min="928" max="928" width="35.85546875" style="1" bestFit="1" customWidth="1"/>
    <col min="929" max="929" width="33.85546875" style="1" bestFit="1" customWidth="1"/>
    <col min="930" max="930" width="9.5703125" style="1" bestFit="1" customWidth="1"/>
    <col min="931" max="931" width="35.85546875" style="1" bestFit="1" customWidth="1"/>
    <col min="932" max="932" width="33.85546875" style="1" bestFit="1" customWidth="1"/>
    <col min="933" max="933" width="9.5703125" style="1" bestFit="1" customWidth="1"/>
    <col min="934" max="934" width="35.85546875" style="1" bestFit="1" customWidth="1"/>
    <col min="935" max="935" width="33.85546875" style="1" bestFit="1" customWidth="1"/>
    <col min="936" max="936" width="9.5703125" style="1" bestFit="1" customWidth="1"/>
    <col min="937" max="937" width="35.85546875" style="1" bestFit="1" customWidth="1"/>
    <col min="938" max="938" width="33.85546875" style="1" bestFit="1" customWidth="1"/>
    <col min="939" max="939" width="9.5703125" style="1" bestFit="1" customWidth="1"/>
    <col min="940" max="940" width="35.85546875" style="1" bestFit="1" customWidth="1"/>
    <col min="941" max="941" width="33.85546875" style="1" bestFit="1" customWidth="1"/>
    <col min="942" max="942" width="9.5703125" style="1" bestFit="1" customWidth="1"/>
    <col min="943" max="943" width="35.85546875" style="1" bestFit="1" customWidth="1"/>
    <col min="944" max="944" width="33.85546875" style="1" bestFit="1" customWidth="1"/>
    <col min="945" max="945" width="9.5703125" style="1" bestFit="1" customWidth="1"/>
    <col min="946" max="946" width="35.85546875" style="1" bestFit="1" customWidth="1"/>
    <col min="947" max="947" width="33.85546875" style="1" bestFit="1" customWidth="1"/>
    <col min="948" max="948" width="9.5703125" style="1" bestFit="1" customWidth="1"/>
    <col min="949" max="949" width="35.85546875" style="1" bestFit="1" customWidth="1"/>
    <col min="950" max="950" width="33.85546875" style="1" bestFit="1" customWidth="1"/>
    <col min="951" max="951" width="9.5703125" style="1" bestFit="1" customWidth="1"/>
    <col min="952" max="952" width="35.85546875" style="1" bestFit="1" customWidth="1"/>
    <col min="953" max="953" width="33.85546875" style="1" bestFit="1" customWidth="1"/>
    <col min="954" max="954" width="9.5703125" style="1" bestFit="1" customWidth="1"/>
    <col min="955" max="955" width="35.85546875" style="1" bestFit="1" customWidth="1"/>
    <col min="956" max="956" width="33.85546875" style="1" bestFit="1" customWidth="1"/>
    <col min="957" max="957" width="9.5703125" style="1" bestFit="1" customWidth="1"/>
    <col min="958" max="958" width="35.85546875" style="1" bestFit="1" customWidth="1"/>
    <col min="959" max="959" width="33.85546875" style="1" bestFit="1" customWidth="1"/>
    <col min="960" max="960" width="9.5703125" style="1" bestFit="1" customWidth="1"/>
    <col min="961" max="961" width="35.85546875" style="1" bestFit="1" customWidth="1"/>
    <col min="962" max="962" width="33.85546875" style="1" bestFit="1" customWidth="1"/>
    <col min="963" max="963" width="9.5703125" style="1" bestFit="1" customWidth="1"/>
    <col min="964" max="964" width="35.85546875" style="1" bestFit="1" customWidth="1"/>
    <col min="965" max="965" width="33.85546875" style="1" bestFit="1" customWidth="1"/>
    <col min="966" max="966" width="9.5703125" style="1" bestFit="1" customWidth="1"/>
    <col min="967" max="967" width="35.85546875" style="1" bestFit="1" customWidth="1"/>
    <col min="968" max="968" width="33.85546875" style="1" bestFit="1" customWidth="1"/>
    <col min="969" max="969" width="9.5703125" style="1" bestFit="1" customWidth="1"/>
    <col min="970" max="970" width="35.85546875" style="1" bestFit="1" customWidth="1"/>
    <col min="971" max="971" width="33.85546875" style="1" bestFit="1" customWidth="1"/>
    <col min="972" max="972" width="9.5703125" style="1" bestFit="1" customWidth="1"/>
    <col min="973" max="973" width="35.85546875" style="1" bestFit="1" customWidth="1"/>
    <col min="974" max="974" width="33.85546875" style="1" bestFit="1" customWidth="1"/>
    <col min="975" max="975" width="9.5703125" style="1" bestFit="1" customWidth="1"/>
    <col min="976" max="976" width="35.85546875" style="1" bestFit="1" customWidth="1"/>
    <col min="977" max="977" width="33.85546875" style="1" bestFit="1" customWidth="1"/>
    <col min="978" max="978" width="9.5703125" style="1" bestFit="1" customWidth="1"/>
    <col min="979" max="979" width="35.85546875" style="1" bestFit="1" customWidth="1"/>
    <col min="980" max="980" width="33.85546875" style="1" bestFit="1" customWidth="1"/>
    <col min="981" max="981" width="9.5703125" style="1" bestFit="1" customWidth="1"/>
    <col min="982" max="982" width="35.85546875" style="1" bestFit="1" customWidth="1"/>
    <col min="983" max="983" width="33.85546875" style="1" bestFit="1" customWidth="1"/>
    <col min="984" max="984" width="9.5703125" style="1" bestFit="1" customWidth="1"/>
    <col min="985" max="985" width="35.85546875" style="1" bestFit="1" customWidth="1"/>
    <col min="986" max="986" width="33.85546875" style="1" bestFit="1" customWidth="1"/>
    <col min="987" max="987" width="9.5703125" style="1" bestFit="1" customWidth="1"/>
    <col min="988" max="988" width="35.85546875" style="1" bestFit="1" customWidth="1"/>
    <col min="989" max="989" width="33.85546875" style="1" bestFit="1" customWidth="1"/>
    <col min="990" max="990" width="9.5703125" style="1" bestFit="1" customWidth="1"/>
    <col min="991" max="991" width="35.85546875" style="1" bestFit="1" customWidth="1"/>
    <col min="992" max="992" width="33.85546875" style="1" bestFit="1" customWidth="1"/>
    <col min="993" max="993" width="9.5703125" style="1" bestFit="1" customWidth="1"/>
    <col min="994" max="994" width="35.85546875" style="1" bestFit="1" customWidth="1"/>
    <col min="995" max="995" width="33.85546875" style="1" bestFit="1" customWidth="1"/>
    <col min="996" max="996" width="9.5703125" style="1" bestFit="1" customWidth="1"/>
    <col min="997" max="997" width="35.85546875" style="1" bestFit="1" customWidth="1"/>
    <col min="998" max="998" width="33.85546875" style="1" bestFit="1" customWidth="1"/>
    <col min="999" max="999" width="9.5703125" style="1" bestFit="1" customWidth="1"/>
    <col min="1000" max="1000" width="35.85546875" style="1" bestFit="1" customWidth="1"/>
    <col min="1001" max="1001" width="33.85546875" style="1" bestFit="1" customWidth="1"/>
    <col min="1002" max="1002" width="9.5703125" style="1" bestFit="1" customWidth="1"/>
    <col min="1003" max="1003" width="35.85546875" style="1" bestFit="1" customWidth="1"/>
    <col min="1004" max="1004" width="33.85546875" style="1" bestFit="1" customWidth="1"/>
    <col min="1005" max="1005" width="9.5703125" style="1" bestFit="1" customWidth="1"/>
    <col min="1006" max="1006" width="35.85546875" style="1" bestFit="1" customWidth="1"/>
    <col min="1007" max="1007" width="33.85546875" style="1" bestFit="1" customWidth="1"/>
    <col min="1008" max="1008" width="9.5703125" style="1" bestFit="1" customWidth="1"/>
    <col min="1009" max="1009" width="35.85546875" style="1" bestFit="1" customWidth="1"/>
    <col min="1010" max="1010" width="33.85546875" style="1" bestFit="1" customWidth="1"/>
    <col min="1011" max="1011" width="9.5703125" style="1" bestFit="1" customWidth="1"/>
    <col min="1012" max="1012" width="35.85546875" style="1" bestFit="1" customWidth="1"/>
    <col min="1013" max="1013" width="33.85546875" style="1" bestFit="1" customWidth="1"/>
    <col min="1014" max="1014" width="9.5703125" style="1" bestFit="1" customWidth="1"/>
    <col min="1015" max="1015" width="35.85546875" style="1" bestFit="1" customWidth="1"/>
    <col min="1016" max="1016" width="33.85546875" style="1" bestFit="1" customWidth="1"/>
    <col min="1017" max="1017" width="9.5703125" style="1" bestFit="1" customWidth="1"/>
    <col min="1018" max="1018" width="35.85546875" style="1" bestFit="1" customWidth="1"/>
    <col min="1019" max="1019" width="33.85546875" style="1" bestFit="1" customWidth="1"/>
    <col min="1020" max="1020" width="9.5703125" style="1" bestFit="1" customWidth="1"/>
    <col min="1021" max="1021" width="35.85546875" style="1" bestFit="1" customWidth="1"/>
    <col min="1022" max="1022" width="33.85546875" style="1" bestFit="1" customWidth="1"/>
    <col min="1023" max="1023" width="9.5703125" style="1" bestFit="1" customWidth="1"/>
    <col min="1024" max="1024" width="35.85546875" style="1" bestFit="1" customWidth="1"/>
    <col min="1025" max="1025" width="33.85546875" style="1" bestFit="1" customWidth="1"/>
    <col min="1026" max="1026" width="9.5703125" style="1" bestFit="1" customWidth="1"/>
    <col min="1027" max="1027" width="35.85546875" style="1" bestFit="1" customWidth="1"/>
    <col min="1028" max="1028" width="33.85546875" style="1" bestFit="1" customWidth="1"/>
    <col min="1029" max="1029" width="9.5703125" style="1" bestFit="1" customWidth="1"/>
    <col min="1030" max="1030" width="35.85546875" style="1" bestFit="1" customWidth="1"/>
    <col min="1031" max="1031" width="33.85546875" style="1" bestFit="1" customWidth="1"/>
    <col min="1032" max="1032" width="9.5703125" style="1" bestFit="1" customWidth="1"/>
    <col min="1033" max="1033" width="35.85546875" style="1" bestFit="1" customWidth="1"/>
    <col min="1034" max="1034" width="33.85546875" style="1" bestFit="1" customWidth="1"/>
    <col min="1035" max="1035" width="9.5703125" style="1" bestFit="1" customWidth="1"/>
    <col min="1036" max="1036" width="35.85546875" style="1" bestFit="1" customWidth="1"/>
    <col min="1037" max="1037" width="33.85546875" style="1" bestFit="1" customWidth="1"/>
    <col min="1038" max="1038" width="9.5703125" style="1" bestFit="1" customWidth="1"/>
    <col min="1039" max="1039" width="35.85546875" style="1" bestFit="1" customWidth="1"/>
    <col min="1040" max="1040" width="33.85546875" style="1" bestFit="1" customWidth="1"/>
    <col min="1041" max="1041" width="9.5703125" style="1" bestFit="1" customWidth="1"/>
    <col min="1042" max="1042" width="35.85546875" style="1" bestFit="1" customWidth="1"/>
    <col min="1043" max="1043" width="33.85546875" style="1" bestFit="1" customWidth="1"/>
    <col min="1044" max="1044" width="9.5703125" style="1" bestFit="1" customWidth="1"/>
    <col min="1045" max="1045" width="35.85546875" style="1" bestFit="1" customWidth="1"/>
    <col min="1046" max="1046" width="33.85546875" style="1" bestFit="1" customWidth="1"/>
    <col min="1047" max="1047" width="9.5703125" style="1" bestFit="1" customWidth="1"/>
    <col min="1048" max="1110" width="22.140625" style="1"/>
    <col min="1111" max="1111" width="40.42578125" style="1" customWidth="1"/>
    <col min="1112" max="1112" width="25.42578125" style="1" bestFit="1" customWidth="1"/>
    <col min="1113" max="1113" width="23.85546875" style="1" bestFit="1" customWidth="1"/>
    <col min="1114" max="1114" width="41.85546875" style="1" customWidth="1"/>
    <col min="1115" max="1115" width="26.42578125" style="1" bestFit="1" customWidth="1"/>
    <col min="1116" max="1117" width="16.42578125" style="1" customWidth="1"/>
    <col min="1118" max="1118" width="19.42578125" style="1" customWidth="1"/>
    <col min="1119" max="1119" width="16" style="1" customWidth="1"/>
    <col min="1120" max="1120" width="16.5703125" style="1" customWidth="1"/>
    <col min="1121" max="1121" width="7.5703125" style="1" bestFit="1" customWidth="1"/>
    <col min="1122" max="1122" width="16.5703125" style="1" customWidth="1"/>
    <col min="1123" max="1123" width="17.140625" style="1" customWidth="1"/>
    <col min="1124" max="1147" width="0" style="1" hidden="1" customWidth="1"/>
    <col min="1148" max="1148" width="35.85546875" style="1" bestFit="1" customWidth="1"/>
    <col min="1149" max="1149" width="33.85546875" style="1" bestFit="1" customWidth="1"/>
    <col min="1150" max="1150" width="9.5703125" style="1" bestFit="1" customWidth="1"/>
    <col min="1151" max="1151" width="35.85546875" style="1" bestFit="1" customWidth="1"/>
    <col min="1152" max="1152" width="33.85546875" style="1" bestFit="1" customWidth="1"/>
    <col min="1153" max="1153" width="9.5703125" style="1" bestFit="1" customWidth="1"/>
    <col min="1154" max="1154" width="35.85546875" style="1" bestFit="1" customWidth="1"/>
    <col min="1155" max="1155" width="33.85546875" style="1" bestFit="1" customWidth="1"/>
    <col min="1156" max="1156" width="9.5703125" style="1" bestFit="1" customWidth="1"/>
    <col min="1157" max="1157" width="35.85546875" style="1" bestFit="1" customWidth="1"/>
    <col min="1158" max="1158" width="33.85546875" style="1" bestFit="1" customWidth="1"/>
    <col min="1159" max="1159" width="9.5703125" style="1" bestFit="1" customWidth="1"/>
    <col min="1160" max="1160" width="35.85546875" style="1" bestFit="1" customWidth="1"/>
    <col min="1161" max="1161" width="33.85546875" style="1" bestFit="1" customWidth="1"/>
    <col min="1162" max="1162" width="9.5703125" style="1" bestFit="1" customWidth="1"/>
    <col min="1163" max="1163" width="35.85546875" style="1" bestFit="1" customWidth="1"/>
    <col min="1164" max="1164" width="33.85546875" style="1" bestFit="1" customWidth="1"/>
    <col min="1165" max="1165" width="9.5703125" style="1" bestFit="1" customWidth="1"/>
    <col min="1166" max="1166" width="35.85546875" style="1" bestFit="1" customWidth="1"/>
    <col min="1167" max="1167" width="33.85546875" style="1" bestFit="1" customWidth="1"/>
    <col min="1168" max="1168" width="9.5703125" style="1" bestFit="1" customWidth="1"/>
    <col min="1169" max="1169" width="35.85546875" style="1" bestFit="1" customWidth="1"/>
    <col min="1170" max="1170" width="33.85546875" style="1" bestFit="1" customWidth="1"/>
    <col min="1171" max="1171" width="9.5703125" style="1" bestFit="1" customWidth="1"/>
    <col min="1172" max="1172" width="35.85546875" style="1" bestFit="1" customWidth="1"/>
    <col min="1173" max="1173" width="33.85546875" style="1" bestFit="1" customWidth="1"/>
    <col min="1174" max="1174" width="9.5703125" style="1" bestFit="1" customWidth="1"/>
    <col min="1175" max="1175" width="35.85546875" style="1" bestFit="1" customWidth="1"/>
    <col min="1176" max="1176" width="33.85546875" style="1" bestFit="1" customWidth="1"/>
    <col min="1177" max="1177" width="9.5703125" style="1" bestFit="1" customWidth="1"/>
    <col min="1178" max="1178" width="35.85546875" style="1" bestFit="1" customWidth="1"/>
    <col min="1179" max="1179" width="33.85546875" style="1" bestFit="1" customWidth="1"/>
    <col min="1180" max="1180" width="9.5703125" style="1" bestFit="1" customWidth="1"/>
    <col min="1181" max="1181" width="35.85546875" style="1" bestFit="1" customWidth="1"/>
    <col min="1182" max="1182" width="33.85546875" style="1" bestFit="1" customWidth="1"/>
    <col min="1183" max="1183" width="9.5703125" style="1" bestFit="1" customWidth="1"/>
    <col min="1184" max="1184" width="35.85546875" style="1" bestFit="1" customWidth="1"/>
    <col min="1185" max="1185" width="33.85546875" style="1" bestFit="1" customWidth="1"/>
    <col min="1186" max="1186" width="9.5703125" style="1" bestFit="1" customWidth="1"/>
    <col min="1187" max="1187" width="35.85546875" style="1" bestFit="1" customWidth="1"/>
    <col min="1188" max="1188" width="33.85546875" style="1" bestFit="1" customWidth="1"/>
    <col min="1189" max="1189" width="9.5703125" style="1" bestFit="1" customWidth="1"/>
    <col min="1190" max="1190" width="35.85546875" style="1" bestFit="1" customWidth="1"/>
    <col min="1191" max="1191" width="33.85546875" style="1" bestFit="1" customWidth="1"/>
    <col min="1192" max="1192" width="9.5703125" style="1" bestFit="1" customWidth="1"/>
    <col min="1193" max="1193" width="35.85546875" style="1" bestFit="1" customWidth="1"/>
    <col min="1194" max="1194" width="33.85546875" style="1" bestFit="1" customWidth="1"/>
    <col min="1195" max="1195" width="9.5703125" style="1" bestFit="1" customWidth="1"/>
    <col min="1196" max="1196" width="35.85546875" style="1" bestFit="1" customWidth="1"/>
    <col min="1197" max="1197" width="33.85546875" style="1" bestFit="1" customWidth="1"/>
    <col min="1198" max="1198" width="9.5703125" style="1" bestFit="1" customWidth="1"/>
    <col min="1199" max="1199" width="35.85546875" style="1" bestFit="1" customWidth="1"/>
    <col min="1200" max="1200" width="33.85546875" style="1" bestFit="1" customWidth="1"/>
    <col min="1201" max="1201" width="9.5703125" style="1" bestFit="1" customWidth="1"/>
    <col min="1202" max="1202" width="35.85546875" style="1" bestFit="1" customWidth="1"/>
    <col min="1203" max="1203" width="33.85546875" style="1" bestFit="1" customWidth="1"/>
    <col min="1204" max="1204" width="9.5703125" style="1" bestFit="1" customWidth="1"/>
    <col min="1205" max="1205" width="35.85546875" style="1" bestFit="1" customWidth="1"/>
    <col min="1206" max="1206" width="33.85546875" style="1" bestFit="1" customWidth="1"/>
    <col min="1207" max="1207" width="9.5703125" style="1" bestFit="1" customWidth="1"/>
    <col min="1208" max="1208" width="35.85546875" style="1" bestFit="1" customWidth="1"/>
    <col min="1209" max="1209" width="33.85546875" style="1" bestFit="1" customWidth="1"/>
    <col min="1210" max="1210" width="9.5703125" style="1" bestFit="1" customWidth="1"/>
    <col min="1211" max="1211" width="35.85546875" style="1" bestFit="1" customWidth="1"/>
    <col min="1212" max="1212" width="33.85546875" style="1" bestFit="1" customWidth="1"/>
    <col min="1213" max="1213" width="9.5703125" style="1" bestFit="1" customWidth="1"/>
    <col min="1214" max="1214" width="35.85546875" style="1" bestFit="1" customWidth="1"/>
    <col min="1215" max="1215" width="33.85546875" style="1" bestFit="1" customWidth="1"/>
    <col min="1216" max="1216" width="9.5703125" style="1" bestFit="1" customWidth="1"/>
    <col min="1217" max="1217" width="35.85546875" style="1" bestFit="1" customWidth="1"/>
    <col min="1218" max="1218" width="33.85546875" style="1" bestFit="1" customWidth="1"/>
    <col min="1219" max="1219" width="9.5703125" style="1" bestFit="1" customWidth="1"/>
    <col min="1220" max="1220" width="35.85546875" style="1" bestFit="1" customWidth="1"/>
    <col min="1221" max="1221" width="33.85546875" style="1" bestFit="1" customWidth="1"/>
    <col min="1222" max="1222" width="9.5703125" style="1" bestFit="1" customWidth="1"/>
    <col min="1223" max="1223" width="35.85546875" style="1" bestFit="1" customWidth="1"/>
    <col min="1224" max="1224" width="33.85546875" style="1" bestFit="1" customWidth="1"/>
    <col min="1225" max="1225" width="9.5703125" style="1" bestFit="1" customWidth="1"/>
    <col min="1226" max="1226" width="35.85546875" style="1" bestFit="1" customWidth="1"/>
    <col min="1227" max="1227" width="33.85546875" style="1" bestFit="1" customWidth="1"/>
    <col min="1228" max="1228" width="9.5703125" style="1" bestFit="1" customWidth="1"/>
    <col min="1229" max="1229" width="35.85546875" style="1" bestFit="1" customWidth="1"/>
    <col min="1230" max="1230" width="33.85546875" style="1" bestFit="1" customWidth="1"/>
    <col min="1231" max="1231" width="9.5703125" style="1" bestFit="1" customWidth="1"/>
    <col min="1232" max="1232" width="35.85546875" style="1" bestFit="1" customWidth="1"/>
    <col min="1233" max="1233" width="33.85546875" style="1" bestFit="1" customWidth="1"/>
    <col min="1234" max="1234" width="9.5703125" style="1" bestFit="1" customWidth="1"/>
    <col min="1235" max="1235" width="35.85546875" style="1" bestFit="1" customWidth="1"/>
    <col min="1236" max="1236" width="33.85546875" style="1" bestFit="1" customWidth="1"/>
    <col min="1237" max="1237" width="9.5703125" style="1" bestFit="1" customWidth="1"/>
    <col min="1238" max="1238" width="35.85546875" style="1" bestFit="1" customWidth="1"/>
    <col min="1239" max="1239" width="33.85546875" style="1" bestFit="1" customWidth="1"/>
    <col min="1240" max="1240" width="9.5703125" style="1" bestFit="1" customWidth="1"/>
    <col min="1241" max="1241" width="35.85546875" style="1" bestFit="1" customWidth="1"/>
    <col min="1242" max="1242" width="33.85546875" style="1" bestFit="1" customWidth="1"/>
    <col min="1243" max="1243" width="9.5703125" style="1" bestFit="1" customWidth="1"/>
    <col min="1244" max="1244" width="35.85546875" style="1" bestFit="1" customWidth="1"/>
    <col min="1245" max="1245" width="33.85546875" style="1" bestFit="1" customWidth="1"/>
    <col min="1246" max="1246" width="9.5703125" style="1" bestFit="1" customWidth="1"/>
    <col min="1247" max="1247" width="35.85546875" style="1" bestFit="1" customWidth="1"/>
    <col min="1248" max="1248" width="33.85546875" style="1" bestFit="1" customWidth="1"/>
    <col min="1249" max="1249" width="9.5703125" style="1" bestFit="1" customWidth="1"/>
    <col min="1250" max="1250" width="35.85546875" style="1" bestFit="1" customWidth="1"/>
    <col min="1251" max="1251" width="33.85546875" style="1" bestFit="1" customWidth="1"/>
    <col min="1252" max="1252" width="9.5703125" style="1" bestFit="1" customWidth="1"/>
    <col min="1253" max="1253" width="35.85546875" style="1" bestFit="1" customWidth="1"/>
    <col min="1254" max="1254" width="33.85546875" style="1" bestFit="1" customWidth="1"/>
    <col min="1255" max="1255" width="9.5703125" style="1" bestFit="1" customWidth="1"/>
    <col min="1256" max="1256" width="35.85546875" style="1" bestFit="1" customWidth="1"/>
    <col min="1257" max="1257" width="33.85546875" style="1" bestFit="1" customWidth="1"/>
    <col min="1258" max="1258" width="9.5703125" style="1" bestFit="1" customWidth="1"/>
    <col min="1259" max="1259" width="35.85546875" style="1" bestFit="1" customWidth="1"/>
    <col min="1260" max="1260" width="33.85546875" style="1" bestFit="1" customWidth="1"/>
    <col min="1261" max="1261" width="9.5703125" style="1" bestFit="1" customWidth="1"/>
    <col min="1262" max="1262" width="35.85546875" style="1" bestFit="1" customWidth="1"/>
    <col min="1263" max="1263" width="33.85546875" style="1" bestFit="1" customWidth="1"/>
    <col min="1264" max="1264" width="9.5703125" style="1" bestFit="1" customWidth="1"/>
    <col min="1265" max="1265" width="35.85546875" style="1" bestFit="1" customWidth="1"/>
    <col min="1266" max="1266" width="33.85546875" style="1" bestFit="1" customWidth="1"/>
    <col min="1267" max="1267" width="9.5703125" style="1" bestFit="1" customWidth="1"/>
    <col min="1268" max="1268" width="35.85546875" style="1" bestFit="1" customWidth="1"/>
    <col min="1269" max="1269" width="33.85546875" style="1" bestFit="1" customWidth="1"/>
    <col min="1270" max="1270" width="9.5703125" style="1" bestFit="1" customWidth="1"/>
    <col min="1271" max="1271" width="35.85546875" style="1" bestFit="1" customWidth="1"/>
    <col min="1272" max="1272" width="33.85546875" style="1" bestFit="1" customWidth="1"/>
    <col min="1273" max="1273" width="9.5703125" style="1" bestFit="1" customWidth="1"/>
    <col min="1274" max="1274" width="35.85546875" style="1" bestFit="1" customWidth="1"/>
    <col min="1275" max="1275" width="33.85546875" style="1" bestFit="1" customWidth="1"/>
    <col min="1276" max="1276" width="9.5703125" style="1" bestFit="1" customWidth="1"/>
    <col min="1277" max="1277" width="35.85546875" style="1" bestFit="1" customWidth="1"/>
    <col min="1278" max="1278" width="33.85546875" style="1" bestFit="1" customWidth="1"/>
    <col min="1279" max="1279" width="9.5703125" style="1" bestFit="1" customWidth="1"/>
    <col min="1280" max="1280" width="35.85546875" style="1" bestFit="1" customWidth="1"/>
    <col min="1281" max="1281" width="33.85546875" style="1" bestFit="1" customWidth="1"/>
    <col min="1282" max="1282" width="9.5703125" style="1" bestFit="1" customWidth="1"/>
    <col min="1283" max="1283" width="35.85546875" style="1" bestFit="1" customWidth="1"/>
    <col min="1284" max="1284" width="33.85546875" style="1" bestFit="1" customWidth="1"/>
    <col min="1285" max="1285" width="9.5703125" style="1" bestFit="1" customWidth="1"/>
    <col min="1286" max="1286" width="35.85546875" style="1" bestFit="1" customWidth="1"/>
    <col min="1287" max="1287" width="33.85546875" style="1" bestFit="1" customWidth="1"/>
    <col min="1288" max="1288" width="9.5703125" style="1" bestFit="1" customWidth="1"/>
    <col min="1289" max="1289" width="35.85546875" style="1" bestFit="1" customWidth="1"/>
    <col min="1290" max="1290" width="33.85546875" style="1" bestFit="1" customWidth="1"/>
    <col min="1291" max="1291" width="9.5703125" style="1" bestFit="1" customWidth="1"/>
    <col min="1292" max="1292" width="35.85546875" style="1" bestFit="1" customWidth="1"/>
    <col min="1293" max="1293" width="33.85546875" style="1" bestFit="1" customWidth="1"/>
    <col min="1294" max="1294" width="9.5703125" style="1" bestFit="1" customWidth="1"/>
    <col min="1295" max="1295" width="35.85546875" style="1" bestFit="1" customWidth="1"/>
    <col min="1296" max="1296" width="33.85546875" style="1" bestFit="1" customWidth="1"/>
    <col min="1297" max="1297" width="9.5703125" style="1" bestFit="1" customWidth="1"/>
    <col min="1298" max="1298" width="35.85546875" style="1" bestFit="1" customWidth="1"/>
    <col min="1299" max="1299" width="33.85546875" style="1" bestFit="1" customWidth="1"/>
    <col min="1300" max="1300" width="9.5703125" style="1" bestFit="1" customWidth="1"/>
    <col min="1301" max="1301" width="35.85546875" style="1" bestFit="1" customWidth="1"/>
    <col min="1302" max="1302" width="33.85546875" style="1" bestFit="1" customWidth="1"/>
    <col min="1303" max="1303" width="9.5703125" style="1" bestFit="1" customWidth="1"/>
    <col min="1304" max="1366" width="22.140625" style="1"/>
    <col min="1367" max="1367" width="40.42578125" style="1" customWidth="1"/>
    <col min="1368" max="1368" width="25.42578125" style="1" bestFit="1" customWidth="1"/>
    <col min="1369" max="1369" width="23.85546875" style="1" bestFit="1" customWidth="1"/>
    <col min="1370" max="1370" width="41.85546875" style="1" customWidth="1"/>
    <col min="1371" max="1371" width="26.42578125" style="1" bestFit="1" customWidth="1"/>
    <col min="1372" max="1373" width="16.42578125" style="1" customWidth="1"/>
    <col min="1374" max="1374" width="19.42578125" style="1" customWidth="1"/>
    <col min="1375" max="1375" width="16" style="1" customWidth="1"/>
    <col min="1376" max="1376" width="16.5703125" style="1" customWidth="1"/>
    <col min="1377" max="1377" width="7.5703125" style="1" bestFit="1" customWidth="1"/>
    <col min="1378" max="1378" width="16.5703125" style="1" customWidth="1"/>
    <col min="1379" max="1379" width="17.140625" style="1" customWidth="1"/>
    <col min="1380" max="1403" width="0" style="1" hidden="1" customWidth="1"/>
    <col min="1404" max="1404" width="35.85546875" style="1" bestFit="1" customWidth="1"/>
    <col min="1405" max="1405" width="33.85546875" style="1" bestFit="1" customWidth="1"/>
    <col min="1406" max="1406" width="9.5703125" style="1" bestFit="1" customWidth="1"/>
    <col min="1407" max="1407" width="35.85546875" style="1" bestFit="1" customWidth="1"/>
    <col min="1408" max="1408" width="33.85546875" style="1" bestFit="1" customWidth="1"/>
    <col min="1409" max="1409" width="9.5703125" style="1" bestFit="1" customWidth="1"/>
    <col min="1410" max="1410" width="35.85546875" style="1" bestFit="1" customWidth="1"/>
    <col min="1411" max="1411" width="33.85546875" style="1" bestFit="1" customWidth="1"/>
    <col min="1412" max="1412" width="9.5703125" style="1" bestFit="1" customWidth="1"/>
    <col min="1413" max="1413" width="35.85546875" style="1" bestFit="1" customWidth="1"/>
    <col min="1414" max="1414" width="33.85546875" style="1" bestFit="1" customWidth="1"/>
    <col min="1415" max="1415" width="9.5703125" style="1" bestFit="1" customWidth="1"/>
    <col min="1416" max="1416" width="35.85546875" style="1" bestFit="1" customWidth="1"/>
    <col min="1417" max="1417" width="33.85546875" style="1" bestFit="1" customWidth="1"/>
    <col min="1418" max="1418" width="9.5703125" style="1" bestFit="1" customWidth="1"/>
    <col min="1419" max="1419" width="35.85546875" style="1" bestFit="1" customWidth="1"/>
    <col min="1420" max="1420" width="33.85546875" style="1" bestFit="1" customWidth="1"/>
    <col min="1421" max="1421" width="9.5703125" style="1" bestFit="1" customWidth="1"/>
    <col min="1422" max="1422" width="35.85546875" style="1" bestFit="1" customWidth="1"/>
    <col min="1423" max="1423" width="33.85546875" style="1" bestFit="1" customWidth="1"/>
    <col min="1424" max="1424" width="9.5703125" style="1" bestFit="1" customWidth="1"/>
    <col min="1425" max="1425" width="35.85546875" style="1" bestFit="1" customWidth="1"/>
    <col min="1426" max="1426" width="33.85546875" style="1" bestFit="1" customWidth="1"/>
    <col min="1427" max="1427" width="9.5703125" style="1" bestFit="1" customWidth="1"/>
    <col min="1428" max="1428" width="35.85546875" style="1" bestFit="1" customWidth="1"/>
    <col min="1429" max="1429" width="33.85546875" style="1" bestFit="1" customWidth="1"/>
    <col min="1430" max="1430" width="9.5703125" style="1" bestFit="1" customWidth="1"/>
    <col min="1431" max="1431" width="35.85546875" style="1" bestFit="1" customWidth="1"/>
    <col min="1432" max="1432" width="33.85546875" style="1" bestFit="1" customWidth="1"/>
    <col min="1433" max="1433" width="9.5703125" style="1" bestFit="1" customWidth="1"/>
    <col min="1434" max="1434" width="35.85546875" style="1" bestFit="1" customWidth="1"/>
    <col min="1435" max="1435" width="33.85546875" style="1" bestFit="1" customWidth="1"/>
    <col min="1436" max="1436" width="9.5703125" style="1" bestFit="1" customWidth="1"/>
    <col min="1437" max="1437" width="35.85546875" style="1" bestFit="1" customWidth="1"/>
    <col min="1438" max="1438" width="33.85546875" style="1" bestFit="1" customWidth="1"/>
    <col min="1439" max="1439" width="9.5703125" style="1" bestFit="1" customWidth="1"/>
    <col min="1440" max="1440" width="35.85546875" style="1" bestFit="1" customWidth="1"/>
    <col min="1441" max="1441" width="33.85546875" style="1" bestFit="1" customWidth="1"/>
    <col min="1442" max="1442" width="9.5703125" style="1" bestFit="1" customWidth="1"/>
    <col min="1443" max="1443" width="35.85546875" style="1" bestFit="1" customWidth="1"/>
    <col min="1444" max="1444" width="33.85546875" style="1" bestFit="1" customWidth="1"/>
    <col min="1445" max="1445" width="9.5703125" style="1" bestFit="1" customWidth="1"/>
    <col min="1446" max="1446" width="35.85546875" style="1" bestFit="1" customWidth="1"/>
    <col min="1447" max="1447" width="33.85546875" style="1" bestFit="1" customWidth="1"/>
    <col min="1448" max="1448" width="9.5703125" style="1" bestFit="1" customWidth="1"/>
    <col min="1449" max="1449" width="35.85546875" style="1" bestFit="1" customWidth="1"/>
    <col min="1450" max="1450" width="33.85546875" style="1" bestFit="1" customWidth="1"/>
    <col min="1451" max="1451" width="9.5703125" style="1" bestFit="1" customWidth="1"/>
    <col min="1452" max="1452" width="35.85546875" style="1" bestFit="1" customWidth="1"/>
    <col min="1453" max="1453" width="33.85546875" style="1" bestFit="1" customWidth="1"/>
    <col min="1454" max="1454" width="9.5703125" style="1" bestFit="1" customWidth="1"/>
    <col min="1455" max="1455" width="35.85546875" style="1" bestFit="1" customWidth="1"/>
    <col min="1456" max="1456" width="33.85546875" style="1" bestFit="1" customWidth="1"/>
    <col min="1457" max="1457" width="9.5703125" style="1" bestFit="1" customWidth="1"/>
    <col min="1458" max="1458" width="35.85546875" style="1" bestFit="1" customWidth="1"/>
    <col min="1459" max="1459" width="33.85546875" style="1" bestFit="1" customWidth="1"/>
    <col min="1460" max="1460" width="9.5703125" style="1" bestFit="1" customWidth="1"/>
    <col min="1461" max="1461" width="35.85546875" style="1" bestFit="1" customWidth="1"/>
    <col min="1462" max="1462" width="33.85546875" style="1" bestFit="1" customWidth="1"/>
    <col min="1463" max="1463" width="9.5703125" style="1" bestFit="1" customWidth="1"/>
    <col min="1464" max="1464" width="35.85546875" style="1" bestFit="1" customWidth="1"/>
    <col min="1465" max="1465" width="33.85546875" style="1" bestFit="1" customWidth="1"/>
    <col min="1466" max="1466" width="9.5703125" style="1" bestFit="1" customWidth="1"/>
    <col min="1467" max="1467" width="35.85546875" style="1" bestFit="1" customWidth="1"/>
    <col min="1468" max="1468" width="33.85546875" style="1" bestFit="1" customWidth="1"/>
    <col min="1469" max="1469" width="9.5703125" style="1" bestFit="1" customWidth="1"/>
    <col min="1470" max="1470" width="35.85546875" style="1" bestFit="1" customWidth="1"/>
    <col min="1471" max="1471" width="33.85546875" style="1" bestFit="1" customWidth="1"/>
    <col min="1472" max="1472" width="9.5703125" style="1" bestFit="1" customWidth="1"/>
    <col min="1473" max="1473" width="35.85546875" style="1" bestFit="1" customWidth="1"/>
    <col min="1474" max="1474" width="33.85546875" style="1" bestFit="1" customWidth="1"/>
    <col min="1475" max="1475" width="9.5703125" style="1" bestFit="1" customWidth="1"/>
    <col min="1476" max="1476" width="35.85546875" style="1" bestFit="1" customWidth="1"/>
    <col min="1477" max="1477" width="33.85546875" style="1" bestFit="1" customWidth="1"/>
    <col min="1478" max="1478" width="9.5703125" style="1" bestFit="1" customWidth="1"/>
    <col min="1479" max="1479" width="35.85546875" style="1" bestFit="1" customWidth="1"/>
    <col min="1480" max="1480" width="33.85546875" style="1" bestFit="1" customWidth="1"/>
    <col min="1481" max="1481" width="9.5703125" style="1" bestFit="1" customWidth="1"/>
    <col min="1482" max="1482" width="35.85546875" style="1" bestFit="1" customWidth="1"/>
    <col min="1483" max="1483" width="33.85546875" style="1" bestFit="1" customWidth="1"/>
    <col min="1484" max="1484" width="9.5703125" style="1" bestFit="1" customWidth="1"/>
    <col min="1485" max="1485" width="35.85546875" style="1" bestFit="1" customWidth="1"/>
    <col min="1486" max="1486" width="33.85546875" style="1" bestFit="1" customWidth="1"/>
    <col min="1487" max="1487" width="9.5703125" style="1" bestFit="1" customWidth="1"/>
    <col min="1488" max="1488" width="35.85546875" style="1" bestFit="1" customWidth="1"/>
    <col min="1489" max="1489" width="33.85546875" style="1" bestFit="1" customWidth="1"/>
    <col min="1490" max="1490" width="9.5703125" style="1" bestFit="1" customWidth="1"/>
    <col min="1491" max="1491" width="35.85546875" style="1" bestFit="1" customWidth="1"/>
    <col min="1492" max="1492" width="33.85546875" style="1" bestFit="1" customWidth="1"/>
    <col min="1493" max="1493" width="9.5703125" style="1" bestFit="1" customWidth="1"/>
    <col min="1494" max="1494" width="35.85546875" style="1" bestFit="1" customWidth="1"/>
    <col min="1495" max="1495" width="33.85546875" style="1" bestFit="1" customWidth="1"/>
    <col min="1496" max="1496" width="9.5703125" style="1" bestFit="1" customWidth="1"/>
    <col min="1497" max="1497" width="35.85546875" style="1" bestFit="1" customWidth="1"/>
    <col min="1498" max="1498" width="33.85546875" style="1" bestFit="1" customWidth="1"/>
    <col min="1499" max="1499" width="9.5703125" style="1" bestFit="1" customWidth="1"/>
    <col min="1500" max="1500" width="35.85546875" style="1" bestFit="1" customWidth="1"/>
    <col min="1501" max="1501" width="33.85546875" style="1" bestFit="1" customWidth="1"/>
    <col min="1502" max="1502" width="9.5703125" style="1" bestFit="1" customWidth="1"/>
    <col min="1503" max="1503" width="35.85546875" style="1" bestFit="1" customWidth="1"/>
    <col min="1504" max="1504" width="33.85546875" style="1" bestFit="1" customWidth="1"/>
    <col min="1505" max="1505" width="9.5703125" style="1" bestFit="1" customWidth="1"/>
    <col min="1506" max="1506" width="35.85546875" style="1" bestFit="1" customWidth="1"/>
    <col min="1507" max="1507" width="33.85546875" style="1" bestFit="1" customWidth="1"/>
    <col min="1508" max="1508" width="9.5703125" style="1" bestFit="1" customWidth="1"/>
    <col min="1509" max="1509" width="35.85546875" style="1" bestFit="1" customWidth="1"/>
    <col min="1510" max="1510" width="33.85546875" style="1" bestFit="1" customWidth="1"/>
    <col min="1511" max="1511" width="9.5703125" style="1" bestFit="1" customWidth="1"/>
    <col min="1512" max="1512" width="35.85546875" style="1" bestFit="1" customWidth="1"/>
    <col min="1513" max="1513" width="33.85546875" style="1" bestFit="1" customWidth="1"/>
    <col min="1514" max="1514" width="9.5703125" style="1" bestFit="1" customWidth="1"/>
    <col min="1515" max="1515" width="35.85546875" style="1" bestFit="1" customWidth="1"/>
    <col min="1516" max="1516" width="33.85546875" style="1" bestFit="1" customWidth="1"/>
    <col min="1517" max="1517" width="9.5703125" style="1" bestFit="1" customWidth="1"/>
    <col min="1518" max="1518" width="35.85546875" style="1" bestFit="1" customWidth="1"/>
    <col min="1519" max="1519" width="33.85546875" style="1" bestFit="1" customWidth="1"/>
    <col min="1520" max="1520" width="9.5703125" style="1" bestFit="1" customWidth="1"/>
    <col min="1521" max="1521" width="35.85546875" style="1" bestFit="1" customWidth="1"/>
    <col min="1522" max="1522" width="33.85546875" style="1" bestFit="1" customWidth="1"/>
    <col min="1523" max="1523" width="9.5703125" style="1" bestFit="1" customWidth="1"/>
    <col min="1524" max="1524" width="35.85546875" style="1" bestFit="1" customWidth="1"/>
    <col min="1525" max="1525" width="33.85546875" style="1" bestFit="1" customWidth="1"/>
    <col min="1526" max="1526" width="9.5703125" style="1" bestFit="1" customWidth="1"/>
    <col min="1527" max="1527" width="35.85546875" style="1" bestFit="1" customWidth="1"/>
    <col min="1528" max="1528" width="33.85546875" style="1" bestFit="1" customWidth="1"/>
    <col min="1529" max="1529" width="9.5703125" style="1" bestFit="1" customWidth="1"/>
    <col min="1530" max="1530" width="35.85546875" style="1" bestFit="1" customWidth="1"/>
    <col min="1531" max="1531" width="33.85546875" style="1" bestFit="1" customWidth="1"/>
    <col min="1532" max="1532" width="9.5703125" style="1" bestFit="1" customWidth="1"/>
    <col min="1533" max="1533" width="35.85546875" style="1" bestFit="1" customWidth="1"/>
    <col min="1534" max="1534" width="33.85546875" style="1" bestFit="1" customWidth="1"/>
    <col min="1535" max="1535" width="9.5703125" style="1" bestFit="1" customWidth="1"/>
    <col min="1536" max="1536" width="35.85546875" style="1" bestFit="1" customWidth="1"/>
    <col min="1537" max="1537" width="33.85546875" style="1" bestFit="1" customWidth="1"/>
    <col min="1538" max="1538" width="9.5703125" style="1" bestFit="1" customWidth="1"/>
    <col min="1539" max="1539" width="35.85546875" style="1" bestFit="1" customWidth="1"/>
    <col min="1540" max="1540" width="33.85546875" style="1" bestFit="1" customWidth="1"/>
    <col min="1541" max="1541" width="9.5703125" style="1" bestFit="1" customWidth="1"/>
    <col min="1542" max="1542" width="35.85546875" style="1" bestFit="1" customWidth="1"/>
    <col min="1543" max="1543" width="33.85546875" style="1" bestFit="1" customWidth="1"/>
    <col min="1544" max="1544" width="9.5703125" style="1" bestFit="1" customWidth="1"/>
    <col min="1545" max="1545" width="35.85546875" style="1" bestFit="1" customWidth="1"/>
    <col min="1546" max="1546" width="33.85546875" style="1" bestFit="1" customWidth="1"/>
    <col min="1547" max="1547" width="9.5703125" style="1" bestFit="1" customWidth="1"/>
    <col min="1548" max="1548" width="35.85546875" style="1" bestFit="1" customWidth="1"/>
    <col min="1549" max="1549" width="33.85546875" style="1" bestFit="1" customWidth="1"/>
    <col min="1550" max="1550" width="9.5703125" style="1" bestFit="1" customWidth="1"/>
    <col min="1551" max="1551" width="35.85546875" style="1" bestFit="1" customWidth="1"/>
    <col min="1552" max="1552" width="33.85546875" style="1" bestFit="1" customWidth="1"/>
    <col min="1553" max="1553" width="9.5703125" style="1" bestFit="1" customWidth="1"/>
    <col min="1554" max="1554" width="35.85546875" style="1" bestFit="1" customWidth="1"/>
    <col min="1555" max="1555" width="33.85546875" style="1" bestFit="1" customWidth="1"/>
    <col min="1556" max="1556" width="9.5703125" style="1" bestFit="1" customWidth="1"/>
    <col min="1557" max="1557" width="35.85546875" style="1" bestFit="1" customWidth="1"/>
    <col min="1558" max="1558" width="33.85546875" style="1" bestFit="1" customWidth="1"/>
    <col min="1559" max="1559" width="9.5703125" style="1" bestFit="1" customWidth="1"/>
    <col min="1560" max="1622" width="22.140625" style="1"/>
    <col min="1623" max="1623" width="40.42578125" style="1" customWidth="1"/>
    <col min="1624" max="1624" width="25.42578125" style="1" bestFit="1" customWidth="1"/>
    <col min="1625" max="1625" width="23.85546875" style="1" bestFit="1" customWidth="1"/>
    <col min="1626" max="1626" width="41.85546875" style="1" customWidth="1"/>
    <col min="1627" max="1627" width="26.42578125" style="1" bestFit="1" customWidth="1"/>
    <col min="1628" max="1629" width="16.42578125" style="1" customWidth="1"/>
    <col min="1630" max="1630" width="19.42578125" style="1" customWidth="1"/>
    <col min="1631" max="1631" width="16" style="1" customWidth="1"/>
    <col min="1632" max="1632" width="16.5703125" style="1" customWidth="1"/>
    <col min="1633" max="1633" width="7.5703125" style="1" bestFit="1" customWidth="1"/>
    <col min="1634" max="1634" width="16.5703125" style="1" customWidth="1"/>
    <col min="1635" max="1635" width="17.140625" style="1" customWidth="1"/>
    <col min="1636" max="1659" width="0" style="1" hidden="1" customWidth="1"/>
    <col min="1660" max="1660" width="35.85546875" style="1" bestFit="1" customWidth="1"/>
    <col min="1661" max="1661" width="33.85546875" style="1" bestFit="1" customWidth="1"/>
    <col min="1662" max="1662" width="9.5703125" style="1" bestFit="1" customWidth="1"/>
    <col min="1663" max="1663" width="35.85546875" style="1" bestFit="1" customWidth="1"/>
    <col min="1664" max="1664" width="33.85546875" style="1" bestFit="1" customWidth="1"/>
    <col min="1665" max="1665" width="9.5703125" style="1" bestFit="1" customWidth="1"/>
    <col min="1666" max="1666" width="35.85546875" style="1" bestFit="1" customWidth="1"/>
    <col min="1667" max="1667" width="33.85546875" style="1" bestFit="1" customWidth="1"/>
    <col min="1668" max="1668" width="9.5703125" style="1" bestFit="1" customWidth="1"/>
    <col min="1669" max="1669" width="35.85546875" style="1" bestFit="1" customWidth="1"/>
    <col min="1670" max="1670" width="33.85546875" style="1" bestFit="1" customWidth="1"/>
    <col min="1671" max="1671" width="9.5703125" style="1" bestFit="1" customWidth="1"/>
    <col min="1672" max="1672" width="35.85546875" style="1" bestFit="1" customWidth="1"/>
    <col min="1673" max="1673" width="33.85546875" style="1" bestFit="1" customWidth="1"/>
    <col min="1674" max="1674" width="9.5703125" style="1" bestFit="1" customWidth="1"/>
    <col min="1675" max="1675" width="35.85546875" style="1" bestFit="1" customWidth="1"/>
    <col min="1676" max="1676" width="33.85546875" style="1" bestFit="1" customWidth="1"/>
    <col min="1677" max="1677" width="9.5703125" style="1" bestFit="1" customWidth="1"/>
    <col min="1678" max="1678" width="35.85546875" style="1" bestFit="1" customWidth="1"/>
    <col min="1679" max="1679" width="33.85546875" style="1" bestFit="1" customWidth="1"/>
    <col min="1680" max="1680" width="9.5703125" style="1" bestFit="1" customWidth="1"/>
    <col min="1681" max="1681" width="35.85546875" style="1" bestFit="1" customWidth="1"/>
    <col min="1682" max="1682" width="33.85546875" style="1" bestFit="1" customWidth="1"/>
    <col min="1683" max="1683" width="9.5703125" style="1" bestFit="1" customWidth="1"/>
    <col min="1684" max="1684" width="35.85546875" style="1" bestFit="1" customWidth="1"/>
    <col min="1685" max="1685" width="33.85546875" style="1" bestFit="1" customWidth="1"/>
    <col min="1686" max="1686" width="9.5703125" style="1" bestFit="1" customWidth="1"/>
    <col min="1687" max="1687" width="35.85546875" style="1" bestFit="1" customWidth="1"/>
    <col min="1688" max="1688" width="33.85546875" style="1" bestFit="1" customWidth="1"/>
    <col min="1689" max="1689" width="9.5703125" style="1" bestFit="1" customWidth="1"/>
    <col min="1690" max="1690" width="35.85546875" style="1" bestFit="1" customWidth="1"/>
    <col min="1691" max="1691" width="33.85546875" style="1" bestFit="1" customWidth="1"/>
    <col min="1692" max="1692" width="9.5703125" style="1" bestFit="1" customWidth="1"/>
    <col min="1693" max="1693" width="35.85546875" style="1" bestFit="1" customWidth="1"/>
    <col min="1694" max="1694" width="33.85546875" style="1" bestFit="1" customWidth="1"/>
    <col min="1695" max="1695" width="9.5703125" style="1" bestFit="1" customWidth="1"/>
    <col min="1696" max="1696" width="35.85546875" style="1" bestFit="1" customWidth="1"/>
    <col min="1697" max="1697" width="33.85546875" style="1" bestFit="1" customWidth="1"/>
    <col min="1698" max="1698" width="9.5703125" style="1" bestFit="1" customWidth="1"/>
    <col min="1699" max="1699" width="35.85546875" style="1" bestFit="1" customWidth="1"/>
    <col min="1700" max="1700" width="33.85546875" style="1" bestFit="1" customWidth="1"/>
    <col min="1701" max="1701" width="9.5703125" style="1" bestFit="1" customWidth="1"/>
    <col min="1702" max="1702" width="35.85546875" style="1" bestFit="1" customWidth="1"/>
    <col min="1703" max="1703" width="33.85546875" style="1" bestFit="1" customWidth="1"/>
    <col min="1704" max="1704" width="9.5703125" style="1" bestFit="1" customWidth="1"/>
    <col min="1705" max="1705" width="35.85546875" style="1" bestFit="1" customWidth="1"/>
    <col min="1706" max="1706" width="33.85546875" style="1" bestFit="1" customWidth="1"/>
    <col min="1707" max="1707" width="9.5703125" style="1" bestFit="1" customWidth="1"/>
    <col min="1708" max="1708" width="35.85546875" style="1" bestFit="1" customWidth="1"/>
    <col min="1709" max="1709" width="33.85546875" style="1" bestFit="1" customWidth="1"/>
    <col min="1710" max="1710" width="9.5703125" style="1" bestFit="1" customWidth="1"/>
    <col min="1711" max="1711" width="35.85546875" style="1" bestFit="1" customWidth="1"/>
    <col min="1712" max="1712" width="33.85546875" style="1" bestFit="1" customWidth="1"/>
    <col min="1713" max="1713" width="9.5703125" style="1" bestFit="1" customWidth="1"/>
    <col min="1714" max="1714" width="35.85546875" style="1" bestFit="1" customWidth="1"/>
    <col min="1715" max="1715" width="33.85546875" style="1" bestFit="1" customWidth="1"/>
    <col min="1716" max="1716" width="9.5703125" style="1" bestFit="1" customWidth="1"/>
    <col min="1717" max="1717" width="35.85546875" style="1" bestFit="1" customWidth="1"/>
    <col min="1718" max="1718" width="33.85546875" style="1" bestFit="1" customWidth="1"/>
    <col min="1719" max="1719" width="9.5703125" style="1" bestFit="1" customWidth="1"/>
    <col min="1720" max="1720" width="35.85546875" style="1" bestFit="1" customWidth="1"/>
    <col min="1721" max="1721" width="33.85546875" style="1" bestFit="1" customWidth="1"/>
    <col min="1722" max="1722" width="9.5703125" style="1" bestFit="1" customWidth="1"/>
    <col min="1723" max="1723" width="35.85546875" style="1" bestFit="1" customWidth="1"/>
    <col min="1724" max="1724" width="33.85546875" style="1" bestFit="1" customWidth="1"/>
    <col min="1725" max="1725" width="9.5703125" style="1" bestFit="1" customWidth="1"/>
    <col min="1726" max="1726" width="35.85546875" style="1" bestFit="1" customWidth="1"/>
    <col min="1727" max="1727" width="33.85546875" style="1" bestFit="1" customWidth="1"/>
    <col min="1728" max="1728" width="9.5703125" style="1" bestFit="1" customWidth="1"/>
    <col min="1729" max="1729" width="35.85546875" style="1" bestFit="1" customWidth="1"/>
    <col min="1730" max="1730" width="33.85546875" style="1" bestFit="1" customWidth="1"/>
    <col min="1731" max="1731" width="9.5703125" style="1" bestFit="1" customWidth="1"/>
    <col min="1732" max="1732" width="35.85546875" style="1" bestFit="1" customWidth="1"/>
    <col min="1733" max="1733" width="33.85546875" style="1" bestFit="1" customWidth="1"/>
    <col min="1734" max="1734" width="9.5703125" style="1" bestFit="1" customWidth="1"/>
    <col min="1735" max="1735" width="35.85546875" style="1" bestFit="1" customWidth="1"/>
    <col min="1736" max="1736" width="33.85546875" style="1" bestFit="1" customWidth="1"/>
    <col min="1737" max="1737" width="9.5703125" style="1" bestFit="1" customWidth="1"/>
    <col min="1738" max="1738" width="35.85546875" style="1" bestFit="1" customWidth="1"/>
    <col min="1739" max="1739" width="33.85546875" style="1" bestFit="1" customWidth="1"/>
    <col min="1740" max="1740" width="9.5703125" style="1" bestFit="1" customWidth="1"/>
    <col min="1741" max="1741" width="35.85546875" style="1" bestFit="1" customWidth="1"/>
    <col min="1742" max="1742" width="33.85546875" style="1" bestFit="1" customWidth="1"/>
    <col min="1743" max="1743" width="9.5703125" style="1" bestFit="1" customWidth="1"/>
    <col min="1744" max="1744" width="35.85546875" style="1" bestFit="1" customWidth="1"/>
    <col min="1745" max="1745" width="33.85546875" style="1" bestFit="1" customWidth="1"/>
    <col min="1746" max="1746" width="9.5703125" style="1" bestFit="1" customWidth="1"/>
    <col min="1747" max="1747" width="35.85546875" style="1" bestFit="1" customWidth="1"/>
    <col min="1748" max="1748" width="33.85546875" style="1" bestFit="1" customWidth="1"/>
    <col min="1749" max="1749" width="9.5703125" style="1" bestFit="1" customWidth="1"/>
    <col min="1750" max="1750" width="35.85546875" style="1" bestFit="1" customWidth="1"/>
    <col min="1751" max="1751" width="33.85546875" style="1" bestFit="1" customWidth="1"/>
    <col min="1752" max="1752" width="9.5703125" style="1" bestFit="1" customWidth="1"/>
    <col min="1753" max="1753" width="35.85546875" style="1" bestFit="1" customWidth="1"/>
    <col min="1754" max="1754" width="33.85546875" style="1" bestFit="1" customWidth="1"/>
    <col min="1755" max="1755" width="9.5703125" style="1" bestFit="1" customWidth="1"/>
    <col min="1756" max="1756" width="35.85546875" style="1" bestFit="1" customWidth="1"/>
    <col min="1757" max="1757" width="33.85546875" style="1" bestFit="1" customWidth="1"/>
    <col min="1758" max="1758" width="9.5703125" style="1" bestFit="1" customWidth="1"/>
    <col min="1759" max="1759" width="35.85546875" style="1" bestFit="1" customWidth="1"/>
    <col min="1760" max="1760" width="33.85546875" style="1" bestFit="1" customWidth="1"/>
    <col min="1761" max="1761" width="9.5703125" style="1" bestFit="1" customWidth="1"/>
    <col min="1762" max="1762" width="35.85546875" style="1" bestFit="1" customWidth="1"/>
    <col min="1763" max="1763" width="33.85546875" style="1" bestFit="1" customWidth="1"/>
    <col min="1764" max="1764" width="9.5703125" style="1" bestFit="1" customWidth="1"/>
    <col min="1765" max="1765" width="35.85546875" style="1" bestFit="1" customWidth="1"/>
    <col min="1766" max="1766" width="33.85546875" style="1" bestFit="1" customWidth="1"/>
    <col min="1767" max="1767" width="9.5703125" style="1" bestFit="1" customWidth="1"/>
    <col min="1768" max="1768" width="35.85546875" style="1" bestFit="1" customWidth="1"/>
    <col min="1769" max="1769" width="33.85546875" style="1" bestFit="1" customWidth="1"/>
    <col min="1770" max="1770" width="9.5703125" style="1" bestFit="1" customWidth="1"/>
    <col min="1771" max="1771" width="35.85546875" style="1" bestFit="1" customWidth="1"/>
    <col min="1772" max="1772" width="33.85546875" style="1" bestFit="1" customWidth="1"/>
    <col min="1773" max="1773" width="9.5703125" style="1" bestFit="1" customWidth="1"/>
    <col min="1774" max="1774" width="35.85546875" style="1" bestFit="1" customWidth="1"/>
    <col min="1775" max="1775" width="33.85546875" style="1" bestFit="1" customWidth="1"/>
    <col min="1776" max="1776" width="9.5703125" style="1" bestFit="1" customWidth="1"/>
    <col min="1777" max="1777" width="35.85546875" style="1" bestFit="1" customWidth="1"/>
    <col min="1778" max="1778" width="33.85546875" style="1" bestFit="1" customWidth="1"/>
    <col min="1779" max="1779" width="9.5703125" style="1" bestFit="1" customWidth="1"/>
    <col min="1780" max="1780" width="35.85546875" style="1" bestFit="1" customWidth="1"/>
    <col min="1781" max="1781" width="33.85546875" style="1" bestFit="1" customWidth="1"/>
    <col min="1782" max="1782" width="9.5703125" style="1" bestFit="1" customWidth="1"/>
    <col min="1783" max="1783" width="35.85546875" style="1" bestFit="1" customWidth="1"/>
    <col min="1784" max="1784" width="33.85546875" style="1" bestFit="1" customWidth="1"/>
    <col min="1785" max="1785" width="9.5703125" style="1" bestFit="1" customWidth="1"/>
    <col min="1786" max="1786" width="35.85546875" style="1" bestFit="1" customWidth="1"/>
    <col min="1787" max="1787" width="33.85546875" style="1" bestFit="1" customWidth="1"/>
    <col min="1788" max="1788" width="9.5703125" style="1" bestFit="1" customWidth="1"/>
    <col min="1789" max="1789" width="35.85546875" style="1" bestFit="1" customWidth="1"/>
    <col min="1790" max="1790" width="33.85546875" style="1" bestFit="1" customWidth="1"/>
    <col min="1791" max="1791" width="9.5703125" style="1" bestFit="1" customWidth="1"/>
    <col min="1792" max="1792" width="35.85546875" style="1" bestFit="1" customWidth="1"/>
    <col min="1793" max="1793" width="33.85546875" style="1" bestFit="1" customWidth="1"/>
    <col min="1794" max="1794" width="9.5703125" style="1" bestFit="1" customWidth="1"/>
    <col min="1795" max="1795" width="35.85546875" style="1" bestFit="1" customWidth="1"/>
    <col min="1796" max="1796" width="33.85546875" style="1" bestFit="1" customWidth="1"/>
    <col min="1797" max="1797" width="9.5703125" style="1" bestFit="1" customWidth="1"/>
    <col min="1798" max="1798" width="35.85546875" style="1" bestFit="1" customWidth="1"/>
    <col min="1799" max="1799" width="33.85546875" style="1" bestFit="1" customWidth="1"/>
    <col min="1800" max="1800" width="9.5703125" style="1" bestFit="1" customWidth="1"/>
    <col min="1801" max="1801" width="35.85546875" style="1" bestFit="1" customWidth="1"/>
    <col min="1802" max="1802" width="33.85546875" style="1" bestFit="1" customWidth="1"/>
    <col min="1803" max="1803" width="9.5703125" style="1" bestFit="1" customWidth="1"/>
    <col min="1804" max="1804" width="35.85546875" style="1" bestFit="1" customWidth="1"/>
    <col min="1805" max="1805" width="33.85546875" style="1" bestFit="1" customWidth="1"/>
    <col min="1806" max="1806" width="9.5703125" style="1" bestFit="1" customWidth="1"/>
    <col min="1807" max="1807" width="35.85546875" style="1" bestFit="1" customWidth="1"/>
    <col min="1808" max="1808" width="33.85546875" style="1" bestFit="1" customWidth="1"/>
    <col min="1809" max="1809" width="9.5703125" style="1" bestFit="1" customWidth="1"/>
    <col min="1810" max="1810" width="35.85546875" style="1" bestFit="1" customWidth="1"/>
    <col min="1811" max="1811" width="33.85546875" style="1" bestFit="1" customWidth="1"/>
    <col min="1812" max="1812" width="9.5703125" style="1" bestFit="1" customWidth="1"/>
    <col min="1813" max="1813" width="35.85546875" style="1" bestFit="1" customWidth="1"/>
    <col min="1814" max="1814" width="33.85546875" style="1" bestFit="1" customWidth="1"/>
    <col min="1815" max="1815" width="9.5703125" style="1" bestFit="1" customWidth="1"/>
    <col min="1816" max="1878" width="22.140625" style="1"/>
    <col min="1879" max="1879" width="40.42578125" style="1" customWidth="1"/>
    <col min="1880" max="1880" width="25.42578125" style="1" bestFit="1" customWidth="1"/>
    <col min="1881" max="1881" width="23.85546875" style="1" bestFit="1" customWidth="1"/>
    <col min="1882" max="1882" width="41.85546875" style="1" customWidth="1"/>
    <col min="1883" max="1883" width="26.42578125" style="1" bestFit="1" customWidth="1"/>
    <col min="1884" max="1885" width="16.42578125" style="1" customWidth="1"/>
    <col min="1886" max="1886" width="19.42578125" style="1" customWidth="1"/>
    <col min="1887" max="1887" width="16" style="1" customWidth="1"/>
    <col min="1888" max="1888" width="16.5703125" style="1" customWidth="1"/>
    <col min="1889" max="1889" width="7.5703125" style="1" bestFit="1" customWidth="1"/>
    <col min="1890" max="1890" width="16.5703125" style="1" customWidth="1"/>
    <col min="1891" max="1891" width="17.140625" style="1" customWidth="1"/>
    <col min="1892" max="1915" width="0" style="1" hidden="1" customWidth="1"/>
    <col min="1916" max="1916" width="35.85546875" style="1" bestFit="1" customWidth="1"/>
    <col min="1917" max="1917" width="33.85546875" style="1" bestFit="1" customWidth="1"/>
    <col min="1918" max="1918" width="9.5703125" style="1" bestFit="1" customWidth="1"/>
    <col min="1919" max="1919" width="35.85546875" style="1" bestFit="1" customWidth="1"/>
    <col min="1920" max="1920" width="33.85546875" style="1" bestFit="1" customWidth="1"/>
    <col min="1921" max="1921" width="9.5703125" style="1" bestFit="1" customWidth="1"/>
    <col min="1922" max="1922" width="35.85546875" style="1" bestFit="1" customWidth="1"/>
    <col min="1923" max="1923" width="33.85546875" style="1" bestFit="1" customWidth="1"/>
    <col min="1924" max="1924" width="9.5703125" style="1" bestFit="1" customWidth="1"/>
    <col min="1925" max="1925" width="35.85546875" style="1" bestFit="1" customWidth="1"/>
    <col min="1926" max="1926" width="33.85546875" style="1" bestFit="1" customWidth="1"/>
    <col min="1927" max="1927" width="9.5703125" style="1" bestFit="1" customWidth="1"/>
    <col min="1928" max="1928" width="35.85546875" style="1" bestFit="1" customWidth="1"/>
    <col min="1929" max="1929" width="33.85546875" style="1" bestFit="1" customWidth="1"/>
    <col min="1930" max="1930" width="9.5703125" style="1" bestFit="1" customWidth="1"/>
    <col min="1931" max="1931" width="35.85546875" style="1" bestFit="1" customWidth="1"/>
    <col min="1932" max="1932" width="33.85546875" style="1" bestFit="1" customWidth="1"/>
    <col min="1933" max="1933" width="9.5703125" style="1" bestFit="1" customWidth="1"/>
    <col min="1934" max="1934" width="35.85546875" style="1" bestFit="1" customWidth="1"/>
    <col min="1935" max="1935" width="33.85546875" style="1" bestFit="1" customWidth="1"/>
    <col min="1936" max="1936" width="9.5703125" style="1" bestFit="1" customWidth="1"/>
    <col min="1937" max="1937" width="35.85546875" style="1" bestFit="1" customWidth="1"/>
    <col min="1938" max="1938" width="33.85546875" style="1" bestFit="1" customWidth="1"/>
    <col min="1939" max="1939" width="9.5703125" style="1" bestFit="1" customWidth="1"/>
    <col min="1940" max="1940" width="35.85546875" style="1" bestFit="1" customWidth="1"/>
    <col min="1941" max="1941" width="33.85546875" style="1" bestFit="1" customWidth="1"/>
    <col min="1942" max="1942" width="9.5703125" style="1" bestFit="1" customWidth="1"/>
    <col min="1943" max="1943" width="35.85546875" style="1" bestFit="1" customWidth="1"/>
    <col min="1944" max="1944" width="33.85546875" style="1" bestFit="1" customWidth="1"/>
    <col min="1945" max="1945" width="9.5703125" style="1" bestFit="1" customWidth="1"/>
    <col min="1946" max="1946" width="35.85546875" style="1" bestFit="1" customWidth="1"/>
    <col min="1947" max="1947" width="33.85546875" style="1" bestFit="1" customWidth="1"/>
    <col min="1948" max="1948" width="9.5703125" style="1" bestFit="1" customWidth="1"/>
    <col min="1949" max="1949" width="35.85546875" style="1" bestFit="1" customWidth="1"/>
    <col min="1950" max="1950" width="33.85546875" style="1" bestFit="1" customWidth="1"/>
    <col min="1951" max="1951" width="9.5703125" style="1" bestFit="1" customWidth="1"/>
    <col min="1952" max="1952" width="35.85546875" style="1" bestFit="1" customWidth="1"/>
    <col min="1953" max="1953" width="33.85546875" style="1" bestFit="1" customWidth="1"/>
    <col min="1954" max="1954" width="9.5703125" style="1" bestFit="1" customWidth="1"/>
    <col min="1955" max="1955" width="35.85546875" style="1" bestFit="1" customWidth="1"/>
    <col min="1956" max="1956" width="33.85546875" style="1" bestFit="1" customWidth="1"/>
    <col min="1957" max="1957" width="9.5703125" style="1" bestFit="1" customWidth="1"/>
    <col min="1958" max="1958" width="35.85546875" style="1" bestFit="1" customWidth="1"/>
    <col min="1959" max="1959" width="33.85546875" style="1" bestFit="1" customWidth="1"/>
    <col min="1960" max="1960" width="9.5703125" style="1" bestFit="1" customWidth="1"/>
    <col min="1961" max="1961" width="35.85546875" style="1" bestFit="1" customWidth="1"/>
    <col min="1962" max="1962" width="33.85546875" style="1" bestFit="1" customWidth="1"/>
    <col min="1963" max="1963" width="9.5703125" style="1" bestFit="1" customWidth="1"/>
    <col min="1964" max="1964" width="35.85546875" style="1" bestFit="1" customWidth="1"/>
    <col min="1965" max="1965" width="33.85546875" style="1" bestFit="1" customWidth="1"/>
    <col min="1966" max="1966" width="9.5703125" style="1" bestFit="1" customWidth="1"/>
    <col min="1967" max="1967" width="35.85546875" style="1" bestFit="1" customWidth="1"/>
    <col min="1968" max="1968" width="33.85546875" style="1" bestFit="1" customWidth="1"/>
    <col min="1969" max="1969" width="9.5703125" style="1" bestFit="1" customWidth="1"/>
    <col min="1970" max="1970" width="35.85546875" style="1" bestFit="1" customWidth="1"/>
    <col min="1971" max="1971" width="33.85546875" style="1" bestFit="1" customWidth="1"/>
    <col min="1972" max="1972" width="9.5703125" style="1" bestFit="1" customWidth="1"/>
    <col min="1973" max="1973" width="35.85546875" style="1" bestFit="1" customWidth="1"/>
    <col min="1974" max="1974" width="33.85546875" style="1" bestFit="1" customWidth="1"/>
    <col min="1975" max="1975" width="9.5703125" style="1" bestFit="1" customWidth="1"/>
    <col min="1976" max="1976" width="35.85546875" style="1" bestFit="1" customWidth="1"/>
    <col min="1977" max="1977" width="33.85546875" style="1" bestFit="1" customWidth="1"/>
    <col min="1978" max="1978" width="9.5703125" style="1" bestFit="1" customWidth="1"/>
    <col min="1979" max="1979" width="35.85546875" style="1" bestFit="1" customWidth="1"/>
    <col min="1980" max="1980" width="33.85546875" style="1" bestFit="1" customWidth="1"/>
    <col min="1981" max="1981" width="9.5703125" style="1" bestFit="1" customWidth="1"/>
    <col min="1982" max="1982" width="35.85546875" style="1" bestFit="1" customWidth="1"/>
    <col min="1983" max="1983" width="33.85546875" style="1" bestFit="1" customWidth="1"/>
    <col min="1984" max="1984" width="9.5703125" style="1" bestFit="1" customWidth="1"/>
    <col min="1985" max="1985" width="35.85546875" style="1" bestFit="1" customWidth="1"/>
    <col min="1986" max="1986" width="33.85546875" style="1" bestFit="1" customWidth="1"/>
    <col min="1987" max="1987" width="9.5703125" style="1" bestFit="1" customWidth="1"/>
    <col min="1988" max="1988" width="35.85546875" style="1" bestFit="1" customWidth="1"/>
    <col min="1989" max="1989" width="33.85546875" style="1" bestFit="1" customWidth="1"/>
    <col min="1990" max="1990" width="9.5703125" style="1" bestFit="1" customWidth="1"/>
    <col min="1991" max="1991" width="35.85546875" style="1" bestFit="1" customWidth="1"/>
    <col min="1992" max="1992" width="33.85546875" style="1" bestFit="1" customWidth="1"/>
    <col min="1993" max="1993" width="9.5703125" style="1" bestFit="1" customWidth="1"/>
    <col min="1994" max="1994" width="35.85546875" style="1" bestFit="1" customWidth="1"/>
    <col min="1995" max="1995" width="33.85546875" style="1" bestFit="1" customWidth="1"/>
    <col min="1996" max="1996" width="9.5703125" style="1" bestFit="1" customWidth="1"/>
    <col min="1997" max="1997" width="35.85546875" style="1" bestFit="1" customWidth="1"/>
    <col min="1998" max="1998" width="33.85546875" style="1" bestFit="1" customWidth="1"/>
    <col min="1999" max="1999" width="9.5703125" style="1" bestFit="1" customWidth="1"/>
    <col min="2000" max="2000" width="35.85546875" style="1" bestFit="1" customWidth="1"/>
    <col min="2001" max="2001" width="33.85546875" style="1" bestFit="1" customWidth="1"/>
    <col min="2002" max="2002" width="9.5703125" style="1" bestFit="1" customWidth="1"/>
    <col min="2003" max="2003" width="35.85546875" style="1" bestFit="1" customWidth="1"/>
    <col min="2004" max="2004" width="33.85546875" style="1" bestFit="1" customWidth="1"/>
    <col min="2005" max="2005" width="9.5703125" style="1" bestFit="1" customWidth="1"/>
    <col min="2006" max="2006" width="35.85546875" style="1" bestFit="1" customWidth="1"/>
    <col min="2007" max="2007" width="33.85546875" style="1" bestFit="1" customWidth="1"/>
    <col min="2008" max="2008" width="9.5703125" style="1" bestFit="1" customWidth="1"/>
    <col min="2009" max="2009" width="35.85546875" style="1" bestFit="1" customWidth="1"/>
    <col min="2010" max="2010" width="33.85546875" style="1" bestFit="1" customWidth="1"/>
    <col min="2011" max="2011" width="9.5703125" style="1" bestFit="1" customWidth="1"/>
    <col min="2012" max="2012" width="35.85546875" style="1" bestFit="1" customWidth="1"/>
    <col min="2013" max="2013" width="33.85546875" style="1" bestFit="1" customWidth="1"/>
    <col min="2014" max="2014" width="9.5703125" style="1" bestFit="1" customWidth="1"/>
    <col min="2015" max="2015" width="35.85546875" style="1" bestFit="1" customWidth="1"/>
    <col min="2016" max="2016" width="33.85546875" style="1" bestFit="1" customWidth="1"/>
    <col min="2017" max="2017" width="9.5703125" style="1" bestFit="1" customWidth="1"/>
    <col min="2018" max="2018" width="35.85546875" style="1" bestFit="1" customWidth="1"/>
    <col min="2019" max="2019" width="33.85546875" style="1" bestFit="1" customWidth="1"/>
    <col min="2020" max="2020" width="9.5703125" style="1" bestFit="1" customWidth="1"/>
    <col min="2021" max="2021" width="35.85546875" style="1" bestFit="1" customWidth="1"/>
    <col min="2022" max="2022" width="33.85546875" style="1" bestFit="1" customWidth="1"/>
    <col min="2023" max="2023" width="9.5703125" style="1" bestFit="1" customWidth="1"/>
    <col min="2024" max="2024" width="35.85546875" style="1" bestFit="1" customWidth="1"/>
    <col min="2025" max="2025" width="33.85546875" style="1" bestFit="1" customWidth="1"/>
    <col min="2026" max="2026" width="9.5703125" style="1" bestFit="1" customWidth="1"/>
    <col min="2027" max="2027" width="35.85546875" style="1" bestFit="1" customWidth="1"/>
    <col min="2028" max="2028" width="33.85546875" style="1" bestFit="1" customWidth="1"/>
    <col min="2029" max="2029" width="9.5703125" style="1" bestFit="1" customWidth="1"/>
    <col min="2030" max="2030" width="35.85546875" style="1" bestFit="1" customWidth="1"/>
    <col min="2031" max="2031" width="33.85546875" style="1" bestFit="1" customWidth="1"/>
    <col min="2032" max="2032" width="9.5703125" style="1" bestFit="1" customWidth="1"/>
    <col min="2033" max="2033" width="35.85546875" style="1" bestFit="1" customWidth="1"/>
    <col min="2034" max="2034" width="33.85546875" style="1" bestFit="1" customWidth="1"/>
    <col min="2035" max="2035" width="9.5703125" style="1" bestFit="1" customWidth="1"/>
    <col min="2036" max="2036" width="35.85546875" style="1" bestFit="1" customWidth="1"/>
    <col min="2037" max="2037" width="33.85546875" style="1" bestFit="1" customWidth="1"/>
    <col min="2038" max="2038" width="9.5703125" style="1" bestFit="1" customWidth="1"/>
    <col min="2039" max="2039" width="35.85546875" style="1" bestFit="1" customWidth="1"/>
    <col min="2040" max="2040" width="33.85546875" style="1" bestFit="1" customWidth="1"/>
    <col min="2041" max="2041" width="9.5703125" style="1" bestFit="1" customWidth="1"/>
    <col min="2042" max="2042" width="35.85546875" style="1" bestFit="1" customWidth="1"/>
    <col min="2043" max="2043" width="33.85546875" style="1" bestFit="1" customWidth="1"/>
    <col min="2044" max="2044" width="9.5703125" style="1" bestFit="1" customWidth="1"/>
    <col min="2045" max="2045" width="35.85546875" style="1" bestFit="1" customWidth="1"/>
    <col min="2046" max="2046" width="33.85546875" style="1" bestFit="1" customWidth="1"/>
    <col min="2047" max="2047" width="9.5703125" style="1" bestFit="1" customWidth="1"/>
    <col min="2048" max="2048" width="35.85546875" style="1" bestFit="1" customWidth="1"/>
    <col min="2049" max="2049" width="33.85546875" style="1" bestFit="1" customWidth="1"/>
    <col min="2050" max="2050" width="9.5703125" style="1" bestFit="1" customWidth="1"/>
    <col min="2051" max="2051" width="35.85546875" style="1" bestFit="1" customWidth="1"/>
    <col min="2052" max="2052" width="33.85546875" style="1" bestFit="1" customWidth="1"/>
    <col min="2053" max="2053" width="9.5703125" style="1" bestFit="1" customWidth="1"/>
    <col min="2054" max="2054" width="35.85546875" style="1" bestFit="1" customWidth="1"/>
    <col min="2055" max="2055" width="33.85546875" style="1" bestFit="1" customWidth="1"/>
    <col min="2056" max="2056" width="9.5703125" style="1" bestFit="1" customWidth="1"/>
    <col min="2057" max="2057" width="35.85546875" style="1" bestFit="1" customWidth="1"/>
    <col min="2058" max="2058" width="33.85546875" style="1" bestFit="1" customWidth="1"/>
    <col min="2059" max="2059" width="9.5703125" style="1" bestFit="1" customWidth="1"/>
    <col min="2060" max="2060" width="35.85546875" style="1" bestFit="1" customWidth="1"/>
    <col min="2061" max="2061" width="33.85546875" style="1" bestFit="1" customWidth="1"/>
    <col min="2062" max="2062" width="9.5703125" style="1" bestFit="1" customWidth="1"/>
    <col min="2063" max="2063" width="35.85546875" style="1" bestFit="1" customWidth="1"/>
    <col min="2064" max="2064" width="33.85546875" style="1" bestFit="1" customWidth="1"/>
    <col min="2065" max="2065" width="9.5703125" style="1" bestFit="1" customWidth="1"/>
    <col min="2066" max="2066" width="35.85546875" style="1" bestFit="1" customWidth="1"/>
    <col min="2067" max="2067" width="33.85546875" style="1" bestFit="1" customWidth="1"/>
    <col min="2068" max="2068" width="9.5703125" style="1" bestFit="1" customWidth="1"/>
    <col min="2069" max="2069" width="35.85546875" style="1" bestFit="1" customWidth="1"/>
    <col min="2070" max="2070" width="33.85546875" style="1" bestFit="1" customWidth="1"/>
    <col min="2071" max="2071" width="9.5703125" style="1" bestFit="1" customWidth="1"/>
    <col min="2072" max="2134" width="22.140625" style="1"/>
    <col min="2135" max="2135" width="40.42578125" style="1" customWidth="1"/>
    <col min="2136" max="2136" width="25.42578125" style="1" bestFit="1" customWidth="1"/>
    <col min="2137" max="2137" width="23.85546875" style="1" bestFit="1" customWidth="1"/>
    <col min="2138" max="2138" width="41.85546875" style="1" customWidth="1"/>
    <col min="2139" max="2139" width="26.42578125" style="1" bestFit="1" customWidth="1"/>
    <col min="2140" max="2141" width="16.42578125" style="1" customWidth="1"/>
    <col min="2142" max="2142" width="19.42578125" style="1" customWidth="1"/>
    <col min="2143" max="2143" width="16" style="1" customWidth="1"/>
    <col min="2144" max="2144" width="16.5703125" style="1" customWidth="1"/>
    <col min="2145" max="2145" width="7.5703125" style="1" bestFit="1" customWidth="1"/>
    <col min="2146" max="2146" width="16.5703125" style="1" customWidth="1"/>
    <col min="2147" max="2147" width="17.140625" style="1" customWidth="1"/>
    <col min="2148" max="2171" width="0" style="1" hidden="1" customWidth="1"/>
    <col min="2172" max="2172" width="35.85546875" style="1" bestFit="1" customWidth="1"/>
    <col min="2173" max="2173" width="33.85546875" style="1" bestFit="1" customWidth="1"/>
    <col min="2174" max="2174" width="9.5703125" style="1" bestFit="1" customWidth="1"/>
    <col min="2175" max="2175" width="35.85546875" style="1" bestFit="1" customWidth="1"/>
    <col min="2176" max="2176" width="33.85546875" style="1" bestFit="1" customWidth="1"/>
    <col min="2177" max="2177" width="9.5703125" style="1" bestFit="1" customWidth="1"/>
    <col min="2178" max="2178" width="35.85546875" style="1" bestFit="1" customWidth="1"/>
    <col min="2179" max="2179" width="33.85546875" style="1" bestFit="1" customWidth="1"/>
    <col min="2180" max="2180" width="9.5703125" style="1" bestFit="1" customWidth="1"/>
    <col min="2181" max="2181" width="35.85546875" style="1" bestFit="1" customWidth="1"/>
    <col min="2182" max="2182" width="33.85546875" style="1" bestFit="1" customWidth="1"/>
    <col min="2183" max="2183" width="9.5703125" style="1" bestFit="1" customWidth="1"/>
    <col min="2184" max="2184" width="35.85546875" style="1" bestFit="1" customWidth="1"/>
    <col min="2185" max="2185" width="33.85546875" style="1" bestFit="1" customWidth="1"/>
    <col min="2186" max="2186" width="9.5703125" style="1" bestFit="1" customWidth="1"/>
    <col min="2187" max="2187" width="35.85546875" style="1" bestFit="1" customWidth="1"/>
    <col min="2188" max="2188" width="33.85546875" style="1" bestFit="1" customWidth="1"/>
    <col min="2189" max="2189" width="9.5703125" style="1" bestFit="1" customWidth="1"/>
    <col min="2190" max="2190" width="35.85546875" style="1" bestFit="1" customWidth="1"/>
    <col min="2191" max="2191" width="33.85546875" style="1" bestFit="1" customWidth="1"/>
    <col min="2192" max="2192" width="9.5703125" style="1" bestFit="1" customWidth="1"/>
    <col min="2193" max="2193" width="35.85546875" style="1" bestFit="1" customWidth="1"/>
    <col min="2194" max="2194" width="33.85546875" style="1" bestFit="1" customWidth="1"/>
    <col min="2195" max="2195" width="9.5703125" style="1" bestFit="1" customWidth="1"/>
    <col min="2196" max="2196" width="35.85546875" style="1" bestFit="1" customWidth="1"/>
    <col min="2197" max="2197" width="33.85546875" style="1" bestFit="1" customWidth="1"/>
    <col min="2198" max="2198" width="9.5703125" style="1" bestFit="1" customWidth="1"/>
    <col min="2199" max="2199" width="35.85546875" style="1" bestFit="1" customWidth="1"/>
    <col min="2200" max="2200" width="33.85546875" style="1" bestFit="1" customWidth="1"/>
    <col min="2201" max="2201" width="9.5703125" style="1" bestFit="1" customWidth="1"/>
    <col min="2202" max="2202" width="35.85546875" style="1" bestFit="1" customWidth="1"/>
    <col min="2203" max="2203" width="33.85546875" style="1" bestFit="1" customWidth="1"/>
    <col min="2204" max="2204" width="9.5703125" style="1" bestFit="1" customWidth="1"/>
    <col min="2205" max="2205" width="35.85546875" style="1" bestFit="1" customWidth="1"/>
    <col min="2206" max="2206" width="33.85546875" style="1" bestFit="1" customWidth="1"/>
    <col min="2207" max="2207" width="9.5703125" style="1" bestFit="1" customWidth="1"/>
    <col min="2208" max="2208" width="35.85546875" style="1" bestFit="1" customWidth="1"/>
    <col min="2209" max="2209" width="33.85546875" style="1" bestFit="1" customWidth="1"/>
    <col min="2210" max="2210" width="9.5703125" style="1" bestFit="1" customWidth="1"/>
    <col min="2211" max="2211" width="35.85546875" style="1" bestFit="1" customWidth="1"/>
    <col min="2212" max="2212" width="33.85546875" style="1" bestFit="1" customWidth="1"/>
    <col min="2213" max="2213" width="9.5703125" style="1" bestFit="1" customWidth="1"/>
    <col min="2214" max="2214" width="35.85546875" style="1" bestFit="1" customWidth="1"/>
    <col min="2215" max="2215" width="33.85546875" style="1" bestFit="1" customWidth="1"/>
    <col min="2216" max="2216" width="9.5703125" style="1" bestFit="1" customWidth="1"/>
    <col min="2217" max="2217" width="35.85546875" style="1" bestFit="1" customWidth="1"/>
    <col min="2218" max="2218" width="33.85546875" style="1" bestFit="1" customWidth="1"/>
    <col min="2219" max="2219" width="9.5703125" style="1" bestFit="1" customWidth="1"/>
    <col min="2220" max="2220" width="35.85546875" style="1" bestFit="1" customWidth="1"/>
    <col min="2221" max="2221" width="33.85546875" style="1" bestFit="1" customWidth="1"/>
    <col min="2222" max="2222" width="9.5703125" style="1" bestFit="1" customWidth="1"/>
    <col min="2223" max="2223" width="35.85546875" style="1" bestFit="1" customWidth="1"/>
    <col min="2224" max="2224" width="33.85546875" style="1" bestFit="1" customWidth="1"/>
    <col min="2225" max="2225" width="9.5703125" style="1" bestFit="1" customWidth="1"/>
    <col min="2226" max="2226" width="35.85546875" style="1" bestFit="1" customWidth="1"/>
    <col min="2227" max="2227" width="33.85546875" style="1" bestFit="1" customWidth="1"/>
    <col min="2228" max="2228" width="9.5703125" style="1" bestFit="1" customWidth="1"/>
    <col min="2229" max="2229" width="35.85546875" style="1" bestFit="1" customWidth="1"/>
    <col min="2230" max="2230" width="33.85546875" style="1" bestFit="1" customWidth="1"/>
    <col min="2231" max="2231" width="9.5703125" style="1" bestFit="1" customWidth="1"/>
    <col min="2232" max="2232" width="35.85546875" style="1" bestFit="1" customWidth="1"/>
    <col min="2233" max="2233" width="33.85546875" style="1" bestFit="1" customWidth="1"/>
    <col min="2234" max="2234" width="9.5703125" style="1" bestFit="1" customWidth="1"/>
    <col min="2235" max="2235" width="35.85546875" style="1" bestFit="1" customWidth="1"/>
    <col min="2236" max="2236" width="33.85546875" style="1" bestFit="1" customWidth="1"/>
    <col min="2237" max="2237" width="9.5703125" style="1" bestFit="1" customWidth="1"/>
    <col min="2238" max="2238" width="35.85546875" style="1" bestFit="1" customWidth="1"/>
    <col min="2239" max="2239" width="33.85546875" style="1" bestFit="1" customWidth="1"/>
    <col min="2240" max="2240" width="9.5703125" style="1" bestFit="1" customWidth="1"/>
    <col min="2241" max="2241" width="35.85546875" style="1" bestFit="1" customWidth="1"/>
    <col min="2242" max="2242" width="33.85546875" style="1" bestFit="1" customWidth="1"/>
    <col min="2243" max="2243" width="9.5703125" style="1" bestFit="1" customWidth="1"/>
    <col min="2244" max="2244" width="35.85546875" style="1" bestFit="1" customWidth="1"/>
    <col min="2245" max="2245" width="33.85546875" style="1" bestFit="1" customWidth="1"/>
    <col min="2246" max="2246" width="9.5703125" style="1" bestFit="1" customWidth="1"/>
    <col min="2247" max="2247" width="35.85546875" style="1" bestFit="1" customWidth="1"/>
    <col min="2248" max="2248" width="33.85546875" style="1" bestFit="1" customWidth="1"/>
    <col min="2249" max="2249" width="9.5703125" style="1" bestFit="1" customWidth="1"/>
    <col min="2250" max="2250" width="35.85546875" style="1" bestFit="1" customWidth="1"/>
    <col min="2251" max="2251" width="33.85546875" style="1" bestFit="1" customWidth="1"/>
    <col min="2252" max="2252" width="9.5703125" style="1" bestFit="1" customWidth="1"/>
    <col min="2253" max="2253" width="35.85546875" style="1" bestFit="1" customWidth="1"/>
    <col min="2254" max="2254" width="33.85546875" style="1" bestFit="1" customWidth="1"/>
    <col min="2255" max="2255" width="9.5703125" style="1" bestFit="1" customWidth="1"/>
    <col min="2256" max="2256" width="35.85546875" style="1" bestFit="1" customWidth="1"/>
    <col min="2257" max="2257" width="33.85546875" style="1" bestFit="1" customWidth="1"/>
    <col min="2258" max="2258" width="9.5703125" style="1" bestFit="1" customWidth="1"/>
    <col min="2259" max="2259" width="35.85546875" style="1" bestFit="1" customWidth="1"/>
    <col min="2260" max="2260" width="33.85546875" style="1" bestFit="1" customWidth="1"/>
    <col min="2261" max="2261" width="9.5703125" style="1" bestFit="1" customWidth="1"/>
    <col min="2262" max="2262" width="35.85546875" style="1" bestFit="1" customWidth="1"/>
    <col min="2263" max="2263" width="33.85546875" style="1" bestFit="1" customWidth="1"/>
    <col min="2264" max="2264" width="9.5703125" style="1" bestFit="1" customWidth="1"/>
    <col min="2265" max="2265" width="35.85546875" style="1" bestFit="1" customWidth="1"/>
    <col min="2266" max="2266" width="33.85546875" style="1" bestFit="1" customWidth="1"/>
    <col min="2267" max="2267" width="9.5703125" style="1" bestFit="1" customWidth="1"/>
    <col min="2268" max="2268" width="35.85546875" style="1" bestFit="1" customWidth="1"/>
    <col min="2269" max="2269" width="33.85546875" style="1" bestFit="1" customWidth="1"/>
    <col min="2270" max="2270" width="9.5703125" style="1" bestFit="1" customWidth="1"/>
    <col min="2271" max="2271" width="35.85546875" style="1" bestFit="1" customWidth="1"/>
    <col min="2272" max="2272" width="33.85546875" style="1" bestFit="1" customWidth="1"/>
    <col min="2273" max="2273" width="9.5703125" style="1" bestFit="1" customWidth="1"/>
    <col min="2274" max="2274" width="35.85546875" style="1" bestFit="1" customWidth="1"/>
    <col min="2275" max="2275" width="33.85546875" style="1" bestFit="1" customWidth="1"/>
    <col min="2276" max="2276" width="9.5703125" style="1" bestFit="1" customWidth="1"/>
    <col min="2277" max="2277" width="35.85546875" style="1" bestFit="1" customWidth="1"/>
    <col min="2278" max="2278" width="33.85546875" style="1" bestFit="1" customWidth="1"/>
    <col min="2279" max="2279" width="9.5703125" style="1" bestFit="1" customWidth="1"/>
    <col min="2280" max="2280" width="35.85546875" style="1" bestFit="1" customWidth="1"/>
    <col min="2281" max="2281" width="33.85546875" style="1" bestFit="1" customWidth="1"/>
    <col min="2282" max="2282" width="9.5703125" style="1" bestFit="1" customWidth="1"/>
    <col min="2283" max="2283" width="35.85546875" style="1" bestFit="1" customWidth="1"/>
    <col min="2284" max="2284" width="33.85546875" style="1" bestFit="1" customWidth="1"/>
    <col min="2285" max="2285" width="9.5703125" style="1" bestFit="1" customWidth="1"/>
    <col min="2286" max="2286" width="35.85546875" style="1" bestFit="1" customWidth="1"/>
    <col min="2287" max="2287" width="33.85546875" style="1" bestFit="1" customWidth="1"/>
    <col min="2288" max="2288" width="9.5703125" style="1" bestFit="1" customWidth="1"/>
    <col min="2289" max="2289" width="35.85546875" style="1" bestFit="1" customWidth="1"/>
    <col min="2290" max="2290" width="33.85546875" style="1" bestFit="1" customWidth="1"/>
    <col min="2291" max="2291" width="9.5703125" style="1" bestFit="1" customWidth="1"/>
    <col min="2292" max="2292" width="35.85546875" style="1" bestFit="1" customWidth="1"/>
    <col min="2293" max="2293" width="33.85546875" style="1" bestFit="1" customWidth="1"/>
    <col min="2294" max="2294" width="9.5703125" style="1" bestFit="1" customWidth="1"/>
    <col min="2295" max="2295" width="35.85546875" style="1" bestFit="1" customWidth="1"/>
    <col min="2296" max="2296" width="33.85546875" style="1" bestFit="1" customWidth="1"/>
    <col min="2297" max="2297" width="9.5703125" style="1" bestFit="1" customWidth="1"/>
    <col min="2298" max="2298" width="35.85546875" style="1" bestFit="1" customWidth="1"/>
    <col min="2299" max="2299" width="33.85546875" style="1" bestFit="1" customWidth="1"/>
    <col min="2300" max="2300" width="9.5703125" style="1" bestFit="1" customWidth="1"/>
    <col min="2301" max="2301" width="35.85546875" style="1" bestFit="1" customWidth="1"/>
    <col min="2302" max="2302" width="33.85546875" style="1" bestFit="1" customWidth="1"/>
    <col min="2303" max="2303" width="9.5703125" style="1" bestFit="1" customWidth="1"/>
    <col min="2304" max="2304" width="35.85546875" style="1" bestFit="1" customWidth="1"/>
    <col min="2305" max="2305" width="33.85546875" style="1" bestFit="1" customWidth="1"/>
    <col min="2306" max="2306" width="9.5703125" style="1" bestFit="1" customWidth="1"/>
    <col min="2307" max="2307" width="35.85546875" style="1" bestFit="1" customWidth="1"/>
    <col min="2308" max="2308" width="33.85546875" style="1" bestFit="1" customWidth="1"/>
    <col min="2309" max="2309" width="9.5703125" style="1" bestFit="1" customWidth="1"/>
    <col min="2310" max="2310" width="35.85546875" style="1" bestFit="1" customWidth="1"/>
    <col min="2311" max="2311" width="33.85546875" style="1" bestFit="1" customWidth="1"/>
    <col min="2312" max="2312" width="9.5703125" style="1" bestFit="1" customWidth="1"/>
    <col min="2313" max="2313" width="35.85546875" style="1" bestFit="1" customWidth="1"/>
    <col min="2314" max="2314" width="33.85546875" style="1" bestFit="1" customWidth="1"/>
    <col min="2315" max="2315" width="9.5703125" style="1" bestFit="1" customWidth="1"/>
    <col min="2316" max="2316" width="35.85546875" style="1" bestFit="1" customWidth="1"/>
    <col min="2317" max="2317" width="33.85546875" style="1" bestFit="1" customWidth="1"/>
    <col min="2318" max="2318" width="9.5703125" style="1" bestFit="1" customWidth="1"/>
    <col min="2319" max="2319" width="35.85546875" style="1" bestFit="1" customWidth="1"/>
    <col min="2320" max="2320" width="33.85546875" style="1" bestFit="1" customWidth="1"/>
    <col min="2321" max="2321" width="9.5703125" style="1" bestFit="1" customWidth="1"/>
    <col min="2322" max="2322" width="35.85546875" style="1" bestFit="1" customWidth="1"/>
    <col min="2323" max="2323" width="33.85546875" style="1" bestFit="1" customWidth="1"/>
    <col min="2324" max="2324" width="9.5703125" style="1" bestFit="1" customWidth="1"/>
    <col min="2325" max="2325" width="35.85546875" style="1" bestFit="1" customWidth="1"/>
    <col min="2326" max="2326" width="33.85546875" style="1" bestFit="1" customWidth="1"/>
    <col min="2327" max="2327" width="9.5703125" style="1" bestFit="1" customWidth="1"/>
    <col min="2328" max="2390" width="22.140625" style="1"/>
    <col min="2391" max="2391" width="40.42578125" style="1" customWidth="1"/>
    <col min="2392" max="2392" width="25.42578125" style="1" bestFit="1" customWidth="1"/>
    <col min="2393" max="2393" width="23.85546875" style="1" bestFit="1" customWidth="1"/>
    <col min="2394" max="2394" width="41.85546875" style="1" customWidth="1"/>
    <col min="2395" max="2395" width="26.42578125" style="1" bestFit="1" customWidth="1"/>
    <col min="2396" max="2397" width="16.42578125" style="1" customWidth="1"/>
    <col min="2398" max="2398" width="19.42578125" style="1" customWidth="1"/>
    <col min="2399" max="2399" width="16" style="1" customWidth="1"/>
    <col min="2400" max="2400" width="16.5703125" style="1" customWidth="1"/>
    <col min="2401" max="2401" width="7.5703125" style="1" bestFit="1" customWidth="1"/>
    <col min="2402" max="2402" width="16.5703125" style="1" customWidth="1"/>
    <col min="2403" max="2403" width="17.140625" style="1" customWidth="1"/>
    <col min="2404" max="2427" width="0" style="1" hidden="1" customWidth="1"/>
    <col min="2428" max="2428" width="35.85546875" style="1" bestFit="1" customWidth="1"/>
    <col min="2429" max="2429" width="33.85546875" style="1" bestFit="1" customWidth="1"/>
    <col min="2430" max="2430" width="9.5703125" style="1" bestFit="1" customWidth="1"/>
    <col min="2431" max="2431" width="35.85546875" style="1" bestFit="1" customWidth="1"/>
    <col min="2432" max="2432" width="33.85546875" style="1" bestFit="1" customWidth="1"/>
    <col min="2433" max="2433" width="9.5703125" style="1" bestFit="1" customWidth="1"/>
    <col min="2434" max="2434" width="35.85546875" style="1" bestFit="1" customWidth="1"/>
    <col min="2435" max="2435" width="33.85546875" style="1" bestFit="1" customWidth="1"/>
    <col min="2436" max="2436" width="9.5703125" style="1" bestFit="1" customWidth="1"/>
    <col min="2437" max="2437" width="35.85546875" style="1" bestFit="1" customWidth="1"/>
    <col min="2438" max="2438" width="33.85546875" style="1" bestFit="1" customWidth="1"/>
    <col min="2439" max="2439" width="9.5703125" style="1" bestFit="1" customWidth="1"/>
    <col min="2440" max="2440" width="35.85546875" style="1" bestFit="1" customWidth="1"/>
    <col min="2441" max="2441" width="33.85546875" style="1" bestFit="1" customWidth="1"/>
    <col min="2442" max="2442" width="9.5703125" style="1" bestFit="1" customWidth="1"/>
    <col min="2443" max="2443" width="35.85546875" style="1" bestFit="1" customWidth="1"/>
    <col min="2444" max="2444" width="33.85546875" style="1" bestFit="1" customWidth="1"/>
    <col min="2445" max="2445" width="9.5703125" style="1" bestFit="1" customWidth="1"/>
    <col min="2446" max="2446" width="35.85546875" style="1" bestFit="1" customWidth="1"/>
    <col min="2447" max="2447" width="33.85546875" style="1" bestFit="1" customWidth="1"/>
    <col min="2448" max="2448" width="9.5703125" style="1" bestFit="1" customWidth="1"/>
    <col min="2449" max="2449" width="35.85546875" style="1" bestFit="1" customWidth="1"/>
    <col min="2450" max="2450" width="33.85546875" style="1" bestFit="1" customWidth="1"/>
    <col min="2451" max="2451" width="9.5703125" style="1" bestFit="1" customWidth="1"/>
    <col min="2452" max="2452" width="35.85546875" style="1" bestFit="1" customWidth="1"/>
    <col min="2453" max="2453" width="33.85546875" style="1" bestFit="1" customWidth="1"/>
    <col min="2454" max="2454" width="9.5703125" style="1" bestFit="1" customWidth="1"/>
    <col min="2455" max="2455" width="35.85546875" style="1" bestFit="1" customWidth="1"/>
    <col min="2456" max="2456" width="33.85546875" style="1" bestFit="1" customWidth="1"/>
    <col min="2457" max="2457" width="9.5703125" style="1" bestFit="1" customWidth="1"/>
    <col min="2458" max="2458" width="35.85546875" style="1" bestFit="1" customWidth="1"/>
    <col min="2459" max="2459" width="33.85546875" style="1" bestFit="1" customWidth="1"/>
    <col min="2460" max="2460" width="9.5703125" style="1" bestFit="1" customWidth="1"/>
    <col min="2461" max="2461" width="35.85546875" style="1" bestFit="1" customWidth="1"/>
    <col min="2462" max="2462" width="33.85546875" style="1" bestFit="1" customWidth="1"/>
    <col min="2463" max="2463" width="9.5703125" style="1" bestFit="1" customWidth="1"/>
    <col min="2464" max="2464" width="35.85546875" style="1" bestFit="1" customWidth="1"/>
    <col min="2465" max="2465" width="33.85546875" style="1" bestFit="1" customWidth="1"/>
    <col min="2466" max="2466" width="9.5703125" style="1" bestFit="1" customWidth="1"/>
    <col min="2467" max="2467" width="35.85546875" style="1" bestFit="1" customWidth="1"/>
    <col min="2468" max="2468" width="33.85546875" style="1" bestFit="1" customWidth="1"/>
    <col min="2469" max="2469" width="9.5703125" style="1" bestFit="1" customWidth="1"/>
    <col min="2470" max="2470" width="35.85546875" style="1" bestFit="1" customWidth="1"/>
    <col min="2471" max="2471" width="33.85546875" style="1" bestFit="1" customWidth="1"/>
    <col min="2472" max="2472" width="9.5703125" style="1" bestFit="1" customWidth="1"/>
    <col min="2473" max="2473" width="35.85546875" style="1" bestFit="1" customWidth="1"/>
    <col min="2474" max="2474" width="33.85546875" style="1" bestFit="1" customWidth="1"/>
    <col min="2475" max="2475" width="9.5703125" style="1" bestFit="1" customWidth="1"/>
    <col min="2476" max="2476" width="35.85546875" style="1" bestFit="1" customWidth="1"/>
    <col min="2477" max="2477" width="33.85546875" style="1" bestFit="1" customWidth="1"/>
    <col min="2478" max="2478" width="9.5703125" style="1" bestFit="1" customWidth="1"/>
    <col min="2479" max="2479" width="35.85546875" style="1" bestFit="1" customWidth="1"/>
    <col min="2480" max="2480" width="33.85546875" style="1" bestFit="1" customWidth="1"/>
    <col min="2481" max="2481" width="9.5703125" style="1" bestFit="1" customWidth="1"/>
    <col min="2482" max="2482" width="35.85546875" style="1" bestFit="1" customWidth="1"/>
    <col min="2483" max="2483" width="33.85546875" style="1" bestFit="1" customWidth="1"/>
    <col min="2484" max="2484" width="9.5703125" style="1" bestFit="1" customWidth="1"/>
    <col min="2485" max="2485" width="35.85546875" style="1" bestFit="1" customWidth="1"/>
    <col min="2486" max="2486" width="33.85546875" style="1" bestFit="1" customWidth="1"/>
    <col min="2487" max="2487" width="9.5703125" style="1" bestFit="1" customWidth="1"/>
    <col min="2488" max="2488" width="35.85546875" style="1" bestFit="1" customWidth="1"/>
    <col min="2489" max="2489" width="33.85546875" style="1" bestFit="1" customWidth="1"/>
    <col min="2490" max="2490" width="9.5703125" style="1" bestFit="1" customWidth="1"/>
    <col min="2491" max="2491" width="35.85546875" style="1" bestFit="1" customWidth="1"/>
    <col min="2492" max="2492" width="33.85546875" style="1" bestFit="1" customWidth="1"/>
    <col min="2493" max="2493" width="9.5703125" style="1" bestFit="1" customWidth="1"/>
    <col min="2494" max="2494" width="35.85546875" style="1" bestFit="1" customWidth="1"/>
    <col min="2495" max="2495" width="33.85546875" style="1" bestFit="1" customWidth="1"/>
    <col min="2496" max="2496" width="9.5703125" style="1" bestFit="1" customWidth="1"/>
    <col min="2497" max="2497" width="35.85546875" style="1" bestFit="1" customWidth="1"/>
    <col min="2498" max="2498" width="33.85546875" style="1" bestFit="1" customWidth="1"/>
    <col min="2499" max="2499" width="9.5703125" style="1" bestFit="1" customWidth="1"/>
    <col min="2500" max="2500" width="35.85546875" style="1" bestFit="1" customWidth="1"/>
    <col min="2501" max="2501" width="33.85546875" style="1" bestFit="1" customWidth="1"/>
    <col min="2502" max="2502" width="9.5703125" style="1" bestFit="1" customWidth="1"/>
    <col min="2503" max="2503" width="35.85546875" style="1" bestFit="1" customWidth="1"/>
    <col min="2504" max="2504" width="33.85546875" style="1" bestFit="1" customWidth="1"/>
    <col min="2505" max="2505" width="9.5703125" style="1" bestFit="1" customWidth="1"/>
    <col min="2506" max="2506" width="35.85546875" style="1" bestFit="1" customWidth="1"/>
    <col min="2507" max="2507" width="33.85546875" style="1" bestFit="1" customWidth="1"/>
    <col min="2508" max="2508" width="9.5703125" style="1" bestFit="1" customWidth="1"/>
    <col min="2509" max="2509" width="35.85546875" style="1" bestFit="1" customWidth="1"/>
    <col min="2510" max="2510" width="33.85546875" style="1" bestFit="1" customWidth="1"/>
    <col min="2511" max="2511" width="9.5703125" style="1" bestFit="1" customWidth="1"/>
    <col min="2512" max="2512" width="35.85546875" style="1" bestFit="1" customWidth="1"/>
    <col min="2513" max="2513" width="33.85546875" style="1" bestFit="1" customWidth="1"/>
    <col min="2514" max="2514" width="9.5703125" style="1" bestFit="1" customWidth="1"/>
    <col min="2515" max="2515" width="35.85546875" style="1" bestFit="1" customWidth="1"/>
    <col min="2516" max="2516" width="33.85546875" style="1" bestFit="1" customWidth="1"/>
    <col min="2517" max="2517" width="9.5703125" style="1" bestFit="1" customWidth="1"/>
    <col min="2518" max="2518" width="35.85546875" style="1" bestFit="1" customWidth="1"/>
    <col min="2519" max="2519" width="33.85546875" style="1" bestFit="1" customWidth="1"/>
    <col min="2520" max="2520" width="9.5703125" style="1" bestFit="1" customWidth="1"/>
    <col min="2521" max="2521" width="35.85546875" style="1" bestFit="1" customWidth="1"/>
    <col min="2522" max="2522" width="33.85546875" style="1" bestFit="1" customWidth="1"/>
    <col min="2523" max="2523" width="9.5703125" style="1" bestFit="1" customWidth="1"/>
    <col min="2524" max="2524" width="35.85546875" style="1" bestFit="1" customWidth="1"/>
    <col min="2525" max="2525" width="33.85546875" style="1" bestFit="1" customWidth="1"/>
    <col min="2526" max="2526" width="9.5703125" style="1" bestFit="1" customWidth="1"/>
    <col min="2527" max="2527" width="35.85546875" style="1" bestFit="1" customWidth="1"/>
    <col min="2528" max="2528" width="33.85546875" style="1" bestFit="1" customWidth="1"/>
    <col min="2529" max="2529" width="9.5703125" style="1" bestFit="1" customWidth="1"/>
    <col min="2530" max="2530" width="35.85546875" style="1" bestFit="1" customWidth="1"/>
    <col min="2531" max="2531" width="33.85546875" style="1" bestFit="1" customWidth="1"/>
    <col min="2532" max="2532" width="9.5703125" style="1" bestFit="1" customWidth="1"/>
    <col min="2533" max="2533" width="35.85546875" style="1" bestFit="1" customWidth="1"/>
    <col min="2534" max="2534" width="33.85546875" style="1" bestFit="1" customWidth="1"/>
    <col min="2535" max="2535" width="9.5703125" style="1" bestFit="1" customWidth="1"/>
    <col min="2536" max="2536" width="35.85546875" style="1" bestFit="1" customWidth="1"/>
    <col min="2537" max="2537" width="33.85546875" style="1" bestFit="1" customWidth="1"/>
    <col min="2538" max="2538" width="9.5703125" style="1" bestFit="1" customWidth="1"/>
    <col min="2539" max="2539" width="35.85546875" style="1" bestFit="1" customWidth="1"/>
    <col min="2540" max="2540" width="33.85546875" style="1" bestFit="1" customWidth="1"/>
    <col min="2541" max="2541" width="9.5703125" style="1" bestFit="1" customWidth="1"/>
    <col min="2542" max="2542" width="35.85546875" style="1" bestFit="1" customWidth="1"/>
    <col min="2543" max="2543" width="33.85546875" style="1" bestFit="1" customWidth="1"/>
    <col min="2544" max="2544" width="9.5703125" style="1" bestFit="1" customWidth="1"/>
    <col min="2545" max="2545" width="35.85546875" style="1" bestFit="1" customWidth="1"/>
    <col min="2546" max="2546" width="33.85546875" style="1" bestFit="1" customWidth="1"/>
    <col min="2547" max="2547" width="9.5703125" style="1" bestFit="1" customWidth="1"/>
    <col min="2548" max="2548" width="35.85546875" style="1" bestFit="1" customWidth="1"/>
    <col min="2549" max="2549" width="33.85546875" style="1" bestFit="1" customWidth="1"/>
    <col min="2550" max="2550" width="9.5703125" style="1" bestFit="1" customWidth="1"/>
    <col min="2551" max="2551" width="35.85546875" style="1" bestFit="1" customWidth="1"/>
    <col min="2552" max="2552" width="33.85546875" style="1" bestFit="1" customWidth="1"/>
    <col min="2553" max="2553" width="9.5703125" style="1" bestFit="1" customWidth="1"/>
    <col min="2554" max="2554" width="35.85546875" style="1" bestFit="1" customWidth="1"/>
    <col min="2555" max="2555" width="33.85546875" style="1" bestFit="1" customWidth="1"/>
    <col min="2556" max="2556" width="9.5703125" style="1" bestFit="1" customWidth="1"/>
    <col min="2557" max="2557" width="35.85546875" style="1" bestFit="1" customWidth="1"/>
    <col min="2558" max="2558" width="33.85546875" style="1" bestFit="1" customWidth="1"/>
    <col min="2559" max="2559" width="9.5703125" style="1" bestFit="1" customWidth="1"/>
    <col min="2560" max="2560" width="35.85546875" style="1" bestFit="1" customWidth="1"/>
    <col min="2561" max="2561" width="33.85546875" style="1" bestFit="1" customWidth="1"/>
    <col min="2562" max="2562" width="9.5703125" style="1" bestFit="1" customWidth="1"/>
    <col min="2563" max="2563" width="35.85546875" style="1" bestFit="1" customWidth="1"/>
    <col min="2564" max="2564" width="33.85546875" style="1" bestFit="1" customWidth="1"/>
    <col min="2565" max="2565" width="9.5703125" style="1" bestFit="1" customWidth="1"/>
    <col min="2566" max="2566" width="35.85546875" style="1" bestFit="1" customWidth="1"/>
    <col min="2567" max="2567" width="33.85546875" style="1" bestFit="1" customWidth="1"/>
    <col min="2568" max="2568" width="9.5703125" style="1" bestFit="1" customWidth="1"/>
    <col min="2569" max="2569" width="35.85546875" style="1" bestFit="1" customWidth="1"/>
    <col min="2570" max="2570" width="33.85546875" style="1" bestFit="1" customWidth="1"/>
    <col min="2571" max="2571" width="9.5703125" style="1" bestFit="1" customWidth="1"/>
    <col min="2572" max="2572" width="35.85546875" style="1" bestFit="1" customWidth="1"/>
    <col min="2573" max="2573" width="33.85546875" style="1" bestFit="1" customWidth="1"/>
    <col min="2574" max="2574" width="9.5703125" style="1" bestFit="1" customWidth="1"/>
    <col min="2575" max="2575" width="35.85546875" style="1" bestFit="1" customWidth="1"/>
    <col min="2576" max="2576" width="33.85546875" style="1" bestFit="1" customWidth="1"/>
    <col min="2577" max="2577" width="9.5703125" style="1" bestFit="1" customWidth="1"/>
    <col min="2578" max="2578" width="35.85546875" style="1" bestFit="1" customWidth="1"/>
    <col min="2579" max="2579" width="33.85546875" style="1" bestFit="1" customWidth="1"/>
    <col min="2580" max="2580" width="9.5703125" style="1" bestFit="1" customWidth="1"/>
    <col min="2581" max="2581" width="35.85546875" style="1" bestFit="1" customWidth="1"/>
    <col min="2582" max="2582" width="33.85546875" style="1" bestFit="1" customWidth="1"/>
    <col min="2583" max="2583" width="9.5703125" style="1" bestFit="1" customWidth="1"/>
    <col min="2584" max="2646" width="22.140625" style="1"/>
    <col min="2647" max="2647" width="40.42578125" style="1" customWidth="1"/>
    <col min="2648" max="2648" width="25.42578125" style="1" bestFit="1" customWidth="1"/>
    <col min="2649" max="2649" width="23.85546875" style="1" bestFit="1" customWidth="1"/>
    <col min="2650" max="2650" width="41.85546875" style="1" customWidth="1"/>
    <col min="2651" max="2651" width="26.42578125" style="1" bestFit="1" customWidth="1"/>
    <col min="2652" max="2653" width="16.42578125" style="1" customWidth="1"/>
    <col min="2654" max="2654" width="19.42578125" style="1" customWidth="1"/>
    <col min="2655" max="2655" width="16" style="1" customWidth="1"/>
    <col min="2656" max="2656" width="16.5703125" style="1" customWidth="1"/>
    <col min="2657" max="2657" width="7.5703125" style="1" bestFit="1" customWidth="1"/>
    <col min="2658" max="2658" width="16.5703125" style="1" customWidth="1"/>
    <col min="2659" max="2659" width="17.140625" style="1" customWidth="1"/>
    <col min="2660" max="2683" width="0" style="1" hidden="1" customWidth="1"/>
    <col min="2684" max="2684" width="35.85546875" style="1" bestFit="1" customWidth="1"/>
    <col min="2685" max="2685" width="33.85546875" style="1" bestFit="1" customWidth="1"/>
    <col min="2686" max="2686" width="9.5703125" style="1" bestFit="1" customWidth="1"/>
    <col min="2687" max="2687" width="35.85546875" style="1" bestFit="1" customWidth="1"/>
    <col min="2688" max="2688" width="33.85546875" style="1" bestFit="1" customWidth="1"/>
    <col min="2689" max="2689" width="9.5703125" style="1" bestFit="1" customWidth="1"/>
    <col min="2690" max="2690" width="35.85546875" style="1" bestFit="1" customWidth="1"/>
    <col min="2691" max="2691" width="33.85546875" style="1" bestFit="1" customWidth="1"/>
    <col min="2692" max="2692" width="9.5703125" style="1" bestFit="1" customWidth="1"/>
    <col min="2693" max="2693" width="35.85546875" style="1" bestFit="1" customWidth="1"/>
    <col min="2694" max="2694" width="33.85546875" style="1" bestFit="1" customWidth="1"/>
    <col min="2695" max="2695" width="9.5703125" style="1" bestFit="1" customWidth="1"/>
    <col min="2696" max="2696" width="35.85546875" style="1" bestFit="1" customWidth="1"/>
    <col min="2697" max="2697" width="33.85546875" style="1" bestFit="1" customWidth="1"/>
    <col min="2698" max="2698" width="9.5703125" style="1" bestFit="1" customWidth="1"/>
    <col min="2699" max="2699" width="35.85546875" style="1" bestFit="1" customWidth="1"/>
    <col min="2700" max="2700" width="33.85546875" style="1" bestFit="1" customWidth="1"/>
    <col min="2701" max="2701" width="9.5703125" style="1" bestFit="1" customWidth="1"/>
    <col min="2702" max="2702" width="35.85546875" style="1" bestFit="1" customWidth="1"/>
    <col min="2703" max="2703" width="33.85546875" style="1" bestFit="1" customWidth="1"/>
    <col min="2704" max="2704" width="9.5703125" style="1" bestFit="1" customWidth="1"/>
    <col min="2705" max="2705" width="35.85546875" style="1" bestFit="1" customWidth="1"/>
    <col min="2706" max="2706" width="33.85546875" style="1" bestFit="1" customWidth="1"/>
    <col min="2707" max="2707" width="9.5703125" style="1" bestFit="1" customWidth="1"/>
    <col min="2708" max="2708" width="35.85546875" style="1" bestFit="1" customWidth="1"/>
    <col min="2709" max="2709" width="33.85546875" style="1" bestFit="1" customWidth="1"/>
    <col min="2710" max="2710" width="9.5703125" style="1" bestFit="1" customWidth="1"/>
    <col min="2711" max="2711" width="35.85546875" style="1" bestFit="1" customWidth="1"/>
    <col min="2712" max="2712" width="33.85546875" style="1" bestFit="1" customWidth="1"/>
    <col min="2713" max="2713" width="9.5703125" style="1" bestFit="1" customWidth="1"/>
    <col min="2714" max="2714" width="35.85546875" style="1" bestFit="1" customWidth="1"/>
    <col min="2715" max="2715" width="33.85546875" style="1" bestFit="1" customWidth="1"/>
    <col min="2716" max="2716" width="9.5703125" style="1" bestFit="1" customWidth="1"/>
    <col min="2717" max="2717" width="35.85546875" style="1" bestFit="1" customWidth="1"/>
    <col min="2718" max="2718" width="33.85546875" style="1" bestFit="1" customWidth="1"/>
    <col min="2719" max="2719" width="9.5703125" style="1" bestFit="1" customWidth="1"/>
    <col min="2720" max="2720" width="35.85546875" style="1" bestFit="1" customWidth="1"/>
    <col min="2721" max="2721" width="33.85546875" style="1" bestFit="1" customWidth="1"/>
    <col min="2722" max="2722" width="9.5703125" style="1" bestFit="1" customWidth="1"/>
    <col min="2723" max="2723" width="35.85546875" style="1" bestFit="1" customWidth="1"/>
    <col min="2724" max="2724" width="33.85546875" style="1" bestFit="1" customWidth="1"/>
    <col min="2725" max="2725" width="9.5703125" style="1" bestFit="1" customWidth="1"/>
    <col min="2726" max="2726" width="35.85546875" style="1" bestFit="1" customWidth="1"/>
    <col min="2727" max="2727" width="33.85546875" style="1" bestFit="1" customWidth="1"/>
    <col min="2728" max="2728" width="9.5703125" style="1" bestFit="1" customWidth="1"/>
    <col min="2729" max="2729" width="35.85546875" style="1" bestFit="1" customWidth="1"/>
    <col min="2730" max="2730" width="33.85546875" style="1" bestFit="1" customWidth="1"/>
    <col min="2731" max="2731" width="9.5703125" style="1" bestFit="1" customWidth="1"/>
    <col min="2732" max="2732" width="35.85546875" style="1" bestFit="1" customWidth="1"/>
    <col min="2733" max="2733" width="33.85546875" style="1" bestFit="1" customWidth="1"/>
    <col min="2734" max="2734" width="9.5703125" style="1" bestFit="1" customWidth="1"/>
    <col min="2735" max="2735" width="35.85546875" style="1" bestFit="1" customWidth="1"/>
    <col min="2736" max="2736" width="33.85546875" style="1" bestFit="1" customWidth="1"/>
    <col min="2737" max="2737" width="9.5703125" style="1" bestFit="1" customWidth="1"/>
    <col min="2738" max="2738" width="35.85546875" style="1" bestFit="1" customWidth="1"/>
    <col min="2739" max="2739" width="33.85546875" style="1" bestFit="1" customWidth="1"/>
    <col min="2740" max="2740" width="9.5703125" style="1" bestFit="1" customWidth="1"/>
    <col min="2741" max="2741" width="35.85546875" style="1" bestFit="1" customWidth="1"/>
    <col min="2742" max="2742" width="33.85546875" style="1" bestFit="1" customWidth="1"/>
    <col min="2743" max="2743" width="9.5703125" style="1" bestFit="1" customWidth="1"/>
    <col min="2744" max="2744" width="35.85546875" style="1" bestFit="1" customWidth="1"/>
    <col min="2745" max="2745" width="33.85546875" style="1" bestFit="1" customWidth="1"/>
    <col min="2746" max="2746" width="9.5703125" style="1" bestFit="1" customWidth="1"/>
    <col min="2747" max="2747" width="35.85546875" style="1" bestFit="1" customWidth="1"/>
    <col min="2748" max="2748" width="33.85546875" style="1" bestFit="1" customWidth="1"/>
    <col min="2749" max="2749" width="9.5703125" style="1" bestFit="1" customWidth="1"/>
    <col min="2750" max="2750" width="35.85546875" style="1" bestFit="1" customWidth="1"/>
    <col min="2751" max="2751" width="33.85546875" style="1" bestFit="1" customWidth="1"/>
    <col min="2752" max="2752" width="9.5703125" style="1" bestFit="1" customWidth="1"/>
    <col min="2753" max="2753" width="35.85546875" style="1" bestFit="1" customWidth="1"/>
    <col min="2754" max="2754" width="33.85546875" style="1" bestFit="1" customWidth="1"/>
    <col min="2755" max="2755" width="9.5703125" style="1" bestFit="1" customWidth="1"/>
    <col min="2756" max="2756" width="35.85546875" style="1" bestFit="1" customWidth="1"/>
    <col min="2757" max="2757" width="33.85546875" style="1" bestFit="1" customWidth="1"/>
    <col min="2758" max="2758" width="9.5703125" style="1" bestFit="1" customWidth="1"/>
    <col min="2759" max="2759" width="35.85546875" style="1" bestFit="1" customWidth="1"/>
    <col min="2760" max="2760" width="33.85546875" style="1" bestFit="1" customWidth="1"/>
    <col min="2761" max="2761" width="9.5703125" style="1" bestFit="1" customWidth="1"/>
    <col min="2762" max="2762" width="35.85546875" style="1" bestFit="1" customWidth="1"/>
    <col min="2763" max="2763" width="33.85546875" style="1" bestFit="1" customWidth="1"/>
    <col min="2764" max="2764" width="9.5703125" style="1" bestFit="1" customWidth="1"/>
    <col min="2765" max="2765" width="35.85546875" style="1" bestFit="1" customWidth="1"/>
    <col min="2766" max="2766" width="33.85546875" style="1" bestFit="1" customWidth="1"/>
    <col min="2767" max="2767" width="9.5703125" style="1" bestFit="1" customWidth="1"/>
    <col min="2768" max="2768" width="35.85546875" style="1" bestFit="1" customWidth="1"/>
    <col min="2769" max="2769" width="33.85546875" style="1" bestFit="1" customWidth="1"/>
    <col min="2770" max="2770" width="9.5703125" style="1" bestFit="1" customWidth="1"/>
    <col min="2771" max="2771" width="35.85546875" style="1" bestFit="1" customWidth="1"/>
    <col min="2772" max="2772" width="33.85546875" style="1" bestFit="1" customWidth="1"/>
    <col min="2773" max="2773" width="9.5703125" style="1" bestFit="1" customWidth="1"/>
    <col min="2774" max="2774" width="35.85546875" style="1" bestFit="1" customWidth="1"/>
    <col min="2775" max="2775" width="33.85546875" style="1" bestFit="1" customWidth="1"/>
    <col min="2776" max="2776" width="9.5703125" style="1" bestFit="1" customWidth="1"/>
    <col min="2777" max="2777" width="35.85546875" style="1" bestFit="1" customWidth="1"/>
    <col min="2778" max="2778" width="33.85546875" style="1" bestFit="1" customWidth="1"/>
    <col min="2779" max="2779" width="9.5703125" style="1" bestFit="1" customWidth="1"/>
    <col min="2780" max="2780" width="35.85546875" style="1" bestFit="1" customWidth="1"/>
    <col min="2781" max="2781" width="33.85546875" style="1" bestFit="1" customWidth="1"/>
    <col min="2782" max="2782" width="9.5703125" style="1" bestFit="1" customWidth="1"/>
    <col min="2783" max="2783" width="35.85546875" style="1" bestFit="1" customWidth="1"/>
    <col min="2784" max="2784" width="33.85546875" style="1" bestFit="1" customWidth="1"/>
    <col min="2785" max="2785" width="9.5703125" style="1" bestFit="1" customWidth="1"/>
    <col min="2786" max="2786" width="35.85546875" style="1" bestFit="1" customWidth="1"/>
    <col min="2787" max="2787" width="33.85546875" style="1" bestFit="1" customWidth="1"/>
    <col min="2788" max="2788" width="9.5703125" style="1" bestFit="1" customWidth="1"/>
    <col min="2789" max="2789" width="35.85546875" style="1" bestFit="1" customWidth="1"/>
    <col min="2790" max="2790" width="33.85546875" style="1" bestFit="1" customWidth="1"/>
    <col min="2791" max="2791" width="9.5703125" style="1" bestFit="1" customWidth="1"/>
    <col min="2792" max="2792" width="35.85546875" style="1" bestFit="1" customWidth="1"/>
    <col min="2793" max="2793" width="33.85546875" style="1" bestFit="1" customWidth="1"/>
    <col min="2794" max="2794" width="9.5703125" style="1" bestFit="1" customWidth="1"/>
    <col min="2795" max="2795" width="35.85546875" style="1" bestFit="1" customWidth="1"/>
    <col min="2796" max="2796" width="33.85546875" style="1" bestFit="1" customWidth="1"/>
    <col min="2797" max="2797" width="9.5703125" style="1" bestFit="1" customWidth="1"/>
    <col min="2798" max="2798" width="35.85546875" style="1" bestFit="1" customWidth="1"/>
    <col min="2799" max="2799" width="33.85546875" style="1" bestFit="1" customWidth="1"/>
    <col min="2800" max="2800" width="9.5703125" style="1" bestFit="1" customWidth="1"/>
    <col min="2801" max="2801" width="35.85546875" style="1" bestFit="1" customWidth="1"/>
    <col min="2802" max="2802" width="33.85546875" style="1" bestFit="1" customWidth="1"/>
    <col min="2803" max="2803" width="9.5703125" style="1" bestFit="1" customWidth="1"/>
    <col min="2804" max="2804" width="35.85546875" style="1" bestFit="1" customWidth="1"/>
    <col min="2805" max="2805" width="33.85546875" style="1" bestFit="1" customWidth="1"/>
    <col min="2806" max="2806" width="9.5703125" style="1" bestFit="1" customWidth="1"/>
    <col min="2807" max="2807" width="35.85546875" style="1" bestFit="1" customWidth="1"/>
    <col min="2808" max="2808" width="33.85546875" style="1" bestFit="1" customWidth="1"/>
    <col min="2809" max="2809" width="9.5703125" style="1" bestFit="1" customWidth="1"/>
    <col min="2810" max="2810" width="35.85546875" style="1" bestFit="1" customWidth="1"/>
    <col min="2811" max="2811" width="33.85546875" style="1" bestFit="1" customWidth="1"/>
    <col min="2812" max="2812" width="9.5703125" style="1" bestFit="1" customWidth="1"/>
    <col min="2813" max="2813" width="35.85546875" style="1" bestFit="1" customWidth="1"/>
    <col min="2814" max="2814" width="33.85546875" style="1" bestFit="1" customWidth="1"/>
    <col min="2815" max="2815" width="9.5703125" style="1" bestFit="1" customWidth="1"/>
    <col min="2816" max="2816" width="35.85546875" style="1" bestFit="1" customWidth="1"/>
    <col min="2817" max="2817" width="33.85546875" style="1" bestFit="1" customWidth="1"/>
    <col min="2818" max="2818" width="9.5703125" style="1" bestFit="1" customWidth="1"/>
    <col min="2819" max="2819" width="35.85546875" style="1" bestFit="1" customWidth="1"/>
    <col min="2820" max="2820" width="33.85546875" style="1" bestFit="1" customWidth="1"/>
    <col min="2821" max="2821" width="9.5703125" style="1" bestFit="1" customWidth="1"/>
    <col min="2822" max="2822" width="35.85546875" style="1" bestFit="1" customWidth="1"/>
    <col min="2823" max="2823" width="33.85546875" style="1" bestFit="1" customWidth="1"/>
    <col min="2824" max="2824" width="9.5703125" style="1" bestFit="1" customWidth="1"/>
    <col min="2825" max="2825" width="35.85546875" style="1" bestFit="1" customWidth="1"/>
    <col min="2826" max="2826" width="33.85546875" style="1" bestFit="1" customWidth="1"/>
    <col min="2827" max="2827" width="9.5703125" style="1" bestFit="1" customWidth="1"/>
    <col min="2828" max="2828" width="35.85546875" style="1" bestFit="1" customWidth="1"/>
    <col min="2829" max="2829" width="33.85546875" style="1" bestFit="1" customWidth="1"/>
    <col min="2830" max="2830" width="9.5703125" style="1" bestFit="1" customWidth="1"/>
    <col min="2831" max="2831" width="35.85546875" style="1" bestFit="1" customWidth="1"/>
    <col min="2832" max="2832" width="33.85546875" style="1" bestFit="1" customWidth="1"/>
    <col min="2833" max="2833" width="9.5703125" style="1" bestFit="1" customWidth="1"/>
    <col min="2834" max="2834" width="35.85546875" style="1" bestFit="1" customWidth="1"/>
    <col min="2835" max="2835" width="33.85546875" style="1" bestFit="1" customWidth="1"/>
    <col min="2836" max="2836" width="9.5703125" style="1" bestFit="1" customWidth="1"/>
    <col min="2837" max="2837" width="35.85546875" style="1" bestFit="1" customWidth="1"/>
    <col min="2838" max="2838" width="33.85546875" style="1" bestFit="1" customWidth="1"/>
    <col min="2839" max="2839" width="9.5703125" style="1" bestFit="1" customWidth="1"/>
    <col min="2840" max="2902" width="22.140625" style="1"/>
    <col min="2903" max="2903" width="40.42578125" style="1" customWidth="1"/>
    <col min="2904" max="2904" width="25.42578125" style="1" bestFit="1" customWidth="1"/>
    <col min="2905" max="2905" width="23.85546875" style="1" bestFit="1" customWidth="1"/>
    <col min="2906" max="2906" width="41.85546875" style="1" customWidth="1"/>
    <col min="2907" max="2907" width="26.42578125" style="1" bestFit="1" customWidth="1"/>
    <col min="2908" max="2909" width="16.42578125" style="1" customWidth="1"/>
    <col min="2910" max="2910" width="19.42578125" style="1" customWidth="1"/>
    <col min="2911" max="2911" width="16" style="1" customWidth="1"/>
    <col min="2912" max="2912" width="16.5703125" style="1" customWidth="1"/>
    <col min="2913" max="2913" width="7.5703125" style="1" bestFit="1" customWidth="1"/>
    <col min="2914" max="2914" width="16.5703125" style="1" customWidth="1"/>
    <col min="2915" max="2915" width="17.140625" style="1" customWidth="1"/>
    <col min="2916" max="2939" width="0" style="1" hidden="1" customWidth="1"/>
    <col min="2940" max="2940" width="35.85546875" style="1" bestFit="1" customWidth="1"/>
    <col min="2941" max="2941" width="33.85546875" style="1" bestFit="1" customWidth="1"/>
    <col min="2942" max="2942" width="9.5703125" style="1" bestFit="1" customWidth="1"/>
    <col min="2943" max="2943" width="35.85546875" style="1" bestFit="1" customWidth="1"/>
    <col min="2944" max="2944" width="33.85546875" style="1" bestFit="1" customWidth="1"/>
    <col min="2945" max="2945" width="9.5703125" style="1" bestFit="1" customWidth="1"/>
    <col min="2946" max="2946" width="35.85546875" style="1" bestFit="1" customWidth="1"/>
    <col min="2947" max="2947" width="33.85546875" style="1" bestFit="1" customWidth="1"/>
    <col min="2948" max="2948" width="9.5703125" style="1" bestFit="1" customWidth="1"/>
    <col min="2949" max="2949" width="35.85546875" style="1" bestFit="1" customWidth="1"/>
    <col min="2950" max="2950" width="33.85546875" style="1" bestFit="1" customWidth="1"/>
    <col min="2951" max="2951" width="9.5703125" style="1" bestFit="1" customWidth="1"/>
    <col min="2952" max="2952" width="35.85546875" style="1" bestFit="1" customWidth="1"/>
    <col min="2953" max="2953" width="33.85546875" style="1" bestFit="1" customWidth="1"/>
    <col min="2954" max="2954" width="9.5703125" style="1" bestFit="1" customWidth="1"/>
    <col min="2955" max="2955" width="35.85546875" style="1" bestFit="1" customWidth="1"/>
    <col min="2956" max="2956" width="33.85546875" style="1" bestFit="1" customWidth="1"/>
    <col min="2957" max="2957" width="9.5703125" style="1" bestFit="1" customWidth="1"/>
    <col min="2958" max="2958" width="35.85546875" style="1" bestFit="1" customWidth="1"/>
    <col min="2959" max="2959" width="33.85546875" style="1" bestFit="1" customWidth="1"/>
    <col min="2960" max="2960" width="9.5703125" style="1" bestFit="1" customWidth="1"/>
    <col min="2961" max="2961" width="35.85546875" style="1" bestFit="1" customWidth="1"/>
    <col min="2962" max="2962" width="33.85546875" style="1" bestFit="1" customWidth="1"/>
    <col min="2963" max="2963" width="9.5703125" style="1" bestFit="1" customWidth="1"/>
    <col min="2964" max="2964" width="35.85546875" style="1" bestFit="1" customWidth="1"/>
    <col min="2965" max="2965" width="33.85546875" style="1" bestFit="1" customWidth="1"/>
    <col min="2966" max="2966" width="9.5703125" style="1" bestFit="1" customWidth="1"/>
    <col min="2967" max="2967" width="35.85546875" style="1" bestFit="1" customWidth="1"/>
    <col min="2968" max="2968" width="33.85546875" style="1" bestFit="1" customWidth="1"/>
    <col min="2969" max="2969" width="9.5703125" style="1" bestFit="1" customWidth="1"/>
    <col min="2970" max="2970" width="35.85546875" style="1" bestFit="1" customWidth="1"/>
    <col min="2971" max="2971" width="33.85546875" style="1" bestFit="1" customWidth="1"/>
    <col min="2972" max="2972" width="9.5703125" style="1" bestFit="1" customWidth="1"/>
    <col min="2973" max="2973" width="35.85546875" style="1" bestFit="1" customWidth="1"/>
    <col min="2974" max="2974" width="33.85546875" style="1" bestFit="1" customWidth="1"/>
    <col min="2975" max="2975" width="9.5703125" style="1" bestFit="1" customWidth="1"/>
    <col min="2976" max="2976" width="35.85546875" style="1" bestFit="1" customWidth="1"/>
    <col min="2977" max="2977" width="33.85546875" style="1" bestFit="1" customWidth="1"/>
    <col min="2978" max="2978" width="9.5703125" style="1" bestFit="1" customWidth="1"/>
    <col min="2979" max="2979" width="35.85546875" style="1" bestFit="1" customWidth="1"/>
    <col min="2980" max="2980" width="33.85546875" style="1" bestFit="1" customWidth="1"/>
    <col min="2981" max="2981" width="9.5703125" style="1" bestFit="1" customWidth="1"/>
    <col min="2982" max="2982" width="35.85546875" style="1" bestFit="1" customWidth="1"/>
    <col min="2983" max="2983" width="33.85546875" style="1" bestFit="1" customWidth="1"/>
    <col min="2984" max="2984" width="9.5703125" style="1" bestFit="1" customWidth="1"/>
    <col min="2985" max="2985" width="35.85546875" style="1" bestFit="1" customWidth="1"/>
    <col min="2986" max="2986" width="33.85546875" style="1" bestFit="1" customWidth="1"/>
    <col min="2987" max="2987" width="9.5703125" style="1" bestFit="1" customWidth="1"/>
    <col min="2988" max="2988" width="35.85546875" style="1" bestFit="1" customWidth="1"/>
    <col min="2989" max="2989" width="33.85546875" style="1" bestFit="1" customWidth="1"/>
    <col min="2990" max="2990" width="9.5703125" style="1" bestFit="1" customWidth="1"/>
    <col min="2991" max="2991" width="35.85546875" style="1" bestFit="1" customWidth="1"/>
    <col min="2992" max="2992" width="33.85546875" style="1" bestFit="1" customWidth="1"/>
    <col min="2993" max="2993" width="9.5703125" style="1" bestFit="1" customWidth="1"/>
    <col min="2994" max="2994" width="35.85546875" style="1" bestFit="1" customWidth="1"/>
    <col min="2995" max="2995" width="33.85546875" style="1" bestFit="1" customWidth="1"/>
    <col min="2996" max="2996" width="9.5703125" style="1" bestFit="1" customWidth="1"/>
    <col min="2997" max="2997" width="35.85546875" style="1" bestFit="1" customWidth="1"/>
    <col min="2998" max="2998" width="33.85546875" style="1" bestFit="1" customWidth="1"/>
    <col min="2999" max="2999" width="9.5703125" style="1" bestFit="1" customWidth="1"/>
    <col min="3000" max="3000" width="35.85546875" style="1" bestFit="1" customWidth="1"/>
    <col min="3001" max="3001" width="33.85546875" style="1" bestFit="1" customWidth="1"/>
    <col min="3002" max="3002" width="9.5703125" style="1" bestFit="1" customWidth="1"/>
    <col min="3003" max="3003" width="35.85546875" style="1" bestFit="1" customWidth="1"/>
    <col min="3004" max="3004" width="33.85546875" style="1" bestFit="1" customWidth="1"/>
    <col min="3005" max="3005" width="9.5703125" style="1" bestFit="1" customWidth="1"/>
    <col min="3006" max="3006" width="35.85546875" style="1" bestFit="1" customWidth="1"/>
    <col min="3007" max="3007" width="33.85546875" style="1" bestFit="1" customWidth="1"/>
    <col min="3008" max="3008" width="9.5703125" style="1" bestFit="1" customWidth="1"/>
    <col min="3009" max="3009" width="35.85546875" style="1" bestFit="1" customWidth="1"/>
    <col min="3010" max="3010" width="33.85546875" style="1" bestFit="1" customWidth="1"/>
    <col min="3011" max="3011" width="9.5703125" style="1" bestFit="1" customWidth="1"/>
    <col min="3012" max="3012" width="35.85546875" style="1" bestFit="1" customWidth="1"/>
    <col min="3013" max="3013" width="33.85546875" style="1" bestFit="1" customWidth="1"/>
    <col min="3014" max="3014" width="9.5703125" style="1" bestFit="1" customWidth="1"/>
    <col min="3015" max="3015" width="35.85546875" style="1" bestFit="1" customWidth="1"/>
    <col min="3016" max="3016" width="33.85546875" style="1" bestFit="1" customWidth="1"/>
    <col min="3017" max="3017" width="9.5703125" style="1" bestFit="1" customWidth="1"/>
    <col min="3018" max="3018" width="35.85546875" style="1" bestFit="1" customWidth="1"/>
    <col min="3019" max="3019" width="33.85546875" style="1" bestFit="1" customWidth="1"/>
    <col min="3020" max="3020" width="9.5703125" style="1" bestFit="1" customWidth="1"/>
    <col min="3021" max="3021" width="35.85546875" style="1" bestFit="1" customWidth="1"/>
    <col min="3022" max="3022" width="33.85546875" style="1" bestFit="1" customWidth="1"/>
    <col min="3023" max="3023" width="9.5703125" style="1" bestFit="1" customWidth="1"/>
    <col min="3024" max="3024" width="35.85546875" style="1" bestFit="1" customWidth="1"/>
    <col min="3025" max="3025" width="33.85546875" style="1" bestFit="1" customWidth="1"/>
    <col min="3026" max="3026" width="9.5703125" style="1" bestFit="1" customWidth="1"/>
    <col min="3027" max="3027" width="35.85546875" style="1" bestFit="1" customWidth="1"/>
    <col min="3028" max="3028" width="33.85546875" style="1" bestFit="1" customWidth="1"/>
    <col min="3029" max="3029" width="9.5703125" style="1" bestFit="1" customWidth="1"/>
    <col min="3030" max="3030" width="35.85546875" style="1" bestFit="1" customWidth="1"/>
    <col min="3031" max="3031" width="33.85546875" style="1" bestFit="1" customWidth="1"/>
    <col min="3032" max="3032" width="9.5703125" style="1" bestFit="1" customWidth="1"/>
    <col min="3033" max="3033" width="35.85546875" style="1" bestFit="1" customWidth="1"/>
    <col min="3034" max="3034" width="33.85546875" style="1" bestFit="1" customWidth="1"/>
    <col min="3035" max="3035" width="9.5703125" style="1" bestFit="1" customWidth="1"/>
    <col min="3036" max="3036" width="35.85546875" style="1" bestFit="1" customWidth="1"/>
    <col min="3037" max="3037" width="33.85546875" style="1" bestFit="1" customWidth="1"/>
    <col min="3038" max="3038" width="9.5703125" style="1" bestFit="1" customWidth="1"/>
    <col min="3039" max="3039" width="35.85546875" style="1" bestFit="1" customWidth="1"/>
    <col min="3040" max="3040" width="33.85546875" style="1" bestFit="1" customWidth="1"/>
    <col min="3041" max="3041" width="9.5703125" style="1" bestFit="1" customWidth="1"/>
    <col min="3042" max="3042" width="35.85546875" style="1" bestFit="1" customWidth="1"/>
    <col min="3043" max="3043" width="33.85546875" style="1" bestFit="1" customWidth="1"/>
    <col min="3044" max="3044" width="9.5703125" style="1" bestFit="1" customWidth="1"/>
    <col min="3045" max="3045" width="35.85546875" style="1" bestFit="1" customWidth="1"/>
    <col min="3046" max="3046" width="33.85546875" style="1" bestFit="1" customWidth="1"/>
    <col min="3047" max="3047" width="9.5703125" style="1" bestFit="1" customWidth="1"/>
    <col min="3048" max="3048" width="35.85546875" style="1" bestFit="1" customWidth="1"/>
    <col min="3049" max="3049" width="33.85546875" style="1" bestFit="1" customWidth="1"/>
    <col min="3050" max="3050" width="9.5703125" style="1" bestFit="1" customWidth="1"/>
    <col min="3051" max="3051" width="35.85546875" style="1" bestFit="1" customWidth="1"/>
    <col min="3052" max="3052" width="33.85546875" style="1" bestFit="1" customWidth="1"/>
    <col min="3053" max="3053" width="9.5703125" style="1" bestFit="1" customWidth="1"/>
    <col min="3054" max="3054" width="35.85546875" style="1" bestFit="1" customWidth="1"/>
    <col min="3055" max="3055" width="33.85546875" style="1" bestFit="1" customWidth="1"/>
    <col min="3056" max="3056" width="9.5703125" style="1" bestFit="1" customWidth="1"/>
    <col min="3057" max="3057" width="35.85546875" style="1" bestFit="1" customWidth="1"/>
    <col min="3058" max="3058" width="33.85546875" style="1" bestFit="1" customWidth="1"/>
    <col min="3059" max="3059" width="9.5703125" style="1" bestFit="1" customWidth="1"/>
    <col min="3060" max="3060" width="35.85546875" style="1" bestFit="1" customWidth="1"/>
    <col min="3061" max="3061" width="33.85546875" style="1" bestFit="1" customWidth="1"/>
    <col min="3062" max="3062" width="9.5703125" style="1" bestFit="1" customWidth="1"/>
    <col min="3063" max="3063" width="35.85546875" style="1" bestFit="1" customWidth="1"/>
    <col min="3064" max="3064" width="33.85546875" style="1" bestFit="1" customWidth="1"/>
    <col min="3065" max="3065" width="9.5703125" style="1" bestFit="1" customWidth="1"/>
    <col min="3066" max="3066" width="35.85546875" style="1" bestFit="1" customWidth="1"/>
    <col min="3067" max="3067" width="33.85546875" style="1" bestFit="1" customWidth="1"/>
    <col min="3068" max="3068" width="9.5703125" style="1" bestFit="1" customWidth="1"/>
    <col min="3069" max="3069" width="35.85546875" style="1" bestFit="1" customWidth="1"/>
    <col min="3070" max="3070" width="33.85546875" style="1" bestFit="1" customWidth="1"/>
    <col min="3071" max="3071" width="9.5703125" style="1" bestFit="1" customWidth="1"/>
    <col min="3072" max="3072" width="35.85546875" style="1" bestFit="1" customWidth="1"/>
    <col min="3073" max="3073" width="33.85546875" style="1" bestFit="1" customWidth="1"/>
    <col min="3074" max="3074" width="9.5703125" style="1" bestFit="1" customWidth="1"/>
    <col min="3075" max="3075" width="35.85546875" style="1" bestFit="1" customWidth="1"/>
    <col min="3076" max="3076" width="33.85546875" style="1" bestFit="1" customWidth="1"/>
    <col min="3077" max="3077" width="9.5703125" style="1" bestFit="1" customWidth="1"/>
    <col min="3078" max="3078" width="35.85546875" style="1" bestFit="1" customWidth="1"/>
    <col min="3079" max="3079" width="33.85546875" style="1" bestFit="1" customWidth="1"/>
    <col min="3080" max="3080" width="9.5703125" style="1" bestFit="1" customWidth="1"/>
    <col min="3081" max="3081" width="35.85546875" style="1" bestFit="1" customWidth="1"/>
    <col min="3082" max="3082" width="33.85546875" style="1" bestFit="1" customWidth="1"/>
    <col min="3083" max="3083" width="9.5703125" style="1" bestFit="1" customWidth="1"/>
    <col min="3084" max="3084" width="35.85546875" style="1" bestFit="1" customWidth="1"/>
    <col min="3085" max="3085" width="33.85546875" style="1" bestFit="1" customWidth="1"/>
    <col min="3086" max="3086" width="9.5703125" style="1" bestFit="1" customWidth="1"/>
    <col min="3087" max="3087" width="35.85546875" style="1" bestFit="1" customWidth="1"/>
    <col min="3088" max="3088" width="33.85546875" style="1" bestFit="1" customWidth="1"/>
    <col min="3089" max="3089" width="9.5703125" style="1" bestFit="1" customWidth="1"/>
    <col min="3090" max="3090" width="35.85546875" style="1" bestFit="1" customWidth="1"/>
    <col min="3091" max="3091" width="33.85546875" style="1" bestFit="1" customWidth="1"/>
    <col min="3092" max="3092" width="9.5703125" style="1" bestFit="1" customWidth="1"/>
    <col min="3093" max="3093" width="35.85546875" style="1" bestFit="1" customWidth="1"/>
    <col min="3094" max="3094" width="33.85546875" style="1" bestFit="1" customWidth="1"/>
    <col min="3095" max="3095" width="9.5703125" style="1" bestFit="1" customWidth="1"/>
    <col min="3096" max="3158" width="22.140625" style="1"/>
    <col min="3159" max="3159" width="40.42578125" style="1" customWidth="1"/>
    <col min="3160" max="3160" width="25.42578125" style="1" bestFit="1" customWidth="1"/>
    <col min="3161" max="3161" width="23.85546875" style="1" bestFit="1" customWidth="1"/>
    <col min="3162" max="3162" width="41.85546875" style="1" customWidth="1"/>
    <col min="3163" max="3163" width="26.42578125" style="1" bestFit="1" customWidth="1"/>
    <col min="3164" max="3165" width="16.42578125" style="1" customWidth="1"/>
    <col min="3166" max="3166" width="19.42578125" style="1" customWidth="1"/>
    <col min="3167" max="3167" width="16" style="1" customWidth="1"/>
    <col min="3168" max="3168" width="16.5703125" style="1" customWidth="1"/>
    <col min="3169" max="3169" width="7.5703125" style="1" bestFit="1" customWidth="1"/>
    <col min="3170" max="3170" width="16.5703125" style="1" customWidth="1"/>
    <col min="3171" max="3171" width="17.140625" style="1" customWidth="1"/>
    <col min="3172" max="3195" width="0" style="1" hidden="1" customWidth="1"/>
    <col min="3196" max="3196" width="35.85546875" style="1" bestFit="1" customWidth="1"/>
    <col min="3197" max="3197" width="33.85546875" style="1" bestFit="1" customWidth="1"/>
    <col min="3198" max="3198" width="9.5703125" style="1" bestFit="1" customWidth="1"/>
    <col min="3199" max="3199" width="35.85546875" style="1" bestFit="1" customWidth="1"/>
    <col min="3200" max="3200" width="33.85546875" style="1" bestFit="1" customWidth="1"/>
    <col min="3201" max="3201" width="9.5703125" style="1" bestFit="1" customWidth="1"/>
    <col min="3202" max="3202" width="35.85546875" style="1" bestFit="1" customWidth="1"/>
    <col min="3203" max="3203" width="33.85546875" style="1" bestFit="1" customWidth="1"/>
    <col min="3204" max="3204" width="9.5703125" style="1" bestFit="1" customWidth="1"/>
    <col min="3205" max="3205" width="35.85546875" style="1" bestFit="1" customWidth="1"/>
    <col min="3206" max="3206" width="33.85546875" style="1" bestFit="1" customWidth="1"/>
    <col min="3207" max="3207" width="9.5703125" style="1" bestFit="1" customWidth="1"/>
    <col min="3208" max="3208" width="35.85546875" style="1" bestFit="1" customWidth="1"/>
    <col min="3209" max="3209" width="33.85546875" style="1" bestFit="1" customWidth="1"/>
    <col min="3210" max="3210" width="9.5703125" style="1" bestFit="1" customWidth="1"/>
    <col min="3211" max="3211" width="35.85546875" style="1" bestFit="1" customWidth="1"/>
    <col min="3212" max="3212" width="33.85546875" style="1" bestFit="1" customWidth="1"/>
    <col min="3213" max="3213" width="9.5703125" style="1" bestFit="1" customWidth="1"/>
    <col min="3214" max="3214" width="35.85546875" style="1" bestFit="1" customWidth="1"/>
    <col min="3215" max="3215" width="33.85546875" style="1" bestFit="1" customWidth="1"/>
    <col min="3216" max="3216" width="9.5703125" style="1" bestFit="1" customWidth="1"/>
    <col min="3217" max="3217" width="35.85546875" style="1" bestFit="1" customWidth="1"/>
    <col min="3218" max="3218" width="33.85546875" style="1" bestFit="1" customWidth="1"/>
    <col min="3219" max="3219" width="9.5703125" style="1" bestFit="1" customWidth="1"/>
    <col min="3220" max="3220" width="35.85546875" style="1" bestFit="1" customWidth="1"/>
    <col min="3221" max="3221" width="33.85546875" style="1" bestFit="1" customWidth="1"/>
    <col min="3222" max="3222" width="9.5703125" style="1" bestFit="1" customWidth="1"/>
    <col min="3223" max="3223" width="35.85546875" style="1" bestFit="1" customWidth="1"/>
    <col min="3224" max="3224" width="33.85546875" style="1" bestFit="1" customWidth="1"/>
    <col min="3225" max="3225" width="9.5703125" style="1" bestFit="1" customWidth="1"/>
    <col min="3226" max="3226" width="35.85546875" style="1" bestFit="1" customWidth="1"/>
    <col min="3227" max="3227" width="33.85546875" style="1" bestFit="1" customWidth="1"/>
    <col min="3228" max="3228" width="9.5703125" style="1" bestFit="1" customWidth="1"/>
    <col min="3229" max="3229" width="35.85546875" style="1" bestFit="1" customWidth="1"/>
    <col min="3230" max="3230" width="33.85546875" style="1" bestFit="1" customWidth="1"/>
    <col min="3231" max="3231" width="9.5703125" style="1" bestFit="1" customWidth="1"/>
    <col min="3232" max="3232" width="35.85546875" style="1" bestFit="1" customWidth="1"/>
    <col min="3233" max="3233" width="33.85546875" style="1" bestFit="1" customWidth="1"/>
    <col min="3234" max="3234" width="9.5703125" style="1" bestFit="1" customWidth="1"/>
    <col min="3235" max="3235" width="35.85546875" style="1" bestFit="1" customWidth="1"/>
    <col min="3236" max="3236" width="33.85546875" style="1" bestFit="1" customWidth="1"/>
    <col min="3237" max="3237" width="9.5703125" style="1" bestFit="1" customWidth="1"/>
    <col min="3238" max="3238" width="35.85546875" style="1" bestFit="1" customWidth="1"/>
    <col min="3239" max="3239" width="33.85546875" style="1" bestFit="1" customWidth="1"/>
    <col min="3240" max="3240" width="9.5703125" style="1" bestFit="1" customWidth="1"/>
    <col min="3241" max="3241" width="35.85546875" style="1" bestFit="1" customWidth="1"/>
    <col min="3242" max="3242" width="33.85546875" style="1" bestFit="1" customWidth="1"/>
    <col min="3243" max="3243" width="9.5703125" style="1" bestFit="1" customWidth="1"/>
    <col min="3244" max="3244" width="35.85546875" style="1" bestFit="1" customWidth="1"/>
    <col min="3245" max="3245" width="33.85546875" style="1" bestFit="1" customWidth="1"/>
    <col min="3246" max="3246" width="9.5703125" style="1" bestFit="1" customWidth="1"/>
    <col min="3247" max="3247" width="35.85546875" style="1" bestFit="1" customWidth="1"/>
    <col min="3248" max="3248" width="33.85546875" style="1" bestFit="1" customWidth="1"/>
    <col min="3249" max="3249" width="9.5703125" style="1" bestFit="1" customWidth="1"/>
    <col min="3250" max="3250" width="35.85546875" style="1" bestFit="1" customWidth="1"/>
    <col min="3251" max="3251" width="33.85546875" style="1" bestFit="1" customWidth="1"/>
    <col min="3252" max="3252" width="9.5703125" style="1" bestFit="1" customWidth="1"/>
    <col min="3253" max="3253" width="35.85546875" style="1" bestFit="1" customWidth="1"/>
    <col min="3254" max="3254" width="33.85546875" style="1" bestFit="1" customWidth="1"/>
    <col min="3255" max="3255" width="9.5703125" style="1" bestFit="1" customWidth="1"/>
    <col min="3256" max="3256" width="35.85546875" style="1" bestFit="1" customWidth="1"/>
    <col min="3257" max="3257" width="33.85546875" style="1" bestFit="1" customWidth="1"/>
    <col min="3258" max="3258" width="9.5703125" style="1" bestFit="1" customWidth="1"/>
    <col min="3259" max="3259" width="35.85546875" style="1" bestFit="1" customWidth="1"/>
    <col min="3260" max="3260" width="33.85546875" style="1" bestFit="1" customWidth="1"/>
    <col min="3261" max="3261" width="9.5703125" style="1" bestFit="1" customWidth="1"/>
    <col min="3262" max="3262" width="35.85546875" style="1" bestFit="1" customWidth="1"/>
    <col min="3263" max="3263" width="33.85546875" style="1" bestFit="1" customWidth="1"/>
    <col min="3264" max="3264" width="9.5703125" style="1" bestFit="1" customWidth="1"/>
    <col min="3265" max="3265" width="35.85546875" style="1" bestFit="1" customWidth="1"/>
    <col min="3266" max="3266" width="33.85546875" style="1" bestFit="1" customWidth="1"/>
    <col min="3267" max="3267" width="9.5703125" style="1" bestFit="1" customWidth="1"/>
    <col min="3268" max="3268" width="35.85546875" style="1" bestFit="1" customWidth="1"/>
    <col min="3269" max="3269" width="33.85546875" style="1" bestFit="1" customWidth="1"/>
    <col min="3270" max="3270" width="9.5703125" style="1" bestFit="1" customWidth="1"/>
    <col min="3271" max="3271" width="35.85546875" style="1" bestFit="1" customWidth="1"/>
    <col min="3272" max="3272" width="33.85546875" style="1" bestFit="1" customWidth="1"/>
    <col min="3273" max="3273" width="9.5703125" style="1" bestFit="1" customWidth="1"/>
    <col min="3274" max="3274" width="35.85546875" style="1" bestFit="1" customWidth="1"/>
    <col min="3275" max="3275" width="33.85546875" style="1" bestFit="1" customWidth="1"/>
    <col min="3276" max="3276" width="9.5703125" style="1" bestFit="1" customWidth="1"/>
    <col min="3277" max="3277" width="35.85546875" style="1" bestFit="1" customWidth="1"/>
    <col min="3278" max="3278" width="33.85546875" style="1" bestFit="1" customWidth="1"/>
    <col min="3279" max="3279" width="9.5703125" style="1" bestFit="1" customWidth="1"/>
    <col min="3280" max="3280" width="35.85546875" style="1" bestFit="1" customWidth="1"/>
    <col min="3281" max="3281" width="33.85546875" style="1" bestFit="1" customWidth="1"/>
    <col min="3282" max="3282" width="9.5703125" style="1" bestFit="1" customWidth="1"/>
    <col min="3283" max="3283" width="35.85546875" style="1" bestFit="1" customWidth="1"/>
    <col min="3284" max="3284" width="33.85546875" style="1" bestFit="1" customWidth="1"/>
    <col min="3285" max="3285" width="9.5703125" style="1" bestFit="1" customWidth="1"/>
    <col min="3286" max="3286" width="35.85546875" style="1" bestFit="1" customWidth="1"/>
    <col min="3287" max="3287" width="33.85546875" style="1" bestFit="1" customWidth="1"/>
    <col min="3288" max="3288" width="9.5703125" style="1" bestFit="1" customWidth="1"/>
    <col min="3289" max="3289" width="35.85546875" style="1" bestFit="1" customWidth="1"/>
    <col min="3290" max="3290" width="33.85546875" style="1" bestFit="1" customWidth="1"/>
    <col min="3291" max="3291" width="9.5703125" style="1" bestFit="1" customWidth="1"/>
    <col min="3292" max="3292" width="35.85546875" style="1" bestFit="1" customWidth="1"/>
    <col min="3293" max="3293" width="33.85546875" style="1" bestFit="1" customWidth="1"/>
    <col min="3294" max="3294" width="9.5703125" style="1" bestFit="1" customWidth="1"/>
    <col min="3295" max="3295" width="35.85546875" style="1" bestFit="1" customWidth="1"/>
    <col min="3296" max="3296" width="33.85546875" style="1" bestFit="1" customWidth="1"/>
    <col min="3297" max="3297" width="9.5703125" style="1" bestFit="1" customWidth="1"/>
    <col min="3298" max="3298" width="35.85546875" style="1" bestFit="1" customWidth="1"/>
    <col min="3299" max="3299" width="33.85546875" style="1" bestFit="1" customWidth="1"/>
    <col min="3300" max="3300" width="9.5703125" style="1" bestFit="1" customWidth="1"/>
    <col min="3301" max="3301" width="35.85546875" style="1" bestFit="1" customWidth="1"/>
    <col min="3302" max="3302" width="33.85546875" style="1" bestFit="1" customWidth="1"/>
    <col min="3303" max="3303" width="9.5703125" style="1" bestFit="1" customWidth="1"/>
    <col min="3304" max="3304" width="35.85546875" style="1" bestFit="1" customWidth="1"/>
    <col min="3305" max="3305" width="33.85546875" style="1" bestFit="1" customWidth="1"/>
    <col min="3306" max="3306" width="9.5703125" style="1" bestFit="1" customWidth="1"/>
    <col min="3307" max="3307" width="35.85546875" style="1" bestFit="1" customWidth="1"/>
    <col min="3308" max="3308" width="33.85546875" style="1" bestFit="1" customWidth="1"/>
    <col min="3309" max="3309" width="9.5703125" style="1" bestFit="1" customWidth="1"/>
    <col min="3310" max="3310" width="35.85546875" style="1" bestFit="1" customWidth="1"/>
    <col min="3311" max="3311" width="33.85546875" style="1" bestFit="1" customWidth="1"/>
    <col min="3312" max="3312" width="9.5703125" style="1" bestFit="1" customWidth="1"/>
    <col min="3313" max="3313" width="35.85546875" style="1" bestFit="1" customWidth="1"/>
    <col min="3314" max="3314" width="33.85546875" style="1" bestFit="1" customWidth="1"/>
    <col min="3315" max="3315" width="9.5703125" style="1" bestFit="1" customWidth="1"/>
    <col min="3316" max="3316" width="35.85546875" style="1" bestFit="1" customWidth="1"/>
    <col min="3317" max="3317" width="33.85546875" style="1" bestFit="1" customWidth="1"/>
    <col min="3318" max="3318" width="9.5703125" style="1" bestFit="1" customWidth="1"/>
    <col min="3319" max="3319" width="35.85546875" style="1" bestFit="1" customWidth="1"/>
    <col min="3320" max="3320" width="33.85546875" style="1" bestFit="1" customWidth="1"/>
    <col min="3321" max="3321" width="9.5703125" style="1" bestFit="1" customWidth="1"/>
    <col min="3322" max="3322" width="35.85546875" style="1" bestFit="1" customWidth="1"/>
    <col min="3323" max="3323" width="33.85546875" style="1" bestFit="1" customWidth="1"/>
    <col min="3324" max="3324" width="9.5703125" style="1" bestFit="1" customWidth="1"/>
    <col min="3325" max="3325" width="35.85546875" style="1" bestFit="1" customWidth="1"/>
    <col min="3326" max="3326" width="33.85546875" style="1" bestFit="1" customWidth="1"/>
    <col min="3327" max="3327" width="9.5703125" style="1" bestFit="1" customWidth="1"/>
    <col min="3328" max="3328" width="35.85546875" style="1" bestFit="1" customWidth="1"/>
    <col min="3329" max="3329" width="33.85546875" style="1" bestFit="1" customWidth="1"/>
    <col min="3330" max="3330" width="9.5703125" style="1" bestFit="1" customWidth="1"/>
    <col min="3331" max="3331" width="35.85546875" style="1" bestFit="1" customWidth="1"/>
    <col min="3332" max="3332" width="33.85546875" style="1" bestFit="1" customWidth="1"/>
    <col min="3333" max="3333" width="9.5703125" style="1" bestFit="1" customWidth="1"/>
    <col min="3334" max="3334" width="35.85546875" style="1" bestFit="1" customWidth="1"/>
    <col min="3335" max="3335" width="33.85546875" style="1" bestFit="1" customWidth="1"/>
    <col min="3336" max="3336" width="9.5703125" style="1" bestFit="1" customWidth="1"/>
    <col min="3337" max="3337" width="35.85546875" style="1" bestFit="1" customWidth="1"/>
    <col min="3338" max="3338" width="33.85546875" style="1" bestFit="1" customWidth="1"/>
    <col min="3339" max="3339" width="9.5703125" style="1" bestFit="1" customWidth="1"/>
    <col min="3340" max="3340" width="35.85546875" style="1" bestFit="1" customWidth="1"/>
    <col min="3341" max="3341" width="33.85546875" style="1" bestFit="1" customWidth="1"/>
    <col min="3342" max="3342" width="9.5703125" style="1" bestFit="1" customWidth="1"/>
    <col min="3343" max="3343" width="35.85546875" style="1" bestFit="1" customWidth="1"/>
    <col min="3344" max="3344" width="33.85546875" style="1" bestFit="1" customWidth="1"/>
    <col min="3345" max="3345" width="9.5703125" style="1" bestFit="1" customWidth="1"/>
    <col min="3346" max="3346" width="35.85546875" style="1" bestFit="1" customWidth="1"/>
    <col min="3347" max="3347" width="33.85546875" style="1" bestFit="1" customWidth="1"/>
    <col min="3348" max="3348" width="9.5703125" style="1" bestFit="1" customWidth="1"/>
    <col min="3349" max="3349" width="35.85546875" style="1" bestFit="1" customWidth="1"/>
    <col min="3350" max="3350" width="33.85546875" style="1" bestFit="1" customWidth="1"/>
    <col min="3351" max="3351" width="9.5703125" style="1" bestFit="1" customWidth="1"/>
    <col min="3352" max="3414" width="22.140625" style="1"/>
    <col min="3415" max="3415" width="40.42578125" style="1" customWidth="1"/>
    <col min="3416" max="3416" width="25.42578125" style="1" bestFit="1" customWidth="1"/>
    <col min="3417" max="3417" width="23.85546875" style="1" bestFit="1" customWidth="1"/>
    <col min="3418" max="3418" width="41.85546875" style="1" customWidth="1"/>
    <col min="3419" max="3419" width="26.42578125" style="1" bestFit="1" customWidth="1"/>
    <col min="3420" max="3421" width="16.42578125" style="1" customWidth="1"/>
    <col min="3422" max="3422" width="19.42578125" style="1" customWidth="1"/>
    <col min="3423" max="3423" width="16" style="1" customWidth="1"/>
    <col min="3424" max="3424" width="16.5703125" style="1" customWidth="1"/>
    <col min="3425" max="3425" width="7.5703125" style="1" bestFit="1" customWidth="1"/>
    <col min="3426" max="3426" width="16.5703125" style="1" customWidth="1"/>
    <col min="3427" max="3427" width="17.140625" style="1" customWidth="1"/>
    <col min="3428" max="3451" width="0" style="1" hidden="1" customWidth="1"/>
    <col min="3452" max="3452" width="35.85546875" style="1" bestFit="1" customWidth="1"/>
    <col min="3453" max="3453" width="33.85546875" style="1" bestFit="1" customWidth="1"/>
    <col min="3454" max="3454" width="9.5703125" style="1" bestFit="1" customWidth="1"/>
    <col min="3455" max="3455" width="35.85546875" style="1" bestFit="1" customWidth="1"/>
    <col min="3456" max="3456" width="33.85546875" style="1" bestFit="1" customWidth="1"/>
    <col min="3457" max="3457" width="9.5703125" style="1" bestFit="1" customWidth="1"/>
    <col min="3458" max="3458" width="35.85546875" style="1" bestFit="1" customWidth="1"/>
    <col min="3459" max="3459" width="33.85546875" style="1" bestFit="1" customWidth="1"/>
    <col min="3460" max="3460" width="9.5703125" style="1" bestFit="1" customWidth="1"/>
    <col min="3461" max="3461" width="35.85546875" style="1" bestFit="1" customWidth="1"/>
    <col min="3462" max="3462" width="33.85546875" style="1" bestFit="1" customWidth="1"/>
    <col min="3463" max="3463" width="9.5703125" style="1" bestFit="1" customWidth="1"/>
    <col min="3464" max="3464" width="35.85546875" style="1" bestFit="1" customWidth="1"/>
    <col min="3465" max="3465" width="33.85546875" style="1" bestFit="1" customWidth="1"/>
    <col min="3466" max="3466" width="9.5703125" style="1" bestFit="1" customWidth="1"/>
    <col min="3467" max="3467" width="35.85546875" style="1" bestFit="1" customWidth="1"/>
    <col min="3468" max="3468" width="33.85546875" style="1" bestFit="1" customWidth="1"/>
    <col min="3469" max="3469" width="9.5703125" style="1" bestFit="1" customWidth="1"/>
    <col min="3470" max="3470" width="35.85546875" style="1" bestFit="1" customWidth="1"/>
    <col min="3471" max="3471" width="33.85546875" style="1" bestFit="1" customWidth="1"/>
    <col min="3472" max="3472" width="9.5703125" style="1" bestFit="1" customWidth="1"/>
    <col min="3473" max="3473" width="35.85546875" style="1" bestFit="1" customWidth="1"/>
    <col min="3474" max="3474" width="33.85546875" style="1" bestFit="1" customWidth="1"/>
    <col min="3475" max="3475" width="9.5703125" style="1" bestFit="1" customWidth="1"/>
    <col min="3476" max="3476" width="35.85546875" style="1" bestFit="1" customWidth="1"/>
    <col min="3477" max="3477" width="33.85546875" style="1" bestFit="1" customWidth="1"/>
    <col min="3478" max="3478" width="9.5703125" style="1" bestFit="1" customWidth="1"/>
    <col min="3479" max="3479" width="35.85546875" style="1" bestFit="1" customWidth="1"/>
    <col min="3480" max="3480" width="33.85546875" style="1" bestFit="1" customWidth="1"/>
    <col min="3481" max="3481" width="9.5703125" style="1" bestFit="1" customWidth="1"/>
    <col min="3482" max="3482" width="35.85546875" style="1" bestFit="1" customWidth="1"/>
    <col min="3483" max="3483" width="33.85546875" style="1" bestFit="1" customWidth="1"/>
    <col min="3484" max="3484" width="9.5703125" style="1" bestFit="1" customWidth="1"/>
    <col min="3485" max="3485" width="35.85546875" style="1" bestFit="1" customWidth="1"/>
    <col min="3486" max="3486" width="33.85546875" style="1" bestFit="1" customWidth="1"/>
    <col min="3487" max="3487" width="9.5703125" style="1" bestFit="1" customWidth="1"/>
    <col min="3488" max="3488" width="35.85546875" style="1" bestFit="1" customWidth="1"/>
    <col min="3489" max="3489" width="33.85546875" style="1" bestFit="1" customWidth="1"/>
    <col min="3490" max="3490" width="9.5703125" style="1" bestFit="1" customWidth="1"/>
    <col min="3491" max="3491" width="35.85546875" style="1" bestFit="1" customWidth="1"/>
    <col min="3492" max="3492" width="33.85546875" style="1" bestFit="1" customWidth="1"/>
    <col min="3493" max="3493" width="9.5703125" style="1" bestFit="1" customWidth="1"/>
    <col min="3494" max="3494" width="35.85546875" style="1" bestFit="1" customWidth="1"/>
    <col min="3495" max="3495" width="33.85546875" style="1" bestFit="1" customWidth="1"/>
    <col min="3496" max="3496" width="9.5703125" style="1" bestFit="1" customWidth="1"/>
    <col min="3497" max="3497" width="35.85546875" style="1" bestFit="1" customWidth="1"/>
    <col min="3498" max="3498" width="33.85546875" style="1" bestFit="1" customWidth="1"/>
    <col min="3499" max="3499" width="9.5703125" style="1" bestFit="1" customWidth="1"/>
    <col min="3500" max="3500" width="35.85546875" style="1" bestFit="1" customWidth="1"/>
    <col min="3501" max="3501" width="33.85546875" style="1" bestFit="1" customWidth="1"/>
    <col min="3502" max="3502" width="9.5703125" style="1" bestFit="1" customWidth="1"/>
    <col min="3503" max="3503" width="35.85546875" style="1" bestFit="1" customWidth="1"/>
    <col min="3504" max="3504" width="33.85546875" style="1" bestFit="1" customWidth="1"/>
    <col min="3505" max="3505" width="9.5703125" style="1" bestFit="1" customWidth="1"/>
    <col min="3506" max="3506" width="35.85546875" style="1" bestFit="1" customWidth="1"/>
    <col min="3507" max="3507" width="33.85546875" style="1" bestFit="1" customWidth="1"/>
    <col min="3508" max="3508" width="9.5703125" style="1" bestFit="1" customWidth="1"/>
    <col min="3509" max="3509" width="35.85546875" style="1" bestFit="1" customWidth="1"/>
    <col min="3510" max="3510" width="33.85546875" style="1" bestFit="1" customWidth="1"/>
    <col min="3511" max="3511" width="9.5703125" style="1" bestFit="1" customWidth="1"/>
    <col min="3512" max="3512" width="35.85546875" style="1" bestFit="1" customWidth="1"/>
    <col min="3513" max="3513" width="33.85546875" style="1" bestFit="1" customWidth="1"/>
    <col min="3514" max="3514" width="9.5703125" style="1" bestFit="1" customWidth="1"/>
    <col min="3515" max="3515" width="35.85546875" style="1" bestFit="1" customWidth="1"/>
    <col min="3516" max="3516" width="33.85546875" style="1" bestFit="1" customWidth="1"/>
    <col min="3517" max="3517" width="9.5703125" style="1" bestFit="1" customWidth="1"/>
    <col min="3518" max="3518" width="35.85546875" style="1" bestFit="1" customWidth="1"/>
    <col min="3519" max="3519" width="33.85546875" style="1" bestFit="1" customWidth="1"/>
    <col min="3520" max="3520" width="9.5703125" style="1" bestFit="1" customWidth="1"/>
    <col min="3521" max="3521" width="35.85546875" style="1" bestFit="1" customWidth="1"/>
    <col min="3522" max="3522" width="33.85546875" style="1" bestFit="1" customWidth="1"/>
    <col min="3523" max="3523" width="9.5703125" style="1" bestFit="1" customWidth="1"/>
    <col min="3524" max="3524" width="35.85546875" style="1" bestFit="1" customWidth="1"/>
    <col min="3525" max="3525" width="33.85546875" style="1" bestFit="1" customWidth="1"/>
    <col min="3526" max="3526" width="9.5703125" style="1" bestFit="1" customWidth="1"/>
    <col min="3527" max="3527" width="35.85546875" style="1" bestFit="1" customWidth="1"/>
    <col min="3528" max="3528" width="33.85546875" style="1" bestFit="1" customWidth="1"/>
    <col min="3529" max="3529" width="9.5703125" style="1" bestFit="1" customWidth="1"/>
    <col min="3530" max="3530" width="35.85546875" style="1" bestFit="1" customWidth="1"/>
    <col min="3531" max="3531" width="33.85546875" style="1" bestFit="1" customWidth="1"/>
    <col min="3532" max="3532" width="9.5703125" style="1" bestFit="1" customWidth="1"/>
    <col min="3533" max="3533" width="35.85546875" style="1" bestFit="1" customWidth="1"/>
    <col min="3534" max="3534" width="33.85546875" style="1" bestFit="1" customWidth="1"/>
    <col min="3535" max="3535" width="9.5703125" style="1" bestFit="1" customWidth="1"/>
    <col min="3536" max="3536" width="35.85546875" style="1" bestFit="1" customWidth="1"/>
    <col min="3537" max="3537" width="33.85546875" style="1" bestFit="1" customWidth="1"/>
    <col min="3538" max="3538" width="9.5703125" style="1" bestFit="1" customWidth="1"/>
    <col min="3539" max="3539" width="35.85546875" style="1" bestFit="1" customWidth="1"/>
    <col min="3540" max="3540" width="33.85546875" style="1" bestFit="1" customWidth="1"/>
    <col min="3541" max="3541" width="9.5703125" style="1" bestFit="1" customWidth="1"/>
    <col min="3542" max="3542" width="35.85546875" style="1" bestFit="1" customWidth="1"/>
    <col min="3543" max="3543" width="33.85546875" style="1" bestFit="1" customWidth="1"/>
    <col min="3544" max="3544" width="9.5703125" style="1" bestFit="1" customWidth="1"/>
    <col min="3545" max="3545" width="35.85546875" style="1" bestFit="1" customWidth="1"/>
    <col min="3546" max="3546" width="33.85546875" style="1" bestFit="1" customWidth="1"/>
    <col min="3547" max="3547" width="9.5703125" style="1" bestFit="1" customWidth="1"/>
    <col min="3548" max="3548" width="35.85546875" style="1" bestFit="1" customWidth="1"/>
    <col min="3549" max="3549" width="33.85546875" style="1" bestFit="1" customWidth="1"/>
    <col min="3550" max="3550" width="9.5703125" style="1" bestFit="1" customWidth="1"/>
    <col min="3551" max="3551" width="35.85546875" style="1" bestFit="1" customWidth="1"/>
    <col min="3552" max="3552" width="33.85546875" style="1" bestFit="1" customWidth="1"/>
    <col min="3553" max="3553" width="9.5703125" style="1" bestFit="1" customWidth="1"/>
    <col min="3554" max="3554" width="35.85546875" style="1" bestFit="1" customWidth="1"/>
    <col min="3555" max="3555" width="33.85546875" style="1" bestFit="1" customWidth="1"/>
    <col min="3556" max="3556" width="9.5703125" style="1" bestFit="1" customWidth="1"/>
    <col min="3557" max="3557" width="35.85546875" style="1" bestFit="1" customWidth="1"/>
    <col min="3558" max="3558" width="33.85546875" style="1" bestFit="1" customWidth="1"/>
    <col min="3559" max="3559" width="9.5703125" style="1" bestFit="1" customWidth="1"/>
    <col min="3560" max="3560" width="35.85546875" style="1" bestFit="1" customWidth="1"/>
    <col min="3561" max="3561" width="33.85546875" style="1" bestFit="1" customWidth="1"/>
    <col min="3562" max="3562" width="9.5703125" style="1" bestFit="1" customWidth="1"/>
    <col min="3563" max="3563" width="35.85546875" style="1" bestFit="1" customWidth="1"/>
    <col min="3564" max="3564" width="33.85546875" style="1" bestFit="1" customWidth="1"/>
    <col min="3565" max="3565" width="9.5703125" style="1" bestFit="1" customWidth="1"/>
    <col min="3566" max="3566" width="35.85546875" style="1" bestFit="1" customWidth="1"/>
    <col min="3567" max="3567" width="33.85546875" style="1" bestFit="1" customWidth="1"/>
    <col min="3568" max="3568" width="9.5703125" style="1" bestFit="1" customWidth="1"/>
    <col min="3569" max="3569" width="35.85546875" style="1" bestFit="1" customWidth="1"/>
    <col min="3570" max="3570" width="33.85546875" style="1" bestFit="1" customWidth="1"/>
    <col min="3571" max="3571" width="9.5703125" style="1" bestFit="1" customWidth="1"/>
    <col min="3572" max="3572" width="35.85546875" style="1" bestFit="1" customWidth="1"/>
    <col min="3573" max="3573" width="33.85546875" style="1" bestFit="1" customWidth="1"/>
    <col min="3574" max="3574" width="9.5703125" style="1" bestFit="1" customWidth="1"/>
    <col min="3575" max="3575" width="35.85546875" style="1" bestFit="1" customWidth="1"/>
    <col min="3576" max="3576" width="33.85546875" style="1" bestFit="1" customWidth="1"/>
    <col min="3577" max="3577" width="9.5703125" style="1" bestFit="1" customWidth="1"/>
    <col min="3578" max="3578" width="35.85546875" style="1" bestFit="1" customWidth="1"/>
    <col min="3579" max="3579" width="33.85546875" style="1" bestFit="1" customWidth="1"/>
    <col min="3580" max="3580" width="9.5703125" style="1" bestFit="1" customWidth="1"/>
    <col min="3581" max="3581" width="35.85546875" style="1" bestFit="1" customWidth="1"/>
    <col min="3582" max="3582" width="33.85546875" style="1" bestFit="1" customWidth="1"/>
    <col min="3583" max="3583" width="9.5703125" style="1" bestFit="1" customWidth="1"/>
    <col min="3584" max="3584" width="35.85546875" style="1" bestFit="1" customWidth="1"/>
    <col min="3585" max="3585" width="33.85546875" style="1" bestFit="1" customWidth="1"/>
    <col min="3586" max="3586" width="9.5703125" style="1" bestFit="1" customWidth="1"/>
    <col min="3587" max="3587" width="35.85546875" style="1" bestFit="1" customWidth="1"/>
    <col min="3588" max="3588" width="33.85546875" style="1" bestFit="1" customWidth="1"/>
    <col min="3589" max="3589" width="9.5703125" style="1" bestFit="1" customWidth="1"/>
    <col min="3590" max="3590" width="35.85546875" style="1" bestFit="1" customWidth="1"/>
    <col min="3591" max="3591" width="33.85546875" style="1" bestFit="1" customWidth="1"/>
    <col min="3592" max="3592" width="9.5703125" style="1" bestFit="1" customWidth="1"/>
    <col min="3593" max="3593" width="35.85546875" style="1" bestFit="1" customWidth="1"/>
    <col min="3594" max="3594" width="33.85546875" style="1" bestFit="1" customWidth="1"/>
    <col min="3595" max="3595" width="9.5703125" style="1" bestFit="1" customWidth="1"/>
    <col min="3596" max="3596" width="35.85546875" style="1" bestFit="1" customWidth="1"/>
    <col min="3597" max="3597" width="33.85546875" style="1" bestFit="1" customWidth="1"/>
    <col min="3598" max="3598" width="9.5703125" style="1" bestFit="1" customWidth="1"/>
    <col min="3599" max="3599" width="35.85546875" style="1" bestFit="1" customWidth="1"/>
    <col min="3600" max="3600" width="33.85546875" style="1" bestFit="1" customWidth="1"/>
    <col min="3601" max="3601" width="9.5703125" style="1" bestFit="1" customWidth="1"/>
    <col min="3602" max="3602" width="35.85546875" style="1" bestFit="1" customWidth="1"/>
    <col min="3603" max="3603" width="33.85546875" style="1" bestFit="1" customWidth="1"/>
    <col min="3604" max="3604" width="9.5703125" style="1" bestFit="1" customWidth="1"/>
    <col min="3605" max="3605" width="35.85546875" style="1" bestFit="1" customWidth="1"/>
    <col min="3606" max="3606" width="33.85546875" style="1" bestFit="1" customWidth="1"/>
    <col min="3607" max="3607" width="9.5703125" style="1" bestFit="1" customWidth="1"/>
    <col min="3608" max="3670" width="22.140625" style="1"/>
    <col min="3671" max="3671" width="40.42578125" style="1" customWidth="1"/>
    <col min="3672" max="3672" width="25.42578125" style="1" bestFit="1" customWidth="1"/>
    <col min="3673" max="3673" width="23.85546875" style="1" bestFit="1" customWidth="1"/>
    <col min="3674" max="3674" width="41.85546875" style="1" customWidth="1"/>
    <col min="3675" max="3675" width="26.42578125" style="1" bestFit="1" customWidth="1"/>
    <col min="3676" max="3677" width="16.42578125" style="1" customWidth="1"/>
    <col min="3678" max="3678" width="19.42578125" style="1" customWidth="1"/>
    <col min="3679" max="3679" width="16" style="1" customWidth="1"/>
    <col min="3680" max="3680" width="16.5703125" style="1" customWidth="1"/>
    <col min="3681" max="3681" width="7.5703125" style="1" bestFit="1" customWidth="1"/>
    <col min="3682" max="3682" width="16.5703125" style="1" customWidth="1"/>
    <col min="3683" max="3683" width="17.140625" style="1" customWidth="1"/>
    <col min="3684" max="3707" width="0" style="1" hidden="1" customWidth="1"/>
    <col min="3708" max="3708" width="35.85546875" style="1" bestFit="1" customWidth="1"/>
    <col min="3709" max="3709" width="33.85546875" style="1" bestFit="1" customWidth="1"/>
    <col min="3710" max="3710" width="9.5703125" style="1" bestFit="1" customWidth="1"/>
    <col min="3711" max="3711" width="35.85546875" style="1" bestFit="1" customWidth="1"/>
    <col min="3712" max="3712" width="33.85546875" style="1" bestFit="1" customWidth="1"/>
    <col min="3713" max="3713" width="9.5703125" style="1" bestFit="1" customWidth="1"/>
    <col min="3714" max="3714" width="35.85546875" style="1" bestFit="1" customWidth="1"/>
    <col min="3715" max="3715" width="33.85546875" style="1" bestFit="1" customWidth="1"/>
    <col min="3716" max="3716" width="9.5703125" style="1" bestFit="1" customWidth="1"/>
    <col min="3717" max="3717" width="35.85546875" style="1" bestFit="1" customWidth="1"/>
    <col min="3718" max="3718" width="33.85546875" style="1" bestFit="1" customWidth="1"/>
    <col min="3719" max="3719" width="9.5703125" style="1" bestFit="1" customWidth="1"/>
    <col min="3720" max="3720" width="35.85546875" style="1" bestFit="1" customWidth="1"/>
    <col min="3721" max="3721" width="33.85546875" style="1" bestFit="1" customWidth="1"/>
    <col min="3722" max="3722" width="9.5703125" style="1" bestFit="1" customWidth="1"/>
    <col min="3723" max="3723" width="35.85546875" style="1" bestFit="1" customWidth="1"/>
    <col min="3724" max="3724" width="33.85546875" style="1" bestFit="1" customWidth="1"/>
    <col min="3725" max="3725" width="9.5703125" style="1" bestFit="1" customWidth="1"/>
    <col min="3726" max="3726" width="35.85546875" style="1" bestFit="1" customWidth="1"/>
    <col min="3727" max="3727" width="33.85546875" style="1" bestFit="1" customWidth="1"/>
    <col min="3728" max="3728" width="9.5703125" style="1" bestFit="1" customWidth="1"/>
    <col min="3729" max="3729" width="35.85546875" style="1" bestFit="1" customWidth="1"/>
    <col min="3730" max="3730" width="33.85546875" style="1" bestFit="1" customWidth="1"/>
    <col min="3731" max="3731" width="9.5703125" style="1" bestFit="1" customWidth="1"/>
    <col min="3732" max="3732" width="35.85546875" style="1" bestFit="1" customWidth="1"/>
    <col min="3733" max="3733" width="33.85546875" style="1" bestFit="1" customWidth="1"/>
    <col min="3734" max="3734" width="9.5703125" style="1" bestFit="1" customWidth="1"/>
    <col min="3735" max="3735" width="35.85546875" style="1" bestFit="1" customWidth="1"/>
    <col min="3736" max="3736" width="33.85546875" style="1" bestFit="1" customWidth="1"/>
    <col min="3737" max="3737" width="9.5703125" style="1" bestFit="1" customWidth="1"/>
    <col min="3738" max="3738" width="35.85546875" style="1" bestFit="1" customWidth="1"/>
    <col min="3739" max="3739" width="33.85546875" style="1" bestFit="1" customWidth="1"/>
    <col min="3740" max="3740" width="9.5703125" style="1" bestFit="1" customWidth="1"/>
    <col min="3741" max="3741" width="35.85546875" style="1" bestFit="1" customWidth="1"/>
    <col min="3742" max="3742" width="33.85546875" style="1" bestFit="1" customWidth="1"/>
    <col min="3743" max="3743" width="9.5703125" style="1" bestFit="1" customWidth="1"/>
    <col min="3744" max="3744" width="35.85546875" style="1" bestFit="1" customWidth="1"/>
    <col min="3745" max="3745" width="33.85546875" style="1" bestFit="1" customWidth="1"/>
    <col min="3746" max="3746" width="9.5703125" style="1" bestFit="1" customWidth="1"/>
    <col min="3747" max="3747" width="35.85546875" style="1" bestFit="1" customWidth="1"/>
    <col min="3748" max="3748" width="33.85546875" style="1" bestFit="1" customWidth="1"/>
    <col min="3749" max="3749" width="9.5703125" style="1" bestFit="1" customWidth="1"/>
    <col min="3750" max="3750" width="35.85546875" style="1" bestFit="1" customWidth="1"/>
    <col min="3751" max="3751" width="33.85546875" style="1" bestFit="1" customWidth="1"/>
    <col min="3752" max="3752" width="9.5703125" style="1" bestFit="1" customWidth="1"/>
    <col min="3753" max="3753" width="35.85546875" style="1" bestFit="1" customWidth="1"/>
    <col min="3754" max="3754" width="33.85546875" style="1" bestFit="1" customWidth="1"/>
    <col min="3755" max="3755" width="9.5703125" style="1" bestFit="1" customWidth="1"/>
    <col min="3756" max="3756" width="35.85546875" style="1" bestFit="1" customWidth="1"/>
    <col min="3757" max="3757" width="33.85546875" style="1" bestFit="1" customWidth="1"/>
    <col min="3758" max="3758" width="9.5703125" style="1" bestFit="1" customWidth="1"/>
    <col min="3759" max="3759" width="35.85546875" style="1" bestFit="1" customWidth="1"/>
    <col min="3760" max="3760" width="33.85546875" style="1" bestFit="1" customWidth="1"/>
    <col min="3761" max="3761" width="9.5703125" style="1" bestFit="1" customWidth="1"/>
    <col min="3762" max="3762" width="35.85546875" style="1" bestFit="1" customWidth="1"/>
    <col min="3763" max="3763" width="33.85546875" style="1" bestFit="1" customWidth="1"/>
    <col min="3764" max="3764" width="9.5703125" style="1" bestFit="1" customWidth="1"/>
    <col min="3765" max="3765" width="35.85546875" style="1" bestFit="1" customWidth="1"/>
    <col min="3766" max="3766" width="33.85546875" style="1" bestFit="1" customWidth="1"/>
    <col min="3767" max="3767" width="9.5703125" style="1" bestFit="1" customWidth="1"/>
    <col min="3768" max="3768" width="35.85546875" style="1" bestFit="1" customWidth="1"/>
    <col min="3769" max="3769" width="33.85546875" style="1" bestFit="1" customWidth="1"/>
    <col min="3770" max="3770" width="9.5703125" style="1" bestFit="1" customWidth="1"/>
    <col min="3771" max="3771" width="35.85546875" style="1" bestFit="1" customWidth="1"/>
    <col min="3772" max="3772" width="33.85546875" style="1" bestFit="1" customWidth="1"/>
    <col min="3773" max="3773" width="9.5703125" style="1" bestFit="1" customWidth="1"/>
    <col min="3774" max="3774" width="35.85546875" style="1" bestFit="1" customWidth="1"/>
    <col min="3775" max="3775" width="33.85546875" style="1" bestFit="1" customWidth="1"/>
    <col min="3776" max="3776" width="9.5703125" style="1" bestFit="1" customWidth="1"/>
    <col min="3777" max="3777" width="35.85546875" style="1" bestFit="1" customWidth="1"/>
    <col min="3778" max="3778" width="33.85546875" style="1" bestFit="1" customWidth="1"/>
    <col min="3779" max="3779" width="9.5703125" style="1" bestFit="1" customWidth="1"/>
    <col min="3780" max="3780" width="35.85546875" style="1" bestFit="1" customWidth="1"/>
    <col min="3781" max="3781" width="33.85546875" style="1" bestFit="1" customWidth="1"/>
    <col min="3782" max="3782" width="9.5703125" style="1" bestFit="1" customWidth="1"/>
    <col min="3783" max="3783" width="35.85546875" style="1" bestFit="1" customWidth="1"/>
    <col min="3784" max="3784" width="33.85546875" style="1" bestFit="1" customWidth="1"/>
    <col min="3785" max="3785" width="9.5703125" style="1" bestFit="1" customWidth="1"/>
    <col min="3786" max="3786" width="35.85546875" style="1" bestFit="1" customWidth="1"/>
    <col min="3787" max="3787" width="33.85546875" style="1" bestFit="1" customWidth="1"/>
    <col min="3788" max="3788" width="9.5703125" style="1" bestFit="1" customWidth="1"/>
    <col min="3789" max="3789" width="35.85546875" style="1" bestFit="1" customWidth="1"/>
    <col min="3790" max="3790" width="33.85546875" style="1" bestFit="1" customWidth="1"/>
    <col min="3791" max="3791" width="9.5703125" style="1" bestFit="1" customWidth="1"/>
    <col min="3792" max="3792" width="35.85546875" style="1" bestFit="1" customWidth="1"/>
    <col min="3793" max="3793" width="33.85546875" style="1" bestFit="1" customWidth="1"/>
    <col min="3794" max="3794" width="9.5703125" style="1" bestFit="1" customWidth="1"/>
    <col min="3795" max="3795" width="35.85546875" style="1" bestFit="1" customWidth="1"/>
    <col min="3796" max="3796" width="33.85546875" style="1" bestFit="1" customWidth="1"/>
    <col min="3797" max="3797" width="9.5703125" style="1" bestFit="1" customWidth="1"/>
    <col min="3798" max="3798" width="35.85546875" style="1" bestFit="1" customWidth="1"/>
    <col min="3799" max="3799" width="33.85546875" style="1" bestFit="1" customWidth="1"/>
    <col min="3800" max="3800" width="9.5703125" style="1" bestFit="1" customWidth="1"/>
    <col min="3801" max="3801" width="35.85546875" style="1" bestFit="1" customWidth="1"/>
    <col min="3802" max="3802" width="33.85546875" style="1" bestFit="1" customWidth="1"/>
    <col min="3803" max="3803" width="9.5703125" style="1" bestFit="1" customWidth="1"/>
    <col min="3804" max="3804" width="35.85546875" style="1" bestFit="1" customWidth="1"/>
    <col min="3805" max="3805" width="33.85546875" style="1" bestFit="1" customWidth="1"/>
    <col min="3806" max="3806" width="9.5703125" style="1" bestFit="1" customWidth="1"/>
    <col min="3807" max="3807" width="35.85546875" style="1" bestFit="1" customWidth="1"/>
    <col min="3808" max="3808" width="33.85546875" style="1" bestFit="1" customWidth="1"/>
    <col min="3809" max="3809" width="9.5703125" style="1" bestFit="1" customWidth="1"/>
    <col min="3810" max="3810" width="35.85546875" style="1" bestFit="1" customWidth="1"/>
    <col min="3811" max="3811" width="33.85546875" style="1" bestFit="1" customWidth="1"/>
    <col min="3812" max="3812" width="9.5703125" style="1" bestFit="1" customWidth="1"/>
    <col min="3813" max="3813" width="35.85546875" style="1" bestFit="1" customWidth="1"/>
    <col min="3814" max="3814" width="33.85546875" style="1" bestFit="1" customWidth="1"/>
    <col min="3815" max="3815" width="9.5703125" style="1" bestFit="1" customWidth="1"/>
    <col min="3816" max="3816" width="35.85546875" style="1" bestFit="1" customWidth="1"/>
    <col min="3817" max="3817" width="33.85546875" style="1" bestFit="1" customWidth="1"/>
    <col min="3818" max="3818" width="9.5703125" style="1" bestFit="1" customWidth="1"/>
    <col min="3819" max="3819" width="35.85546875" style="1" bestFit="1" customWidth="1"/>
    <col min="3820" max="3820" width="33.85546875" style="1" bestFit="1" customWidth="1"/>
    <col min="3821" max="3821" width="9.5703125" style="1" bestFit="1" customWidth="1"/>
    <col min="3822" max="3822" width="35.85546875" style="1" bestFit="1" customWidth="1"/>
    <col min="3823" max="3823" width="33.85546875" style="1" bestFit="1" customWidth="1"/>
    <col min="3824" max="3824" width="9.5703125" style="1" bestFit="1" customWidth="1"/>
    <col min="3825" max="3825" width="35.85546875" style="1" bestFit="1" customWidth="1"/>
    <col min="3826" max="3826" width="33.85546875" style="1" bestFit="1" customWidth="1"/>
    <col min="3827" max="3827" width="9.5703125" style="1" bestFit="1" customWidth="1"/>
    <col min="3828" max="3828" width="35.85546875" style="1" bestFit="1" customWidth="1"/>
    <col min="3829" max="3829" width="33.85546875" style="1" bestFit="1" customWidth="1"/>
    <col min="3830" max="3830" width="9.5703125" style="1" bestFit="1" customWidth="1"/>
    <col min="3831" max="3831" width="35.85546875" style="1" bestFit="1" customWidth="1"/>
    <col min="3832" max="3832" width="33.85546875" style="1" bestFit="1" customWidth="1"/>
    <col min="3833" max="3833" width="9.5703125" style="1" bestFit="1" customWidth="1"/>
    <col min="3834" max="3834" width="35.85546875" style="1" bestFit="1" customWidth="1"/>
    <col min="3835" max="3835" width="33.85546875" style="1" bestFit="1" customWidth="1"/>
    <col min="3836" max="3836" width="9.5703125" style="1" bestFit="1" customWidth="1"/>
    <col min="3837" max="3837" width="35.85546875" style="1" bestFit="1" customWidth="1"/>
    <col min="3838" max="3838" width="33.85546875" style="1" bestFit="1" customWidth="1"/>
    <col min="3839" max="3839" width="9.5703125" style="1" bestFit="1" customWidth="1"/>
    <col min="3840" max="3840" width="35.85546875" style="1" bestFit="1" customWidth="1"/>
    <col min="3841" max="3841" width="33.85546875" style="1" bestFit="1" customWidth="1"/>
    <col min="3842" max="3842" width="9.5703125" style="1" bestFit="1" customWidth="1"/>
    <col min="3843" max="3843" width="35.85546875" style="1" bestFit="1" customWidth="1"/>
    <col min="3844" max="3844" width="33.85546875" style="1" bestFit="1" customWidth="1"/>
    <col min="3845" max="3845" width="9.5703125" style="1" bestFit="1" customWidth="1"/>
    <col min="3846" max="3846" width="35.85546875" style="1" bestFit="1" customWidth="1"/>
    <col min="3847" max="3847" width="33.85546875" style="1" bestFit="1" customWidth="1"/>
    <col min="3848" max="3848" width="9.5703125" style="1" bestFit="1" customWidth="1"/>
    <col min="3849" max="3849" width="35.85546875" style="1" bestFit="1" customWidth="1"/>
    <col min="3850" max="3850" width="33.85546875" style="1" bestFit="1" customWidth="1"/>
    <col min="3851" max="3851" width="9.5703125" style="1" bestFit="1" customWidth="1"/>
    <col min="3852" max="3852" width="35.85546875" style="1" bestFit="1" customWidth="1"/>
    <col min="3853" max="3853" width="33.85546875" style="1" bestFit="1" customWidth="1"/>
    <col min="3854" max="3854" width="9.5703125" style="1" bestFit="1" customWidth="1"/>
    <col min="3855" max="3855" width="35.85546875" style="1" bestFit="1" customWidth="1"/>
    <col min="3856" max="3856" width="33.85546875" style="1" bestFit="1" customWidth="1"/>
    <col min="3857" max="3857" width="9.5703125" style="1" bestFit="1" customWidth="1"/>
    <col min="3858" max="3858" width="35.85546875" style="1" bestFit="1" customWidth="1"/>
    <col min="3859" max="3859" width="33.85546875" style="1" bestFit="1" customWidth="1"/>
    <col min="3860" max="3860" width="9.5703125" style="1" bestFit="1" customWidth="1"/>
    <col min="3861" max="3861" width="35.85546875" style="1" bestFit="1" customWidth="1"/>
    <col min="3862" max="3862" width="33.85546875" style="1" bestFit="1" customWidth="1"/>
    <col min="3863" max="3863" width="9.5703125" style="1" bestFit="1" customWidth="1"/>
    <col min="3864" max="3926" width="22.140625" style="1"/>
    <col min="3927" max="3927" width="40.42578125" style="1" customWidth="1"/>
    <col min="3928" max="3928" width="25.42578125" style="1" bestFit="1" customWidth="1"/>
    <col min="3929" max="3929" width="23.85546875" style="1" bestFit="1" customWidth="1"/>
    <col min="3930" max="3930" width="41.85546875" style="1" customWidth="1"/>
    <col min="3931" max="3931" width="26.42578125" style="1" bestFit="1" customWidth="1"/>
    <col min="3932" max="3933" width="16.42578125" style="1" customWidth="1"/>
    <col min="3934" max="3934" width="19.42578125" style="1" customWidth="1"/>
    <col min="3935" max="3935" width="16" style="1" customWidth="1"/>
    <col min="3936" max="3936" width="16.5703125" style="1" customWidth="1"/>
    <col min="3937" max="3937" width="7.5703125" style="1" bestFit="1" customWidth="1"/>
    <col min="3938" max="3938" width="16.5703125" style="1" customWidth="1"/>
    <col min="3939" max="3939" width="17.140625" style="1" customWidth="1"/>
    <col min="3940" max="3963" width="0" style="1" hidden="1" customWidth="1"/>
    <col min="3964" max="3964" width="35.85546875" style="1" bestFit="1" customWidth="1"/>
    <col min="3965" max="3965" width="33.85546875" style="1" bestFit="1" customWidth="1"/>
    <col min="3966" max="3966" width="9.5703125" style="1" bestFit="1" customWidth="1"/>
    <col min="3967" max="3967" width="35.85546875" style="1" bestFit="1" customWidth="1"/>
    <col min="3968" max="3968" width="33.85546875" style="1" bestFit="1" customWidth="1"/>
    <col min="3969" max="3969" width="9.5703125" style="1" bestFit="1" customWidth="1"/>
    <col min="3970" max="3970" width="35.85546875" style="1" bestFit="1" customWidth="1"/>
    <col min="3971" max="3971" width="33.85546875" style="1" bestFit="1" customWidth="1"/>
    <col min="3972" max="3972" width="9.5703125" style="1" bestFit="1" customWidth="1"/>
    <col min="3973" max="3973" width="35.85546875" style="1" bestFit="1" customWidth="1"/>
    <col min="3974" max="3974" width="33.85546875" style="1" bestFit="1" customWidth="1"/>
    <col min="3975" max="3975" width="9.5703125" style="1" bestFit="1" customWidth="1"/>
    <col min="3976" max="3976" width="35.85546875" style="1" bestFit="1" customWidth="1"/>
    <col min="3977" max="3977" width="33.85546875" style="1" bestFit="1" customWidth="1"/>
    <col min="3978" max="3978" width="9.5703125" style="1" bestFit="1" customWidth="1"/>
    <col min="3979" max="3979" width="35.85546875" style="1" bestFit="1" customWidth="1"/>
    <col min="3980" max="3980" width="33.85546875" style="1" bestFit="1" customWidth="1"/>
    <col min="3981" max="3981" width="9.5703125" style="1" bestFit="1" customWidth="1"/>
    <col min="3982" max="3982" width="35.85546875" style="1" bestFit="1" customWidth="1"/>
    <col min="3983" max="3983" width="33.85546875" style="1" bestFit="1" customWidth="1"/>
    <col min="3984" max="3984" width="9.5703125" style="1" bestFit="1" customWidth="1"/>
    <col min="3985" max="3985" width="35.85546875" style="1" bestFit="1" customWidth="1"/>
    <col min="3986" max="3986" width="33.85546875" style="1" bestFit="1" customWidth="1"/>
    <col min="3987" max="3987" width="9.5703125" style="1" bestFit="1" customWidth="1"/>
    <col min="3988" max="3988" width="35.85546875" style="1" bestFit="1" customWidth="1"/>
    <col min="3989" max="3989" width="33.85546875" style="1" bestFit="1" customWidth="1"/>
    <col min="3990" max="3990" width="9.5703125" style="1" bestFit="1" customWidth="1"/>
    <col min="3991" max="3991" width="35.85546875" style="1" bestFit="1" customWidth="1"/>
    <col min="3992" max="3992" width="33.85546875" style="1" bestFit="1" customWidth="1"/>
    <col min="3993" max="3993" width="9.5703125" style="1" bestFit="1" customWidth="1"/>
    <col min="3994" max="3994" width="35.85546875" style="1" bestFit="1" customWidth="1"/>
    <col min="3995" max="3995" width="33.85546875" style="1" bestFit="1" customWidth="1"/>
    <col min="3996" max="3996" width="9.5703125" style="1" bestFit="1" customWidth="1"/>
    <col min="3997" max="3997" width="35.85546875" style="1" bestFit="1" customWidth="1"/>
    <col min="3998" max="3998" width="33.85546875" style="1" bestFit="1" customWidth="1"/>
    <col min="3999" max="3999" width="9.5703125" style="1" bestFit="1" customWidth="1"/>
    <col min="4000" max="4000" width="35.85546875" style="1" bestFit="1" customWidth="1"/>
    <col min="4001" max="4001" width="33.85546875" style="1" bestFit="1" customWidth="1"/>
    <col min="4002" max="4002" width="9.5703125" style="1" bestFit="1" customWidth="1"/>
    <col min="4003" max="4003" width="35.85546875" style="1" bestFit="1" customWidth="1"/>
    <col min="4004" max="4004" width="33.85546875" style="1" bestFit="1" customWidth="1"/>
    <col min="4005" max="4005" width="9.5703125" style="1" bestFit="1" customWidth="1"/>
    <col min="4006" max="4006" width="35.85546875" style="1" bestFit="1" customWidth="1"/>
    <col min="4007" max="4007" width="33.85546875" style="1" bestFit="1" customWidth="1"/>
    <col min="4008" max="4008" width="9.5703125" style="1" bestFit="1" customWidth="1"/>
    <col min="4009" max="4009" width="35.85546875" style="1" bestFit="1" customWidth="1"/>
    <col min="4010" max="4010" width="33.85546875" style="1" bestFit="1" customWidth="1"/>
    <col min="4011" max="4011" width="9.5703125" style="1" bestFit="1" customWidth="1"/>
    <col min="4012" max="4012" width="35.85546875" style="1" bestFit="1" customWidth="1"/>
    <col min="4013" max="4013" width="33.85546875" style="1" bestFit="1" customWidth="1"/>
    <col min="4014" max="4014" width="9.5703125" style="1" bestFit="1" customWidth="1"/>
    <col min="4015" max="4015" width="35.85546875" style="1" bestFit="1" customWidth="1"/>
    <col min="4016" max="4016" width="33.85546875" style="1" bestFit="1" customWidth="1"/>
    <col min="4017" max="4017" width="9.5703125" style="1" bestFit="1" customWidth="1"/>
    <col min="4018" max="4018" width="35.85546875" style="1" bestFit="1" customWidth="1"/>
    <col min="4019" max="4019" width="33.85546875" style="1" bestFit="1" customWidth="1"/>
    <col min="4020" max="4020" width="9.5703125" style="1" bestFit="1" customWidth="1"/>
    <col min="4021" max="4021" width="35.85546875" style="1" bestFit="1" customWidth="1"/>
    <col min="4022" max="4022" width="33.85546875" style="1" bestFit="1" customWidth="1"/>
    <col min="4023" max="4023" width="9.5703125" style="1" bestFit="1" customWidth="1"/>
    <col min="4024" max="4024" width="35.85546875" style="1" bestFit="1" customWidth="1"/>
    <col min="4025" max="4025" width="33.85546875" style="1" bestFit="1" customWidth="1"/>
    <col min="4026" max="4026" width="9.5703125" style="1" bestFit="1" customWidth="1"/>
    <col min="4027" max="4027" width="35.85546875" style="1" bestFit="1" customWidth="1"/>
    <col min="4028" max="4028" width="33.85546875" style="1" bestFit="1" customWidth="1"/>
    <col min="4029" max="4029" width="9.5703125" style="1" bestFit="1" customWidth="1"/>
    <col min="4030" max="4030" width="35.85546875" style="1" bestFit="1" customWidth="1"/>
    <col min="4031" max="4031" width="33.85546875" style="1" bestFit="1" customWidth="1"/>
    <col min="4032" max="4032" width="9.5703125" style="1" bestFit="1" customWidth="1"/>
    <col min="4033" max="4033" width="35.85546875" style="1" bestFit="1" customWidth="1"/>
    <col min="4034" max="4034" width="33.85546875" style="1" bestFit="1" customWidth="1"/>
    <col min="4035" max="4035" width="9.5703125" style="1" bestFit="1" customWidth="1"/>
    <col min="4036" max="4036" width="35.85546875" style="1" bestFit="1" customWidth="1"/>
    <col min="4037" max="4037" width="33.85546875" style="1" bestFit="1" customWidth="1"/>
    <col min="4038" max="4038" width="9.5703125" style="1" bestFit="1" customWidth="1"/>
    <col min="4039" max="4039" width="35.85546875" style="1" bestFit="1" customWidth="1"/>
    <col min="4040" max="4040" width="33.85546875" style="1" bestFit="1" customWidth="1"/>
    <col min="4041" max="4041" width="9.5703125" style="1" bestFit="1" customWidth="1"/>
    <col min="4042" max="4042" width="35.85546875" style="1" bestFit="1" customWidth="1"/>
    <col min="4043" max="4043" width="33.85546875" style="1" bestFit="1" customWidth="1"/>
    <col min="4044" max="4044" width="9.5703125" style="1" bestFit="1" customWidth="1"/>
    <col min="4045" max="4045" width="35.85546875" style="1" bestFit="1" customWidth="1"/>
    <col min="4046" max="4046" width="33.85546875" style="1" bestFit="1" customWidth="1"/>
    <col min="4047" max="4047" width="9.5703125" style="1" bestFit="1" customWidth="1"/>
    <col min="4048" max="4048" width="35.85546875" style="1" bestFit="1" customWidth="1"/>
    <col min="4049" max="4049" width="33.85546875" style="1" bestFit="1" customWidth="1"/>
    <col min="4050" max="4050" width="9.5703125" style="1" bestFit="1" customWidth="1"/>
    <col min="4051" max="4051" width="35.85546875" style="1" bestFit="1" customWidth="1"/>
    <col min="4052" max="4052" width="33.85546875" style="1" bestFit="1" customWidth="1"/>
    <col min="4053" max="4053" width="9.5703125" style="1" bestFit="1" customWidth="1"/>
    <col min="4054" max="4054" width="35.85546875" style="1" bestFit="1" customWidth="1"/>
    <col min="4055" max="4055" width="33.85546875" style="1" bestFit="1" customWidth="1"/>
    <col min="4056" max="4056" width="9.5703125" style="1" bestFit="1" customWidth="1"/>
    <col min="4057" max="4057" width="35.85546875" style="1" bestFit="1" customWidth="1"/>
    <col min="4058" max="4058" width="33.85546875" style="1" bestFit="1" customWidth="1"/>
    <col min="4059" max="4059" width="9.5703125" style="1" bestFit="1" customWidth="1"/>
    <col min="4060" max="4060" width="35.85546875" style="1" bestFit="1" customWidth="1"/>
    <col min="4061" max="4061" width="33.85546875" style="1" bestFit="1" customWidth="1"/>
    <col min="4062" max="4062" width="9.5703125" style="1" bestFit="1" customWidth="1"/>
    <col min="4063" max="4063" width="35.85546875" style="1" bestFit="1" customWidth="1"/>
    <col min="4064" max="4064" width="33.85546875" style="1" bestFit="1" customWidth="1"/>
    <col min="4065" max="4065" width="9.5703125" style="1" bestFit="1" customWidth="1"/>
    <col min="4066" max="4066" width="35.85546875" style="1" bestFit="1" customWidth="1"/>
    <col min="4067" max="4067" width="33.85546875" style="1" bestFit="1" customWidth="1"/>
    <col min="4068" max="4068" width="9.5703125" style="1" bestFit="1" customWidth="1"/>
    <col min="4069" max="4069" width="35.85546875" style="1" bestFit="1" customWidth="1"/>
    <col min="4070" max="4070" width="33.85546875" style="1" bestFit="1" customWidth="1"/>
    <col min="4071" max="4071" width="9.5703125" style="1" bestFit="1" customWidth="1"/>
    <col min="4072" max="4072" width="35.85546875" style="1" bestFit="1" customWidth="1"/>
    <col min="4073" max="4073" width="33.85546875" style="1" bestFit="1" customWidth="1"/>
    <col min="4074" max="4074" width="9.5703125" style="1" bestFit="1" customWidth="1"/>
    <col min="4075" max="4075" width="35.85546875" style="1" bestFit="1" customWidth="1"/>
    <col min="4076" max="4076" width="33.85546875" style="1" bestFit="1" customWidth="1"/>
    <col min="4077" max="4077" width="9.5703125" style="1" bestFit="1" customWidth="1"/>
    <col min="4078" max="4078" width="35.85546875" style="1" bestFit="1" customWidth="1"/>
    <col min="4079" max="4079" width="33.85546875" style="1" bestFit="1" customWidth="1"/>
    <col min="4080" max="4080" width="9.5703125" style="1" bestFit="1" customWidth="1"/>
    <col min="4081" max="4081" width="35.85546875" style="1" bestFit="1" customWidth="1"/>
    <col min="4082" max="4082" width="33.85546875" style="1" bestFit="1" customWidth="1"/>
    <col min="4083" max="4083" width="9.5703125" style="1" bestFit="1" customWidth="1"/>
    <col min="4084" max="4084" width="35.85546875" style="1" bestFit="1" customWidth="1"/>
    <col min="4085" max="4085" width="33.85546875" style="1" bestFit="1" customWidth="1"/>
    <col min="4086" max="4086" width="9.5703125" style="1" bestFit="1" customWidth="1"/>
    <col min="4087" max="4087" width="35.85546875" style="1" bestFit="1" customWidth="1"/>
    <col min="4088" max="4088" width="33.85546875" style="1" bestFit="1" customWidth="1"/>
    <col min="4089" max="4089" width="9.5703125" style="1" bestFit="1" customWidth="1"/>
    <col min="4090" max="4090" width="35.85546875" style="1" bestFit="1" customWidth="1"/>
    <col min="4091" max="4091" width="33.85546875" style="1" bestFit="1" customWidth="1"/>
    <col min="4092" max="4092" width="9.5703125" style="1" bestFit="1" customWidth="1"/>
    <col min="4093" max="4093" width="35.85546875" style="1" bestFit="1" customWidth="1"/>
    <col min="4094" max="4094" width="33.85546875" style="1" bestFit="1" customWidth="1"/>
    <col min="4095" max="4095" width="9.5703125" style="1" bestFit="1" customWidth="1"/>
    <col min="4096" max="4096" width="35.85546875" style="1" bestFit="1" customWidth="1"/>
    <col min="4097" max="4097" width="33.85546875" style="1" bestFit="1" customWidth="1"/>
    <col min="4098" max="4098" width="9.5703125" style="1" bestFit="1" customWidth="1"/>
    <col min="4099" max="4099" width="35.85546875" style="1" bestFit="1" customWidth="1"/>
    <col min="4100" max="4100" width="33.85546875" style="1" bestFit="1" customWidth="1"/>
    <col min="4101" max="4101" width="9.5703125" style="1" bestFit="1" customWidth="1"/>
    <col min="4102" max="4102" width="35.85546875" style="1" bestFit="1" customWidth="1"/>
    <col min="4103" max="4103" width="33.85546875" style="1" bestFit="1" customWidth="1"/>
    <col min="4104" max="4104" width="9.5703125" style="1" bestFit="1" customWidth="1"/>
    <col min="4105" max="4105" width="35.85546875" style="1" bestFit="1" customWidth="1"/>
    <col min="4106" max="4106" width="33.85546875" style="1" bestFit="1" customWidth="1"/>
    <col min="4107" max="4107" width="9.5703125" style="1" bestFit="1" customWidth="1"/>
    <col min="4108" max="4108" width="35.85546875" style="1" bestFit="1" customWidth="1"/>
    <col min="4109" max="4109" width="33.85546875" style="1" bestFit="1" customWidth="1"/>
    <col min="4110" max="4110" width="9.5703125" style="1" bestFit="1" customWidth="1"/>
    <col min="4111" max="4111" width="35.85546875" style="1" bestFit="1" customWidth="1"/>
    <col min="4112" max="4112" width="33.85546875" style="1" bestFit="1" customWidth="1"/>
    <col min="4113" max="4113" width="9.5703125" style="1" bestFit="1" customWidth="1"/>
    <col min="4114" max="4114" width="35.85546875" style="1" bestFit="1" customWidth="1"/>
    <col min="4115" max="4115" width="33.85546875" style="1" bestFit="1" customWidth="1"/>
    <col min="4116" max="4116" width="9.5703125" style="1" bestFit="1" customWidth="1"/>
    <col min="4117" max="4117" width="35.85546875" style="1" bestFit="1" customWidth="1"/>
    <col min="4118" max="4118" width="33.85546875" style="1" bestFit="1" customWidth="1"/>
    <col min="4119" max="4119" width="9.5703125" style="1" bestFit="1" customWidth="1"/>
    <col min="4120" max="4182" width="22.140625" style="1"/>
    <col min="4183" max="4183" width="40.42578125" style="1" customWidth="1"/>
    <col min="4184" max="4184" width="25.42578125" style="1" bestFit="1" customWidth="1"/>
    <col min="4185" max="4185" width="23.85546875" style="1" bestFit="1" customWidth="1"/>
    <col min="4186" max="4186" width="41.85546875" style="1" customWidth="1"/>
    <col min="4187" max="4187" width="26.42578125" style="1" bestFit="1" customWidth="1"/>
    <col min="4188" max="4189" width="16.42578125" style="1" customWidth="1"/>
    <col min="4190" max="4190" width="19.42578125" style="1" customWidth="1"/>
    <col min="4191" max="4191" width="16" style="1" customWidth="1"/>
    <col min="4192" max="4192" width="16.5703125" style="1" customWidth="1"/>
    <col min="4193" max="4193" width="7.5703125" style="1" bestFit="1" customWidth="1"/>
    <col min="4194" max="4194" width="16.5703125" style="1" customWidth="1"/>
    <col min="4195" max="4195" width="17.140625" style="1" customWidth="1"/>
    <col min="4196" max="4219" width="0" style="1" hidden="1" customWidth="1"/>
    <col min="4220" max="4220" width="35.85546875" style="1" bestFit="1" customWidth="1"/>
    <col min="4221" max="4221" width="33.85546875" style="1" bestFit="1" customWidth="1"/>
    <col min="4222" max="4222" width="9.5703125" style="1" bestFit="1" customWidth="1"/>
    <col min="4223" max="4223" width="35.85546875" style="1" bestFit="1" customWidth="1"/>
    <col min="4224" max="4224" width="33.85546875" style="1" bestFit="1" customWidth="1"/>
    <col min="4225" max="4225" width="9.5703125" style="1" bestFit="1" customWidth="1"/>
    <col min="4226" max="4226" width="35.85546875" style="1" bestFit="1" customWidth="1"/>
    <col min="4227" max="4227" width="33.85546875" style="1" bestFit="1" customWidth="1"/>
    <col min="4228" max="4228" width="9.5703125" style="1" bestFit="1" customWidth="1"/>
    <col min="4229" max="4229" width="35.85546875" style="1" bestFit="1" customWidth="1"/>
    <col min="4230" max="4230" width="33.85546875" style="1" bestFit="1" customWidth="1"/>
    <col min="4231" max="4231" width="9.5703125" style="1" bestFit="1" customWidth="1"/>
    <col min="4232" max="4232" width="35.85546875" style="1" bestFit="1" customWidth="1"/>
    <col min="4233" max="4233" width="33.85546875" style="1" bestFit="1" customWidth="1"/>
    <col min="4234" max="4234" width="9.5703125" style="1" bestFit="1" customWidth="1"/>
    <col min="4235" max="4235" width="35.85546875" style="1" bestFit="1" customWidth="1"/>
    <col min="4236" max="4236" width="33.85546875" style="1" bestFit="1" customWidth="1"/>
    <col min="4237" max="4237" width="9.5703125" style="1" bestFit="1" customWidth="1"/>
    <col min="4238" max="4238" width="35.85546875" style="1" bestFit="1" customWidth="1"/>
    <col min="4239" max="4239" width="33.85546875" style="1" bestFit="1" customWidth="1"/>
    <col min="4240" max="4240" width="9.5703125" style="1" bestFit="1" customWidth="1"/>
    <col min="4241" max="4241" width="35.85546875" style="1" bestFit="1" customWidth="1"/>
    <col min="4242" max="4242" width="33.85546875" style="1" bestFit="1" customWidth="1"/>
    <col min="4243" max="4243" width="9.5703125" style="1" bestFit="1" customWidth="1"/>
    <col min="4244" max="4244" width="35.85546875" style="1" bestFit="1" customWidth="1"/>
    <col min="4245" max="4245" width="33.85546875" style="1" bestFit="1" customWidth="1"/>
    <col min="4246" max="4246" width="9.5703125" style="1" bestFit="1" customWidth="1"/>
    <col min="4247" max="4247" width="35.85546875" style="1" bestFit="1" customWidth="1"/>
    <col min="4248" max="4248" width="33.85546875" style="1" bestFit="1" customWidth="1"/>
    <col min="4249" max="4249" width="9.5703125" style="1" bestFit="1" customWidth="1"/>
    <col min="4250" max="4250" width="35.85546875" style="1" bestFit="1" customWidth="1"/>
    <col min="4251" max="4251" width="33.85546875" style="1" bestFit="1" customWidth="1"/>
    <col min="4252" max="4252" width="9.5703125" style="1" bestFit="1" customWidth="1"/>
    <col min="4253" max="4253" width="35.85546875" style="1" bestFit="1" customWidth="1"/>
    <col min="4254" max="4254" width="33.85546875" style="1" bestFit="1" customWidth="1"/>
    <col min="4255" max="4255" width="9.5703125" style="1" bestFit="1" customWidth="1"/>
    <col min="4256" max="4256" width="35.85546875" style="1" bestFit="1" customWidth="1"/>
    <col min="4257" max="4257" width="33.85546875" style="1" bestFit="1" customWidth="1"/>
    <col min="4258" max="4258" width="9.5703125" style="1" bestFit="1" customWidth="1"/>
    <col min="4259" max="4259" width="35.85546875" style="1" bestFit="1" customWidth="1"/>
    <col min="4260" max="4260" width="33.85546875" style="1" bestFit="1" customWidth="1"/>
    <col min="4261" max="4261" width="9.5703125" style="1" bestFit="1" customWidth="1"/>
    <col min="4262" max="4262" width="35.85546875" style="1" bestFit="1" customWidth="1"/>
    <col min="4263" max="4263" width="33.85546875" style="1" bestFit="1" customWidth="1"/>
    <col min="4264" max="4264" width="9.5703125" style="1" bestFit="1" customWidth="1"/>
    <col min="4265" max="4265" width="35.85546875" style="1" bestFit="1" customWidth="1"/>
    <col min="4266" max="4266" width="33.85546875" style="1" bestFit="1" customWidth="1"/>
    <col min="4267" max="4267" width="9.5703125" style="1" bestFit="1" customWidth="1"/>
    <col min="4268" max="4268" width="35.85546875" style="1" bestFit="1" customWidth="1"/>
    <col min="4269" max="4269" width="33.85546875" style="1" bestFit="1" customWidth="1"/>
    <col min="4270" max="4270" width="9.5703125" style="1" bestFit="1" customWidth="1"/>
    <col min="4271" max="4271" width="35.85546875" style="1" bestFit="1" customWidth="1"/>
    <col min="4272" max="4272" width="33.85546875" style="1" bestFit="1" customWidth="1"/>
    <col min="4273" max="4273" width="9.5703125" style="1" bestFit="1" customWidth="1"/>
    <col min="4274" max="4274" width="35.85546875" style="1" bestFit="1" customWidth="1"/>
    <col min="4275" max="4275" width="33.85546875" style="1" bestFit="1" customWidth="1"/>
    <col min="4276" max="4276" width="9.5703125" style="1" bestFit="1" customWidth="1"/>
    <col min="4277" max="4277" width="35.85546875" style="1" bestFit="1" customWidth="1"/>
    <col min="4278" max="4278" width="33.85546875" style="1" bestFit="1" customWidth="1"/>
    <col min="4279" max="4279" width="9.5703125" style="1" bestFit="1" customWidth="1"/>
    <col min="4280" max="4280" width="35.85546875" style="1" bestFit="1" customWidth="1"/>
    <col min="4281" max="4281" width="33.85546875" style="1" bestFit="1" customWidth="1"/>
    <col min="4282" max="4282" width="9.5703125" style="1" bestFit="1" customWidth="1"/>
    <col min="4283" max="4283" width="35.85546875" style="1" bestFit="1" customWidth="1"/>
    <col min="4284" max="4284" width="33.85546875" style="1" bestFit="1" customWidth="1"/>
    <col min="4285" max="4285" width="9.5703125" style="1" bestFit="1" customWidth="1"/>
    <col min="4286" max="4286" width="35.85546875" style="1" bestFit="1" customWidth="1"/>
    <col min="4287" max="4287" width="33.85546875" style="1" bestFit="1" customWidth="1"/>
    <col min="4288" max="4288" width="9.5703125" style="1" bestFit="1" customWidth="1"/>
    <col min="4289" max="4289" width="35.85546875" style="1" bestFit="1" customWidth="1"/>
    <col min="4290" max="4290" width="33.85546875" style="1" bestFit="1" customWidth="1"/>
    <col min="4291" max="4291" width="9.5703125" style="1" bestFit="1" customWidth="1"/>
    <col min="4292" max="4292" width="35.85546875" style="1" bestFit="1" customWidth="1"/>
    <col min="4293" max="4293" width="33.85546875" style="1" bestFit="1" customWidth="1"/>
    <col min="4294" max="4294" width="9.5703125" style="1" bestFit="1" customWidth="1"/>
    <col min="4295" max="4295" width="35.85546875" style="1" bestFit="1" customWidth="1"/>
    <col min="4296" max="4296" width="33.85546875" style="1" bestFit="1" customWidth="1"/>
    <col min="4297" max="4297" width="9.5703125" style="1" bestFit="1" customWidth="1"/>
    <col min="4298" max="4298" width="35.85546875" style="1" bestFit="1" customWidth="1"/>
    <col min="4299" max="4299" width="33.85546875" style="1" bestFit="1" customWidth="1"/>
    <col min="4300" max="4300" width="9.5703125" style="1" bestFit="1" customWidth="1"/>
    <col min="4301" max="4301" width="35.85546875" style="1" bestFit="1" customWidth="1"/>
    <col min="4302" max="4302" width="33.85546875" style="1" bestFit="1" customWidth="1"/>
    <col min="4303" max="4303" width="9.5703125" style="1" bestFit="1" customWidth="1"/>
    <col min="4304" max="4304" width="35.85546875" style="1" bestFit="1" customWidth="1"/>
    <col min="4305" max="4305" width="33.85546875" style="1" bestFit="1" customWidth="1"/>
    <col min="4306" max="4306" width="9.5703125" style="1" bestFit="1" customWidth="1"/>
    <col min="4307" max="4307" width="35.85546875" style="1" bestFit="1" customWidth="1"/>
    <col min="4308" max="4308" width="33.85546875" style="1" bestFit="1" customWidth="1"/>
    <col min="4309" max="4309" width="9.5703125" style="1" bestFit="1" customWidth="1"/>
    <col min="4310" max="4310" width="35.85546875" style="1" bestFit="1" customWidth="1"/>
    <col min="4311" max="4311" width="33.85546875" style="1" bestFit="1" customWidth="1"/>
    <col min="4312" max="4312" width="9.5703125" style="1" bestFit="1" customWidth="1"/>
    <col min="4313" max="4313" width="35.85546875" style="1" bestFit="1" customWidth="1"/>
    <col min="4314" max="4314" width="33.85546875" style="1" bestFit="1" customWidth="1"/>
    <col min="4315" max="4315" width="9.5703125" style="1" bestFit="1" customWidth="1"/>
    <col min="4316" max="4316" width="35.85546875" style="1" bestFit="1" customWidth="1"/>
    <col min="4317" max="4317" width="33.85546875" style="1" bestFit="1" customWidth="1"/>
    <col min="4318" max="4318" width="9.5703125" style="1" bestFit="1" customWidth="1"/>
    <col min="4319" max="4319" width="35.85546875" style="1" bestFit="1" customWidth="1"/>
    <col min="4320" max="4320" width="33.85546875" style="1" bestFit="1" customWidth="1"/>
    <col min="4321" max="4321" width="9.5703125" style="1" bestFit="1" customWidth="1"/>
    <col min="4322" max="4322" width="35.85546875" style="1" bestFit="1" customWidth="1"/>
    <col min="4323" max="4323" width="33.85546875" style="1" bestFit="1" customWidth="1"/>
    <col min="4324" max="4324" width="9.5703125" style="1" bestFit="1" customWidth="1"/>
    <col min="4325" max="4325" width="35.85546875" style="1" bestFit="1" customWidth="1"/>
    <col min="4326" max="4326" width="33.85546875" style="1" bestFit="1" customWidth="1"/>
    <col min="4327" max="4327" width="9.5703125" style="1" bestFit="1" customWidth="1"/>
    <col min="4328" max="4328" width="35.85546875" style="1" bestFit="1" customWidth="1"/>
    <col min="4329" max="4329" width="33.85546875" style="1" bestFit="1" customWidth="1"/>
    <col min="4330" max="4330" width="9.5703125" style="1" bestFit="1" customWidth="1"/>
    <col min="4331" max="4331" width="35.85546875" style="1" bestFit="1" customWidth="1"/>
    <col min="4332" max="4332" width="33.85546875" style="1" bestFit="1" customWidth="1"/>
    <col min="4333" max="4333" width="9.5703125" style="1" bestFit="1" customWidth="1"/>
    <col min="4334" max="4334" width="35.85546875" style="1" bestFit="1" customWidth="1"/>
    <col min="4335" max="4335" width="33.85546875" style="1" bestFit="1" customWidth="1"/>
    <col min="4336" max="4336" width="9.5703125" style="1" bestFit="1" customWidth="1"/>
    <col min="4337" max="4337" width="35.85546875" style="1" bestFit="1" customWidth="1"/>
    <col min="4338" max="4338" width="33.85546875" style="1" bestFit="1" customWidth="1"/>
    <col min="4339" max="4339" width="9.5703125" style="1" bestFit="1" customWidth="1"/>
    <col min="4340" max="4340" width="35.85546875" style="1" bestFit="1" customWidth="1"/>
    <col min="4341" max="4341" width="33.85546875" style="1" bestFit="1" customWidth="1"/>
    <col min="4342" max="4342" width="9.5703125" style="1" bestFit="1" customWidth="1"/>
    <col min="4343" max="4343" width="35.85546875" style="1" bestFit="1" customWidth="1"/>
    <col min="4344" max="4344" width="33.85546875" style="1" bestFit="1" customWidth="1"/>
    <col min="4345" max="4345" width="9.5703125" style="1" bestFit="1" customWidth="1"/>
    <col min="4346" max="4346" width="35.85546875" style="1" bestFit="1" customWidth="1"/>
    <col min="4347" max="4347" width="33.85546875" style="1" bestFit="1" customWidth="1"/>
    <col min="4348" max="4348" width="9.5703125" style="1" bestFit="1" customWidth="1"/>
    <col min="4349" max="4349" width="35.85546875" style="1" bestFit="1" customWidth="1"/>
    <col min="4350" max="4350" width="33.85546875" style="1" bestFit="1" customWidth="1"/>
    <col min="4351" max="4351" width="9.5703125" style="1" bestFit="1" customWidth="1"/>
    <col min="4352" max="4352" width="35.85546875" style="1" bestFit="1" customWidth="1"/>
    <col min="4353" max="4353" width="33.85546875" style="1" bestFit="1" customWidth="1"/>
    <col min="4354" max="4354" width="9.5703125" style="1" bestFit="1" customWidth="1"/>
    <col min="4355" max="4355" width="35.85546875" style="1" bestFit="1" customWidth="1"/>
    <col min="4356" max="4356" width="33.85546875" style="1" bestFit="1" customWidth="1"/>
    <col min="4357" max="4357" width="9.5703125" style="1" bestFit="1" customWidth="1"/>
    <col min="4358" max="4358" width="35.85546875" style="1" bestFit="1" customWidth="1"/>
    <col min="4359" max="4359" width="33.85546875" style="1" bestFit="1" customWidth="1"/>
    <col min="4360" max="4360" width="9.5703125" style="1" bestFit="1" customWidth="1"/>
    <col min="4361" max="4361" width="35.85546875" style="1" bestFit="1" customWidth="1"/>
    <col min="4362" max="4362" width="33.85546875" style="1" bestFit="1" customWidth="1"/>
    <col min="4363" max="4363" width="9.5703125" style="1" bestFit="1" customWidth="1"/>
    <col min="4364" max="4364" width="35.85546875" style="1" bestFit="1" customWidth="1"/>
    <col min="4365" max="4365" width="33.85546875" style="1" bestFit="1" customWidth="1"/>
    <col min="4366" max="4366" width="9.5703125" style="1" bestFit="1" customWidth="1"/>
    <col min="4367" max="4367" width="35.85546875" style="1" bestFit="1" customWidth="1"/>
    <col min="4368" max="4368" width="33.85546875" style="1" bestFit="1" customWidth="1"/>
    <col min="4369" max="4369" width="9.5703125" style="1" bestFit="1" customWidth="1"/>
    <col min="4370" max="4370" width="35.85546875" style="1" bestFit="1" customWidth="1"/>
    <col min="4371" max="4371" width="33.85546875" style="1" bestFit="1" customWidth="1"/>
    <col min="4372" max="4372" width="9.5703125" style="1" bestFit="1" customWidth="1"/>
    <col min="4373" max="4373" width="35.85546875" style="1" bestFit="1" customWidth="1"/>
    <col min="4374" max="4374" width="33.85546875" style="1" bestFit="1" customWidth="1"/>
    <col min="4375" max="4375" width="9.5703125" style="1" bestFit="1" customWidth="1"/>
    <col min="4376" max="4438" width="22.140625" style="1"/>
    <col min="4439" max="4439" width="40.42578125" style="1" customWidth="1"/>
    <col min="4440" max="4440" width="25.42578125" style="1" bestFit="1" customWidth="1"/>
    <col min="4441" max="4441" width="23.85546875" style="1" bestFit="1" customWidth="1"/>
    <col min="4442" max="4442" width="41.85546875" style="1" customWidth="1"/>
    <col min="4443" max="4443" width="26.42578125" style="1" bestFit="1" customWidth="1"/>
    <col min="4444" max="4445" width="16.42578125" style="1" customWidth="1"/>
    <col min="4446" max="4446" width="19.42578125" style="1" customWidth="1"/>
    <col min="4447" max="4447" width="16" style="1" customWidth="1"/>
    <col min="4448" max="4448" width="16.5703125" style="1" customWidth="1"/>
    <col min="4449" max="4449" width="7.5703125" style="1" bestFit="1" customWidth="1"/>
    <col min="4450" max="4450" width="16.5703125" style="1" customWidth="1"/>
    <col min="4451" max="4451" width="17.140625" style="1" customWidth="1"/>
    <col min="4452" max="4475" width="0" style="1" hidden="1" customWidth="1"/>
    <col min="4476" max="4476" width="35.85546875" style="1" bestFit="1" customWidth="1"/>
    <col min="4477" max="4477" width="33.85546875" style="1" bestFit="1" customWidth="1"/>
    <col min="4478" max="4478" width="9.5703125" style="1" bestFit="1" customWidth="1"/>
    <col min="4479" max="4479" width="35.85546875" style="1" bestFit="1" customWidth="1"/>
    <col min="4480" max="4480" width="33.85546875" style="1" bestFit="1" customWidth="1"/>
    <col min="4481" max="4481" width="9.5703125" style="1" bestFit="1" customWidth="1"/>
    <col min="4482" max="4482" width="35.85546875" style="1" bestFit="1" customWidth="1"/>
    <col min="4483" max="4483" width="33.85546875" style="1" bestFit="1" customWidth="1"/>
    <col min="4484" max="4484" width="9.5703125" style="1" bestFit="1" customWidth="1"/>
    <col min="4485" max="4485" width="35.85546875" style="1" bestFit="1" customWidth="1"/>
    <col min="4486" max="4486" width="33.85546875" style="1" bestFit="1" customWidth="1"/>
    <col min="4487" max="4487" width="9.5703125" style="1" bestFit="1" customWidth="1"/>
    <col min="4488" max="4488" width="35.85546875" style="1" bestFit="1" customWidth="1"/>
    <col min="4489" max="4489" width="33.85546875" style="1" bestFit="1" customWidth="1"/>
    <col min="4490" max="4490" width="9.5703125" style="1" bestFit="1" customWidth="1"/>
    <col min="4491" max="4491" width="35.85546875" style="1" bestFit="1" customWidth="1"/>
    <col min="4492" max="4492" width="33.85546875" style="1" bestFit="1" customWidth="1"/>
    <col min="4493" max="4493" width="9.5703125" style="1" bestFit="1" customWidth="1"/>
    <col min="4494" max="4494" width="35.85546875" style="1" bestFit="1" customWidth="1"/>
    <col min="4495" max="4495" width="33.85546875" style="1" bestFit="1" customWidth="1"/>
    <col min="4496" max="4496" width="9.5703125" style="1" bestFit="1" customWidth="1"/>
    <col min="4497" max="4497" width="35.85546875" style="1" bestFit="1" customWidth="1"/>
    <col min="4498" max="4498" width="33.85546875" style="1" bestFit="1" customWidth="1"/>
    <col min="4499" max="4499" width="9.5703125" style="1" bestFit="1" customWidth="1"/>
    <col min="4500" max="4500" width="35.85546875" style="1" bestFit="1" customWidth="1"/>
    <col min="4501" max="4501" width="33.85546875" style="1" bestFit="1" customWidth="1"/>
    <col min="4502" max="4502" width="9.5703125" style="1" bestFit="1" customWidth="1"/>
    <col min="4503" max="4503" width="35.85546875" style="1" bestFit="1" customWidth="1"/>
    <col min="4504" max="4504" width="33.85546875" style="1" bestFit="1" customWidth="1"/>
    <col min="4505" max="4505" width="9.5703125" style="1" bestFit="1" customWidth="1"/>
    <col min="4506" max="4506" width="35.85546875" style="1" bestFit="1" customWidth="1"/>
    <col min="4507" max="4507" width="33.85546875" style="1" bestFit="1" customWidth="1"/>
    <col min="4508" max="4508" width="9.5703125" style="1" bestFit="1" customWidth="1"/>
    <col min="4509" max="4509" width="35.85546875" style="1" bestFit="1" customWidth="1"/>
    <col min="4510" max="4510" width="33.85546875" style="1" bestFit="1" customWidth="1"/>
    <col min="4511" max="4511" width="9.5703125" style="1" bestFit="1" customWidth="1"/>
    <col min="4512" max="4512" width="35.85546875" style="1" bestFit="1" customWidth="1"/>
    <col min="4513" max="4513" width="33.85546875" style="1" bestFit="1" customWidth="1"/>
    <col min="4514" max="4514" width="9.5703125" style="1" bestFit="1" customWidth="1"/>
    <col min="4515" max="4515" width="35.85546875" style="1" bestFit="1" customWidth="1"/>
    <col min="4516" max="4516" width="33.85546875" style="1" bestFit="1" customWidth="1"/>
    <col min="4517" max="4517" width="9.5703125" style="1" bestFit="1" customWidth="1"/>
    <col min="4518" max="4518" width="35.85546875" style="1" bestFit="1" customWidth="1"/>
    <col min="4519" max="4519" width="33.85546875" style="1" bestFit="1" customWidth="1"/>
    <col min="4520" max="4520" width="9.5703125" style="1" bestFit="1" customWidth="1"/>
    <col min="4521" max="4521" width="35.85546875" style="1" bestFit="1" customWidth="1"/>
    <col min="4522" max="4522" width="33.85546875" style="1" bestFit="1" customWidth="1"/>
    <col min="4523" max="4523" width="9.5703125" style="1" bestFit="1" customWidth="1"/>
    <col min="4524" max="4524" width="35.85546875" style="1" bestFit="1" customWidth="1"/>
    <col min="4525" max="4525" width="33.85546875" style="1" bestFit="1" customWidth="1"/>
    <col min="4526" max="4526" width="9.5703125" style="1" bestFit="1" customWidth="1"/>
    <col min="4527" max="4527" width="35.85546875" style="1" bestFit="1" customWidth="1"/>
    <col min="4528" max="4528" width="33.85546875" style="1" bestFit="1" customWidth="1"/>
    <col min="4529" max="4529" width="9.5703125" style="1" bestFit="1" customWidth="1"/>
    <col min="4530" max="4530" width="35.85546875" style="1" bestFit="1" customWidth="1"/>
    <col min="4531" max="4531" width="33.85546875" style="1" bestFit="1" customWidth="1"/>
    <col min="4532" max="4532" width="9.5703125" style="1" bestFit="1" customWidth="1"/>
    <col min="4533" max="4533" width="35.85546875" style="1" bestFit="1" customWidth="1"/>
    <col min="4534" max="4534" width="33.85546875" style="1" bestFit="1" customWidth="1"/>
    <col min="4535" max="4535" width="9.5703125" style="1" bestFit="1" customWidth="1"/>
    <col min="4536" max="4536" width="35.85546875" style="1" bestFit="1" customWidth="1"/>
    <col min="4537" max="4537" width="33.85546875" style="1" bestFit="1" customWidth="1"/>
    <col min="4538" max="4538" width="9.5703125" style="1" bestFit="1" customWidth="1"/>
    <col min="4539" max="4539" width="35.85546875" style="1" bestFit="1" customWidth="1"/>
    <col min="4540" max="4540" width="33.85546875" style="1" bestFit="1" customWidth="1"/>
    <col min="4541" max="4541" width="9.5703125" style="1" bestFit="1" customWidth="1"/>
    <col min="4542" max="4542" width="35.85546875" style="1" bestFit="1" customWidth="1"/>
    <col min="4543" max="4543" width="33.85546875" style="1" bestFit="1" customWidth="1"/>
    <col min="4544" max="4544" width="9.5703125" style="1" bestFit="1" customWidth="1"/>
    <col min="4545" max="4545" width="35.85546875" style="1" bestFit="1" customWidth="1"/>
    <col min="4546" max="4546" width="33.85546875" style="1" bestFit="1" customWidth="1"/>
    <col min="4547" max="4547" width="9.5703125" style="1" bestFit="1" customWidth="1"/>
    <col min="4548" max="4548" width="35.85546875" style="1" bestFit="1" customWidth="1"/>
    <col min="4549" max="4549" width="33.85546875" style="1" bestFit="1" customWidth="1"/>
    <col min="4550" max="4550" width="9.5703125" style="1" bestFit="1" customWidth="1"/>
    <col min="4551" max="4551" width="35.85546875" style="1" bestFit="1" customWidth="1"/>
    <col min="4552" max="4552" width="33.85546875" style="1" bestFit="1" customWidth="1"/>
    <col min="4553" max="4553" width="9.5703125" style="1" bestFit="1" customWidth="1"/>
    <col min="4554" max="4554" width="35.85546875" style="1" bestFit="1" customWidth="1"/>
    <col min="4555" max="4555" width="33.85546875" style="1" bestFit="1" customWidth="1"/>
    <col min="4556" max="4556" width="9.5703125" style="1" bestFit="1" customWidth="1"/>
    <col min="4557" max="4557" width="35.85546875" style="1" bestFit="1" customWidth="1"/>
    <col min="4558" max="4558" width="33.85546875" style="1" bestFit="1" customWidth="1"/>
    <col min="4559" max="4559" width="9.5703125" style="1" bestFit="1" customWidth="1"/>
    <col min="4560" max="4560" width="35.85546875" style="1" bestFit="1" customWidth="1"/>
    <col min="4561" max="4561" width="33.85546875" style="1" bestFit="1" customWidth="1"/>
    <col min="4562" max="4562" width="9.5703125" style="1" bestFit="1" customWidth="1"/>
    <col min="4563" max="4563" width="35.85546875" style="1" bestFit="1" customWidth="1"/>
    <col min="4564" max="4564" width="33.85546875" style="1" bestFit="1" customWidth="1"/>
    <col min="4565" max="4565" width="9.5703125" style="1" bestFit="1" customWidth="1"/>
    <col min="4566" max="4566" width="35.85546875" style="1" bestFit="1" customWidth="1"/>
    <col min="4567" max="4567" width="33.85546875" style="1" bestFit="1" customWidth="1"/>
    <col min="4568" max="4568" width="9.5703125" style="1" bestFit="1" customWidth="1"/>
    <col min="4569" max="4569" width="35.85546875" style="1" bestFit="1" customWidth="1"/>
    <col min="4570" max="4570" width="33.85546875" style="1" bestFit="1" customWidth="1"/>
    <col min="4571" max="4571" width="9.5703125" style="1" bestFit="1" customWidth="1"/>
    <col min="4572" max="4572" width="35.85546875" style="1" bestFit="1" customWidth="1"/>
    <col min="4573" max="4573" width="33.85546875" style="1" bestFit="1" customWidth="1"/>
    <col min="4574" max="4574" width="9.5703125" style="1" bestFit="1" customWidth="1"/>
    <col min="4575" max="4575" width="35.85546875" style="1" bestFit="1" customWidth="1"/>
    <col min="4576" max="4576" width="33.85546875" style="1" bestFit="1" customWidth="1"/>
    <col min="4577" max="4577" width="9.5703125" style="1" bestFit="1" customWidth="1"/>
    <col min="4578" max="4578" width="35.85546875" style="1" bestFit="1" customWidth="1"/>
    <col min="4579" max="4579" width="33.85546875" style="1" bestFit="1" customWidth="1"/>
    <col min="4580" max="4580" width="9.5703125" style="1" bestFit="1" customWidth="1"/>
    <col min="4581" max="4581" width="35.85546875" style="1" bestFit="1" customWidth="1"/>
    <col min="4582" max="4582" width="33.85546875" style="1" bestFit="1" customWidth="1"/>
    <col min="4583" max="4583" width="9.5703125" style="1" bestFit="1" customWidth="1"/>
    <col min="4584" max="4584" width="35.85546875" style="1" bestFit="1" customWidth="1"/>
    <col min="4585" max="4585" width="33.85546875" style="1" bestFit="1" customWidth="1"/>
    <col min="4586" max="4586" width="9.5703125" style="1" bestFit="1" customWidth="1"/>
    <col min="4587" max="4587" width="35.85546875" style="1" bestFit="1" customWidth="1"/>
    <col min="4588" max="4588" width="33.85546875" style="1" bestFit="1" customWidth="1"/>
    <col min="4589" max="4589" width="9.5703125" style="1" bestFit="1" customWidth="1"/>
    <col min="4590" max="4590" width="35.85546875" style="1" bestFit="1" customWidth="1"/>
    <col min="4591" max="4591" width="33.85546875" style="1" bestFit="1" customWidth="1"/>
    <col min="4592" max="4592" width="9.5703125" style="1" bestFit="1" customWidth="1"/>
    <col min="4593" max="4593" width="35.85546875" style="1" bestFit="1" customWidth="1"/>
    <col min="4594" max="4594" width="33.85546875" style="1" bestFit="1" customWidth="1"/>
    <col min="4595" max="4595" width="9.5703125" style="1" bestFit="1" customWidth="1"/>
    <col min="4596" max="4596" width="35.85546875" style="1" bestFit="1" customWidth="1"/>
    <col min="4597" max="4597" width="33.85546875" style="1" bestFit="1" customWidth="1"/>
    <col min="4598" max="4598" width="9.5703125" style="1" bestFit="1" customWidth="1"/>
    <col min="4599" max="4599" width="35.85546875" style="1" bestFit="1" customWidth="1"/>
    <col min="4600" max="4600" width="33.85546875" style="1" bestFit="1" customWidth="1"/>
    <col min="4601" max="4601" width="9.5703125" style="1" bestFit="1" customWidth="1"/>
    <col min="4602" max="4602" width="35.85546875" style="1" bestFit="1" customWidth="1"/>
    <col min="4603" max="4603" width="33.85546875" style="1" bestFit="1" customWidth="1"/>
    <col min="4604" max="4604" width="9.5703125" style="1" bestFit="1" customWidth="1"/>
    <col min="4605" max="4605" width="35.85546875" style="1" bestFit="1" customWidth="1"/>
    <col min="4606" max="4606" width="33.85546875" style="1" bestFit="1" customWidth="1"/>
    <col min="4607" max="4607" width="9.5703125" style="1" bestFit="1" customWidth="1"/>
    <col min="4608" max="4608" width="35.85546875" style="1" bestFit="1" customWidth="1"/>
    <col min="4609" max="4609" width="33.85546875" style="1" bestFit="1" customWidth="1"/>
    <col min="4610" max="4610" width="9.5703125" style="1" bestFit="1" customWidth="1"/>
    <col min="4611" max="4611" width="35.85546875" style="1" bestFit="1" customWidth="1"/>
    <col min="4612" max="4612" width="33.85546875" style="1" bestFit="1" customWidth="1"/>
    <col min="4613" max="4613" width="9.5703125" style="1" bestFit="1" customWidth="1"/>
    <col min="4614" max="4614" width="35.85546875" style="1" bestFit="1" customWidth="1"/>
    <col min="4615" max="4615" width="33.85546875" style="1" bestFit="1" customWidth="1"/>
    <col min="4616" max="4616" width="9.5703125" style="1" bestFit="1" customWidth="1"/>
    <col min="4617" max="4617" width="35.85546875" style="1" bestFit="1" customWidth="1"/>
    <col min="4618" max="4618" width="33.85546875" style="1" bestFit="1" customWidth="1"/>
    <col min="4619" max="4619" width="9.5703125" style="1" bestFit="1" customWidth="1"/>
    <col min="4620" max="4620" width="35.85546875" style="1" bestFit="1" customWidth="1"/>
    <col min="4621" max="4621" width="33.85546875" style="1" bestFit="1" customWidth="1"/>
    <col min="4622" max="4622" width="9.5703125" style="1" bestFit="1" customWidth="1"/>
    <col min="4623" max="4623" width="35.85546875" style="1" bestFit="1" customWidth="1"/>
    <col min="4624" max="4624" width="33.85546875" style="1" bestFit="1" customWidth="1"/>
    <col min="4625" max="4625" width="9.5703125" style="1" bestFit="1" customWidth="1"/>
    <col min="4626" max="4626" width="35.85546875" style="1" bestFit="1" customWidth="1"/>
    <col min="4627" max="4627" width="33.85546875" style="1" bestFit="1" customWidth="1"/>
    <col min="4628" max="4628" width="9.5703125" style="1" bestFit="1" customWidth="1"/>
    <col min="4629" max="4629" width="35.85546875" style="1" bestFit="1" customWidth="1"/>
    <col min="4630" max="4630" width="33.85546875" style="1" bestFit="1" customWidth="1"/>
    <col min="4631" max="4631" width="9.5703125" style="1" bestFit="1" customWidth="1"/>
    <col min="4632" max="4694" width="22.140625" style="1"/>
    <col min="4695" max="4695" width="40.42578125" style="1" customWidth="1"/>
    <col min="4696" max="4696" width="25.42578125" style="1" bestFit="1" customWidth="1"/>
    <col min="4697" max="4697" width="23.85546875" style="1" bestFit="1" customWidth="1"/>
    <col min="4698" max="4698" width="41.85546875" style="1" customWidth="1"/>
    <col min="4699" max="4699" width="26.42578125" style="1" bestFit="1" customWidth="1"/>
    <col min="4700" max="4701" width="16.42578125" style="1" customWidth="1"/>
    <col min="4702" max="4702" width="19.42578125" style="1" customWidth="1"/>
    <col min="4703" max="4703" width="16" style="1" customWidth="1"/>
    <col min="4704" max="4704" width="16.5703125" style="1" customWidth="1"/>
    <col min="4705" max="4705" width="7.5703125" style="1" bestFit="1" customWidth="1"/>
    <col min="4706" max="4706" width="16.5703125" style="1" customWidth="1"/>
    <col min="4707" max="4707" width="17.140625" style="1" customWidth="1"/>
    <col min="4708" max="4731" width="0" style="1" hidden="1" customWidth="1"/>
    <col min="4732" max="4732" width="35.85546875" style="1" bestFit="1" customWidth="1"/>
    <col min="4733" max="4733" width="33.85546875" style="1" bestFit="1" customWidth="1"/>
    <col min="4734" max="4734" width="9.5703125" style="1" bestFit="1" customWidth="1"/>
    <col min="4735" max="4735" width="35.85546875" style="1" bestFit="1" customWidth="1"/>
    <col min="4736" max="4736" width="33.85546875" style="1" bestFit="1" customWidth="1"/>
    <col min="4737" max="4737" width="9.5703125" style="1" bestFit="1" customWidth="1"/>
    <col min="4738" max="4738" width="35.85546875" style="1" bestFit="1" customWidth="1"/>
    <col min="4739" max="4739" width="33.85546875" style="1" bestFit="1" customWidth="1"/>
    <col min="4740" max="4740" width="9.5703125" style="1" bestFit="1" customWidth="1"/>
    <col min="4741" max="4741" width="35.85546875" style="1" bestFit="1" customWidth="1"/>
    <col min="4742" max="4742" width="33.85546875" style="1" bestFit="1" customWidth="1"/>
    <col min="4743" max="4743" width="9.5703125" style="1" bestFit="1" customWidth="1"/>
    <col min="4744" max="4744" width="35.85546875" style="1" bestFit="1" customWidth="1"/>
    <col min="4745" max="4745" width="33.85546875" style="1" bestFit="1" customWidth="1"/>
    <col min="4746" max="4746" width="9.5703125" style="1" bestFit="1" customWidth="1"/>
    <col min="4747" max="4747" width="35.85546875" style="1" bestFit="1" customWidth="1"/>
    <col min="4748" max="4748" width="33.85546875" style="1" bestFit="1" customWidth="1"/>
    <col min="4749" max="4749" width="9.5703125" style="1" bestFit="1" customWidth="1"/>
    <col min="4750" max="4750" width="35.85546875" style="1" bestFit="1" customWidth="1"/>
    <col min="4751" max="4751" width="33.85546875" style="1" bestFit="1" customWidth="1"/>
    <col min="4752" max="4752" width="9.5703125" style="1" bestFit="1" customWidth="1"/>
    <col min="4753" max="4753" width="35.85546875" style="1" bestFit="1" customWidth="1"/>
    <col min="4754" max="4754" width="33.85546875" style="1" bestFit="1" customWidth="1"/>
    <col min="4755" max="4755" width="9.5703125" style="1" bestFit="1" customWidth="1"/>
    <col min="4756" max="4756" width="35.85546875" style="1" bestFit="1" customWidth="1"/>
    <col min="4757" max="4757" width="33.85546875" style="1" bestFit="1" customWidth="1"/>
    <col min="4758" max="4758" width="9.5703125" style="1" bestFit="1" customWidth="1"/>
    <col min="4759" max="4759" width="35.85546875" style="1" bestFit="1" customWidth="1"/>
    <col min="4760" max="4760" width="33.85546875" style="1" bestFit="1" customWidth="1"/>
    <col min="4761" max="4761" width="9.5703125" style="1" bestFit="1" customWidth="1"/>
    <col min="4762" max="4762" width="35.85546875" style="1" bestFit="1" customWidth="1"/>
    <col min="4763" max="4763" width="33.85546875" style="1" bestFit="1" customWidth="1"/>
    <col min="4764" max="4764" width="9.5703125" style="1" bestFit="1" customWidth="1"/>
    <col min="4765" max="4765" width="35.85546875" style="1" bestFit="1" customWidth="1"/>
    <col min="4766" max="4766" width="33.85546875" style="1" bestFit="1" customWidth="1"/>
    <col min="4767" max="4767" width="9.5703125" style="1" bestFit="1" customWidth="1"/>
    <col min="4768" max="4768" width="35.85546875" style="1" bestFit="1" customWidth="1"/>
    <col min="4769" max="4769" width="33.85546875" style="1" bestFit="1" customWidth="1"/>
    <col min="4770" max="4770" width="9.5703125" style="1" bestFit="1" customWidth="1"/>
    <col min="4771" max="4771" width="35.85546875" style="1" bestFit="1" customWidth="1"/>
    <col min="4772" max="4772" width="33.85546875" style="1" bestFit="1" customWidth="1"/>
    <col min="4773" max="4773" width="9.5703125" style="1" bestFit="1" customWidth="1"/>
    <col min="4774" max="4774" width="35.85546875" style="1" bestFit="1" customWidth="1"/>
    <col min="4775" max="4775" width="33.85546875" style="1" bestFit="1" customWidth="1"/>
    <col min="4776" max="4776" width="9.5703125" style="1" bestFit="1" customWidth="1"/>
    <col min="4777" max="4777" width="35.85546875" style="1" bestFit="1" customWidth="1"/>
    <col min="4778" max="4778" width="33.85546875" style="1" bestFit="1" customWidth="1"/>
    <col min="4779" max="4779" width="9.5703125" style="1" bestFit="1" customWidth="1"/>
    <col min="4780" max="4780" width="35.85546875" style="1" bestFit="1" customWidth="1"/>
    <col min="4781" max="4781" width="33.85546875" style="1" bestFit="1" customWidth="1"/>
    <col min="4782" max="4782" width="9.5703125" style="1" bestFit="1" customWidth="1"/>
    <col min="4783" max="4783" width="35.85546875" style="1" bestFit="1" customWidth="1"/>
    <col min="4784" max="4784" width="33.85546875" style="1" bestFit="1" customWidth="1"/>
    <col min="4785" max="4785" width="9.5703125" style="1" bestFit="1" customWidth="1"/>
    <col min="4786" max="4786" width="35.85546875" style="1" bestFit="1" customWidth="1"/>
    <col min="4787" max="4787" width="33.85546875" style="1" bestFit="1" customWidth="1"/>
    <col min="4788" max="4788" width="9.5703125" style="1" bestFit="1" customWidth="1"/>
    <col min="4789" max="4789" width="35.85546875" style="1" bestFit="1" customWidth="1"/>
    <col min="4790" max="4790" width="33.85546875" style="1" bestFit="1" customWidth="1"/>
    <col min="4791" max="4791" width="9.5703125" style="1" bestFit="1" customWidth="1"/>
    <col min="4792" max="4792" width="35.85546875" style="1" bestFit="1" customWidth="1"/>
    <col min="4793" max="4793" width="33.85546875" style="1" bestFit="1" customWidth="1"/>
    <col min="4794" max="4794" width="9.5703125" style="1" bestFit="1" customWidth="1"/>
    <col min="4795" max="4795" width="35.85546875" style="1" bestFit="1" customWidth="1"/>
    <col min="4796" max="4796" width="33.85546875" style="1" bestFit="1" customWidth="1"/>
    <col min="4797" max="4797" width="9.5703125" style="1" bestFit="1" customWidth="1"/>
    <col min="4798" max="4798" width="35.85546875" style="1" bestFit="1" customWidth="1"/>
    <col min="4799" max="4799" width="33.85546875" style="1" bestFit="1" customWidth="1"/>
    <col min="4800" max="4800" width="9.5703125" style="1" bestFit="1" customWidth="1"/>
    <col min="4801" max="4801" width="35.85546875" style="1" bestFit="1" customWidth="1"/>
    <col min="4802" max="4802" width="33.85546875" style="1" bestFit="1" customWidth="1"/>
    <col min="4803" max="4803" width="9.5703125" style="1" bestFit="1" customWidth="1"/>
    <col min="4804" max="4804" width="35.85546875" style="1" bestFit="1" customWidth="1"/>
    <col min="4805" max="4805" width="33.85546875" style="1" bestFit="1" customWidth="1"/>
    <col min="4806" max="4806" width="9.5703125" style="1" bestFit="1" customWidth="1"/>
    <col min="4807" max="4807" width="35.85546875" style="1" bestFit="1" customWidth="1"/>
    <col min="4808" max="4808" width="33.85546875" style="1" bestFit="1" customWidth="1"/>
    <col min="4809" max="4809" width="9.5703125" style="1" bestFit="1" customWidth="1"/>
    <col min="4810" max="4810" width="35.85546875" style="1" bestFit="1" customWidth="1"/>
    <col min="4811" max="4811" width="33.85546875" style="1" bestFit="1" customWidth="1"/>
    <col min="4812" max="4812" width="9.5703125" style="1" bestFit="1" customWidth="1"/>
    <col min="4813" max="4813" width="35.85546875" style="1" bestFit="1" customWidth="1"/>
    <col min="4814" max="4814" width="33.85546875" style="1" bestFit="1" customWidth="1"/>
    <col min="4815" max="4815" width="9.5703125" style="1" bestFit="1" customWidth="1"/>
    <col min="4816" max="4816" width="35.85546875" style="1" bestFit="1" customWidth="1"/>
    <col min="4817" max="4817" width="33.85546875" style="1" bestFit="1" customWidth="1"/>
    <col min="4818" max="4818" width="9.5703125" style="1" bestFit="1" customWidth="1"/>
    <col min="4819" max="4819" width="35.85546875" style="1" bestFit="1" customWidth="1"/>
    <col min="4820" max="4820" width="33.85546875" style="1" bestFit="1" customWidth="1"/>
    <col min="4821" max="4821" width="9.5703125" style="1" bestFit="1" customWidth="1"/>
    <col min="4822" max="4822" width="35.85546875" style="1" bestFit="1" customWidth="1"/>
    <col min="4823" max="4823" width="33.85546875" style="1" bestFit="1" customWidth="1"/>
    <col min="4824" max="4824" width="9.5703125" style="1" bestFit="1" customWidth="1"/>
    <col min="4825" max="4825" width="35.85546875" style="1" bestFit="1" customWidth="1"/>
    <col min="4826" max="4826" width="33.85546875" style="1" bestFit="1" customWidth="1"/>
    <col min="4827" max="4827" width="9.5703125" style="1" bestFit="1" customWidth="1"/>
    <col min="4828" max="4828" width="35.85546875" style="1" bestFit="1" customWidth="1"/>
    <col min="4829" max="4829" width="33.85546875" style="1" bestFit="1" customWidth="1"/>
    <col min="4830" max="4830" width="9.5703125" style="1" bestFit="1" customWidth="1"/>
    <col min="4831" max="4831" width="35.85546875" style="1" bestFit="1" customWidth="1"/>
    <col min="4832" max="4832" width="33.85546875" style="1" bestFit="1" customWidth="1"/>
    <col min="4833" max="4833" width="9.5703125" style="1" bestFit="1" customWidth="1"/>
    <col min="4834" max="4834" width="35.85546875" style="1" bestFit="1" customWidth="1"/>
    <col min="4835" max="4835" width="33.85546875" style="1" bestFit="1" customWidth="1"/>
    <col min="4836" max="4836" width="9.5703125" style="1" bestFit="1" customWidth="1"/>
    <col min="4837" max="4837" width="35.85546875" style="1" bestFit="1" customWidth="1"/>
    <col min="4838" max="4838" width="33.85546875" style="1" bestFit="1" customWidth="1"/>
    <col min="4839" max="4839" width="9.5703125" style="1" bestFit="1" customWidth="1"/>
    <col min="4840" max="4840" width="35.85546875" style="1" bestFit="1" customWidth="1"/>
    <col min="4841" max="4841" width="33.85546875" style="1" bestFit="1" customWidth="1"/>
    <col min="4842" max="4842" width="9.5703125" style="1" bestFit="1" customWidth="1"/>
    <col min="4843" max="4843" width="35.85546875" style="1" bestFit="1" customWidth="1"/>
    <col min="4844" max="4844" width="33.85546875" style="1" bestFit="1" customWidth="1"/>
    <col min="4845" max="4845" width="9.5703125" style="1" bestFit="1" customWidth="1"/>
    <col min="4846" max="4846" width="35.85546875" style="1" bestFit="1" customWidth="1"/>
    <col min="4847" max="4847" width="33.85546875" style="1" bestFit="1" customWidth="1"/>
    <col min="4848" max="4848" width="9.5703125" style="1" bestFit="1" customWidth="1"/>
    <col min="4849" max="4849" width="35.85546875" style="1" bestFit="1" customWidth="1"/>
    <col min="4850" max="4850" width="33.85546875" style="1" bestFit="1" customWidth="1"/>
    <col min="4851" max="4851" width="9.5703125" style="1" bestFit="1" customWidth="1"/>
    <col min="4852" max="4852" width="35.85546875" style="1" bestFit="1" customWidth="1"/>
    <col min="4853" max="4853" width="33.85546875" style="1" bestFit="1" customWidth="1"/>
    <col min="4854" max="4854" width="9.5703125" style="1" bestFit="1" customWidth="1"/>
    <col min="4855" max="4855" width="35.85546875" style="1" bestFit="1" customWidth="1"/>
    <col min="4856" max="4856" width="33.85546875" style="1" bestFit="1" customWidth="1"/>
    <col min="4857" max="4857" width="9.5703125" style="1" bestFit="1" customWidth="1"/>
    <col min="4858" max="4858" width="35.85546875" style="1" bestFit="1" customWidth="1"/>
    <col min="4859" max="4859" width="33.85546875" style="1" bestFit="1" customWidth="1"/>
    <col min="4860" max="4860" width="9.5703125" style="1" bestFit="1" customWidth="1"/>
    <col min="4861" max="4861" width="35.85546875" style="1" bestFit="1" customWidth="1"/>
    <col min="4862" max="4862" width="33.85546875" style="1" bestFit="1" customWidth="1"/>
    <col min="4863" max="4863" width="9.5703125" style="1" bestFit="1" customWidth="1"/>
    <col min="4864" max="4864" width="35.85546875" style="1" bestFit="1" customWidth="1"/>
    <col min="4865" max="4865" width="33.85546875" style="1" bestFit="1" customWidth="1"/>
    <col min="4866" max="4866" width="9.5703125" style="1" bestFit="1" customWidth="1"/>
    <col min="4867" max="4867" width="35.85546875" style="1" bestFit="1" customWidth="1"/>
    <col min="4868" max="4868" width="33.85546875" style="1" bestFit="1" customWidth="1"/>
    <col min="4869" max="4869" width="9.5703125" style="1" bestFit="1" customWidth="1"/>
    <col min="4870" max="4870" width="35.85546875" style="1" bestFit="1" customWidth="1"/>
    <col min="4871" max="4871" width="33.85546875" style="1" bestFit="1" customWidth="1"/>
    <col min="4872" max="4872" width="9.5703125" style="1" bestFit="1" customWidth="1"/>
    <col min="4873" max="4873" width="35.85546875" style="1" bestFit="1" customWidth="1"/>
    <col min="4874" max="4874" width="33.85546875" style="1" bestFit="1" customWidth="1"/>
    <col min="4875" max="4875" width="9.5703125" style="1" bestFit="1" customWidth="1"/>
    <col min="4876" max="4876" width="35.85546875" style="1" bestFit="1" customWidth="1"/>
    <col min="4877" max="4877" width="33.85546875" style="1" bestFit="1" customWidth="1"/>
    <col min="4878" max="4878" width="9.5703125" style="1" bestFit="1" customWidth="1"/>
    <col min="4879" max="4879" width="35.85546875" style="1" bestFit="1" customWidth="1"/>
    <col min="4880" max="4880" width="33.85546875" style="1" bestFit="1" customWidth="1"/>
    <col min="4881" max="4881" width="9.5703125" style="1" bestFit="1" customWidth="1"/>
    <col min="4882" max="4882" width="35.85546875" style="1" bestFit="1" customWidth="1"/>
    <col min="4883" max="4883" width="33.85546875" style="1" bestFit="1" customWidth="1"/>
    <col min="4884" max="4884" width="9.5703125" style="1" bestFit="1" customWidth="1"/>
    <col min="4885" max="4885" width="35.85546875" style="1" bestFit="1" customWidth="1"/>
    <col min="4886" max="4886" width="33.85546875" style="1" bestFit="1" customWidth="1"/>
    <col min="4887" max="4887" width="9.5703125" style="1" bestFit="1" customWidth="1"/>
    <col min="4888" max="4950" width="22.140625" style="1"/>
    <col min="4951" max="4951" width="40.42578125" style="1" customWidth="1"/>
    <col min="4952" max="4952" width="25.42578125" style="1" bestFit="1" customWidth="1"/>
    <col min="4953" max="4953" width="23.85546875" style="1" bestFit="1" customWidth="1"/>
    <col min="4954" max="4954" width="41.85546875" style="1" customWidth="1"/>
    <col min="4955" max="4955" width="26.42578125" style="1" bestFit="1" customWidth="1"/>
    <col min="4956" max="4957" width="16.42578125" style="1" customWidth="1"/>
    <col min="4958" max="4958" width="19.42578125" style="1" customWidth="1"/>
    <col min="4959" max="4959" width="16" style="1" customWidth="1"/>
    <col min="4960" max="4960" width="16.5703125" style="1" customWidth="1"/>
    <col min="4961" max="4961" width="7.5703125" style="1" bestFit="1" customWidth="1"/>
    <col min="4962" max="4962" width="16.5703125" style="1" customWidth="1"/>
    <col min="4963" max="4963" width="17.140625" style="1" customWidth="1"/>
    <col min="4964" max="4987" width="0" style="1" hidden="1" customWidth="1"/>
    <col min="4988" max="4988" width="35.85546875" style="1" bestFit="1" customWidth="1"/>
    <col min="4989" max="4989" width="33.85546875" style="1" bestFit="1" customWidth="1"/>
    <col min="4990" max="4990" width="9.5703125" style="1" bestFit="1" customWidth="1"/>
    <col min="4991" max="4991" width="35.85546875" style="1" bestFit="1" customWidth="1"/>
    <col min="4992" max="4992" width="33.85546875" style="1" bestFit="1" customWidth="1"/>
    <col min="4993" max="4993" width="9.5703125" style="1" bestFit="1" customWidth="1"/>
    <col min="4994" max="4994" width="35.85546875" style="1" bestFit="1" customWidth="1"/>
    <col min="4995" max="4995" width="33.85546875" style="1" bestFit="1" customWidth="1"/>
    <col min="4996" max="4996" width="9.5703125" style="1" bestFit="1" customWidth="1"/>
    <col min="4997" max="4997" width="35.85546875" style="1" bestFit="1" customWidth="1"/>
    <col min="4998" max="4998" width="33.85546875" style="1" bestFit="1" customWidth="1"/>
    <col min="4999" max="4999" width="9.5703125" style="1" bestFit="1" customWidth="1"/>
    <col min="5000" max="5000" width="35.85546875" style="1" bestFit="1" customWidth="1"/>
    <col min="5001" max="5001" width="33.85546875" style="1" bestFit="1" customWidth="1"/>
    <col min="5002" max="5002" width="9.5703125" style="1" bestFit="1" customWidth="1"/>
    <col min="5003" max="5003" width="35.85546875" style="1" bestFit="1" customWidth="1"/>
    <col min="5004" max="5004" width="33.85546875" style="1" bestFit="1" customWidth="1"/>
    <col min="5005" max="5005" width="9.5703125" style="1" bestFit="1" customWidth="1"/>
    <col min="5006" max="5006" width="35.85546875" style="1" bestFit="1" customWidth="1"/>
    <col min="5007" max="5007" width="33.85546875" style="1" bestFit="1" customWidth="1"/>
    <col min="5008" max="5008" width="9.5703125" style="1" bestFit="1" customWidth="1"/>
    <col min="5009" max="5009" width="35.85546875" style="1" bestFit="1" customWidth="1"/>
    <col min="5010" max="5010" width="33.85546875" style="1" bestFit="1" customWidth="1"/>
    <col min="5011" max="5011" width="9.5703125" style="1" bestFit="1" customWidth="1"/>
    <col min="5012" max="5012" width="35.85546875" style="1" bestFit="1" customWidth="1"/>
    <col min="5013" max="5013" width="33.85546875" style="1" bestFit="1" customWidth="1"/>
    <col min="5014" max="5014" width="9.5703125" style="1" bestFit="1" customWidth="1"/>
    <col min="5015" max="5015" width="35.85546875" style="1" bestFit="1" customWidth="1"/>
    <col min="5016" max="5016" width="33.85546875" style="1" bestFit="1" customWidth="1"/>
    <col min="5017" max="5017" width="9.5703125" style="1" bestFit="1" customWidth="1"/>
    <col min="5018" max="5018" width="35.85546875" style="1" bestFit="1" customWidth="1"/>
    <col min="5019" max="5019" width="33.85546875" style="1" bestFit="1" customWidth="1"/>
    <col min="5020" max="5020" width="9.5703125" style="1" bestFit="1" customWidth="1"/>
    <col min="5021" max="5021" width="35.85546875" style="1" bestFit="1" customWidth="1"/>
    <col min="5022" max="5022" width="33.85546875" style="1" bestFit="1" customWidth="1"/>
    <col min="5023" max="5023" width="9.5703125" style="1" bestFit="1" customWidth="1"/>
    <col min="5024" max="5024" width="35.85546875" style="1" bestFit="1" customWidth="1"/>
    <col min="5025" max="5025" width="33.85546875" style="1" bestFit="1" customWidth="1"/>
    <col min="5026" max="5026" width="9.5703125" style="1" bestFit="1" customWidth="1"/>
    <col min="5027" max="5027" width="35.85546875" style="1" bestFit="1" customWidth="1"/>
    <col min="5028" max="5028" width="33.85546875" style="1" bestFit="1" customWidth="1"/>
    <col min="5029" max="5029" width="9.5703125" style="1" bestFit="1" customWidth="1"/>
    <col min="5030" max="5030" width="35.85546875" style="1" bestFit="1" customWidth="1"/>
    <col min="5031" max="5031" width="33.85546875" style="1" bestFit="1" customWidth="1"/>
    <col min="5032" max="5032" width="9.5703125" style="1" bestFit="1" customWidth="1"/>
    <col min="5033" max="5033" width="35.85546875" style="1" bestFit="1" customWidth="1"/>
    <col min="5034" max="5034" width="33.85546875" style="1" bestFit="1" customWidth="1"/>
    <col min="5035" max="5035" width="9.5703125" style="1" bestFit="1" customWidth="1"/>
    <col min="5036" max="5036" width="35.85546875" style="1" bestFit="1" customWidth="1"/>
    <col min="5037" max="5037" width="33.85546875" style="1" bestFit="1" customWidth="1"/>
    <col min="5038" max="5038" width="9.5703125" style="1" bestFit="1" customWidth="1"/>
    <col min="5039" max="5039" width="35.85546875" style="1" bestFit="1" customWidth="1"/>
    <col min="5040" max="5040" width="33.85546875" style="1" bestFit="1" customWidth="1"/>
    <col min="5041" max="5041" width="9.5703125" style="1" bestFit="1" customWidth="1"/>
    <col min="5042" max="5042" width="35.85546875" style="1" bestFit="1" customWidth="1"/>
    <col min="5043" max="5043" width="33.85546875" style="1" bestFit="1" customWidth="1"/>
    <col min="5044" max="5044" width="9.5703125" style="1" bestFit="1" customWidth="1"/>
    <col min="5045" max="5045" width="35.85546875" style="1" bestFit="1" customWidth="1"/>
    <col min="5046" max="5046" width="33.85546875" style="1" bestFit="1" customWidth="1"/>
    <col min="5047" max="5047" width="9.5703125" style="1" bestFit="1" customWidth="1"/>
    <col min="5048" max="5048" width="35.85546875" style="1" bestFit="1" customWidth="1"/>
    <col min="5049" max="5049" width="33.85546875" style="1" bestFit="1" customWidth="1"/>
    <col min="5050" max="5050" width="9.5703125" style="1" bestFit="1" customWidth="1"/>
    <col min="5051" max="5051" width="35.85546875" style="1" bestFit="1" customWidth="1"/>
    <col min="5052" max="5052" width="33.85546875" style="1" bestFit="1" customWidth="1"/>
    <col min="5053" max="5053" width="9.5703125" style="1" bestFit="1" customWidth="1"/>
    <col min="5054" max="5054" width="35.85546875" style="1" bestFit="1" customWidth="1"/>
    <col min="5055" max="5055" width="33.85546875" style="1" bestFit="1" customWidth="1"/>
    <col min="5056" max="5056" width="9.5703125" style="1" bestFit="1" customWidth="1"/>
    <col min="5057" max="5057" width="35.85546875" style="1" bestFit="1" customWidth="1"/>
    <col min="5058" max="5058" width="33.85546875" style="1" bestFit="1" customWidth="1"/>
    <col min="5059" max="5059" width="9.5703125" style="1" bestFit="1" customWidth="1"/>
    <col min="5060" max="5060" width="35.85546875" style="1" bestFit="1" customWidth="1"/>
    <col min="5061" max="5061" width="33.85546875" style="1" bestFit="1" customWidth="1"/>
    <col min="5062" max="5062" width="9.5703125" style="1" bestFit="1" customWidth="1"/>
    <col min="5063" max="5063" width="35.85546875" style="1" bestFit="1" customWidth="1"/>
    <col min="5064" max="5064" width="33.85546875" style="1" bestFit="1" customWidth="1"/>
    <col min="5065" max="5065" width="9.5703125" style="1" bestFit="1" customWidth="1"/>
    <col min="5066" max="5066" width="35.85546875" style="1" bestFit="1" customWidth="1"/>
    <col min="5067" max="5067" width="33.85546875" style="1" bestFit="1" customWidth="1"/>
    <col min="5068" max="5068" width="9.5703125" style="1" bestFit="1" customWidth="1"/>
    <col min="5069" max="5069" width="35.85546875" style="1" bestFit="1" customWidth="1"/>
    <col min="5070" max="5070" width="33.85546875" style="1" bestFit="1" customWidth="1"/>
    <col min="5071" max="5071" width="9.5703125" style="1" bestFit="1" customWidth="1"/>
    <col min="5072" max="5072" width="35.85546875" style="1" bestFit="1" customWidth="1"/>
    <col min="5073" max="5073" width="33.85546875" style="1" bestFit="1" customWidth="1"/>
    <col min="5074" max="5074" width="9.5703125" style="1" bestFit="1" customWidth="1"/>
    <col min="5075" max="5075" width="35.85546875" style="1" bestFit="1" customWidth="1"/>
    <col min="5076" max="5076" width="33.85546875" style="1" bestFit="1" customWidth="1"/>
    <col min="5077" max="5077" width="9.5703125" style="1" bestFit="1" customWidth="1"/>
    <col min="5078" max="5078" width="35.85546875" style="1" bestFit="1" customWidth="1"/>
    <col min="5079" max="5079" width="33.85546875" style="1" bestFit="1" customWidth="1"/>
    <col min="5080" max="5080" width="9.5703125" style="1" bestFit="1" customWidth="1"/>
    <col min="5081" max="5081" width="35.85546875" style="1" bestFit="1" customWidth="1"/>
    <col min="5082" max="5082" width="33.85546875" style="1" bestFit="1" customWidth="1"/>
    <col min="5083" max="5083" width="9.5703125" style="1" bestFit="1" customWidth="1"/>
    <col min="5084" max="5084" width="35.85546875" style="1" bestFit="1" customWidth="1"/>
    <col min="5085" max="5085" width="33.85546875" style="1" bestFit="1" customWidth="1"/>
    <col min="5086" max="5086" width="9.5703125" style="1" bestFit="1" customWidth="1"/>
    <col min="5087" max="5087" width="35.85546875" style="1" bestFit="1" customWidth="1"/>
    <col min="5088" max="5088" width="33.85546875" style="1" bestFit="1" customWidth="1"/>
    <col min="5089" max="5089" width="9.5703125" style="1" bestFit="1" customWidth="1"/>
    <col min="5090" max="5090" width="35.85546875" style="1" bestFit="1" customWidth="1"/>
    <col min="5091" max="5091" width="33.85546875" style="1" bestFit="1" customWidth="1"/>
    <col min="5092" max="5092" width="9.5703125" style="1" bestFit="1" customWidth="1"/>
    <col min="5093" max="5093" width="35.85546875" style="1" bestFit="1" customWidth="1"/>
    <col min="5094" max="5094" width="33.85546875" style="1" bestFit="1" customWidth="1"/>
    <col min="5095" max="5095" width="9.5703125" style="1" bestFit="1" customWidth="1"/>
    <col min="5096" max="5096" width="35.85546875" style="1" bestFit="1" customWidth="1"/>
    <col min="5097" max="5097" width="33.85546875" style="1" bestFit="1" customWidth="1"/>
    <col min="5098" max="5098" width="9.5703125" style="1" bestFit="1" customWidth="1"/>
    <col min="5099" max="5099" width="35.85546875" style="1" bestFit="1" customWidth="1"/>
    <col min="5100" max="5100" width="33.85546875" style="1" bestFit="1" customWidth="1"/>
    <col min="5101" max="5101" width="9.5703125" style="1" bestFit="1" customWidth="1"/>
    <col min="5102" max="5102" width="35.85546875" style="1" bestFit="1" customWidth="1"/>
    <col min="5103" max="5103" width="33.85546875" style="1" bestFit="1" customWidth="1"/>
    <col min="5104" max="5104" width="9.5703125" style="1" bestFit="1" customWidth="1"/>
    <col min="5105" max="5105" width="35.85546875" style="1" bestFit="1" customWidth="1"/>
    <col min="5106" max="5106" width="33.85546875" style="1" bestFit="1" customWidth="1"/>
    <col min="5107" max="5107" width="9.5703125" style="1" bestFit="1" customWidth="1"/>
    <col min="5108" max="5108" width="35.85546875" style="1" bestFit="1" customWidth="1"/>
    <col min="5109" max="5109" width="33.85546875" style="1" bestFit="1" customWidth="1"/>
    <col min="5110" max="5110" width="9.5703125" style="1" bestFit="1" customWidth="1"/>
    <col min="5111" max="5111" width="35.85546875" style="1" bestFit="1" customWidth="1"/>
    <col min="5112" max="5112" width="33.85546875" style="1" bestFit="1" customWidth="1"/>
    <col min="5113" max="5113" width="9.5703125" style="1" bestFit="1" customWidth="1"/>
    <col min="5114" max="5114" width="35.85546875" style="1" bestFit="1" customWidth="1"/>
    <col min="5115" max="5115" width="33.85546875" style="1" bestFit="1" customWidth="1"/>
    <col min="5116" max="5116" width="9.5703125" style="1" bestFit="1" customWidth="1"/>
    <col min="5117" max="5117" width="35.85546875" style="1" bestFit="1" customWidth="1"/>
    <col min="5118" max="5118" width="33.85546875" style="1" bestFit="1" customWidth="1"/>
    <col min="5119" max="5119" width="9.5703125" style="1" bestFit="1" customWidth="1"/>
    <col min="5120" max="5120" width="35.85546875" style="1" bestFit="1" customWidth="1"/>
    <col min="5121" max="5121" width="33.85546875" style="1" bestFit="1" customWidth="1"/>
    <col min="5122" max="5122" width="9.5703125" style="1" bestFit="1" customWidth="1"/>
    <col min="5123" max="5123" width="35.85546875" style="1" bestFit="1" customWidth="1"/>
    <col min="5124" max="5124" width="33.85546875" style="1" bestFit="1" customWidth="1"/>
    <col min="5125" max="5125" width="9.5703125" style="1" bestFit="1" customWidth="1"/>
    <col min="5126" max="5126" width="35.85546875" style="1" bestFit="1" customWidth="1"/>
    <col min="5127" max="5127" width="33.85546875" style="1" bestFit="1" customWidth="1"/>
    <col min="5128" max="5128" width="9.5703125" style="1" bestFit="1" customWidth="1"/>
    <col min="5129" max="5129" width="35.85546875" style="1" bestFit="1" customWidth="1"/>
    <col min="5130" max="5130" width="33.85546875" style="1" bestFit="1" customWidth="1"/>
    <col min="5131" max="5131" width="9.5703125" style="1" bestFit="1" customWidth="1"/>
    <col min="5132" max="5132" width="35.85546875" style="1" bestFit="1" customWidth="1"/>
    <col min="5133" max="5133" width="33.85546875" style="1" bestFit="1" customWidth="1"/>
    <col min="5134" max="5134" width="9.5703125" style="1" bestFit="1" customWidth="1"/>
    <col min="5135" max="5135" width="35.85546875" style="1" bestFit="1" customWidth="1"/>
    <col min="5136" max="5136" width="33.85546875" style="1" bestFit="1" customWidth="1"/>
    <col min="5137" max="5137" width="9.5703125" style="1" bestFit="1" customWidth="1"/>
    <col min="5138" max="5138" width="35.85546875" style="1" bestFit="1" customWidth="1"/>
    <col min="5139" max="5139" width="33.85546875" style="1" bestFit="1" customWidth="1"/>
    <col min="5140" max="5140" width="9.5703125" style="1" bestFit="1" customWidth="1"/>
    <col min="5141" max="5141" width="35.85546875" style="1" bestFit="1" customWidth="1"/>
    <col min="5142" max="5142" width="33.85546875" style="1" bestFit="1" customWidth="1"/>
    <col min="5143" max="5143" width="9.5703125" style="1" bestFit="1" customWidth="1"/>
    <col min="5144" max="5206" width="22.140625" style="1"/>
    <col min="5207" max="5207" width="40.42578125" style="1" customWidth="1"/>
    <col min="5208" max="5208" width="25.42578125" style="1" bestFit="1" customWidth="1"/>
    <col min="5209" max="5209" width="23.85546875" style="1" bestFit="1" customWidth="1"/>
    <col min="5210" max="5210" width="41.85546875" style="1" customWidth="1"/>
    <col min="5211" max="5211" width="26.42578125" style="1" bestFit="1" customWidth="1"/>
    <col min="5212" max="5213" width="16.42578125" style="1" customWidth="1"/>
    <col min="5214" max="5214" width="19.42578125" style="1" customWidth="1"/>
    <col min="5215" max="5215" width="16" style="1" customWidth="1"/>
    <col min="5216" max="5216" width="16.5703125" style="1" customWidth="1"/>
    <col min="5217" max="5217" width="7.5703125" style="1" bestFit="1" customWidth="1"/>
    <col min="5218" max="5218" width="16.5703125" style="1" customWidth="1"/>
    <col min="5219" max="5219" width="17.140625" style="1" customWidth="1"/>
    <col min="5220" max="5243" width="0" style="1" hidden="1" customWidth="1"/>
    <col min="5244" max="5244" width="35.85546875" style="1" bestFit="1" customWidth="1"/>
    <col min="5245" max="5245" width="33.85546875" style="1" bestFit="1" customWidth="1"/>
    <col min="5246" max="5246" width="9.5703125" style="1" bestFit="1" customWidth="1"/>
    <col min="5247" max="5247" width="35.85546875" style="1" bestFit="1" customWidth="1"/>
    <col min="5248" max="5248" width="33.85546875" style="1" bestFit="1" customWidth="1"/>
    <col min="5249" max="5249" width="9.5703125" style="1" bestFit="1" customWidth="1"/>
    <col min="5250" max="5250" width="35.85546875" style="1" bestFit="1" customWidth="1"/>
    <col min="5251" max="5251" width="33.85546875" style="1" bestFit="1" customWidth="1"/>
    <col min="5252" max="5252" width="9.5703125" style="1" bestFit="1" customWidth="1"/>
    <col min="5253" max="5253" width="35.85546875" style="1" bestFit="1" customWidth="1"/>
    <col min="5254" max="5254" width="33.85546875" style="1" bestFit="1" customWidth="1"/>
    <col min="5255" max="5255" width="9.5703125" style="1" bestFit="1" customWidth="1"/>
    <col min="5256" max="5256" width="35.85546875" style="1" bestFit="1" customWidth="1"/>
    <col min="5257" max="5257" width="33.85546875" style="1" bestFit="1" customWidth="1"/>
    <col min="5258" max="5258" width="9.5703125" style="1" bestFit="1" customWidth="1"/>
    <col min="5259" max="5259" width="35.85546875" style="1" bestFit="1" customWidth="1"/>
    <col min="5260" max="5260" width="33.85546875" style="1" bestFit="1" customWidth="1"/>
    <col min="5261" max="5261" width="9.5703125" style="1" bestFit="1" customWidth="1"/>
    <col min="5262" max="5262" width="35.85546875" style="1" bestFit="1" customWidth="1"/>
    <col min="5263" max="5263" width="33.85546875" style="1" bestFit="1" customWidth="1"/>
    <col min="5264" max="5264" width="9.5703125" style="1" bestFit="1" customWidth="1"/>
    <col min="5265" max="5265" width="35.85546875" style="1" bestFit="1" customWidth="1"/>
    <col min="5266" max="5266" width="33.85546875" style="1" bestFit="1" customWidth="1"/>
    <col min="5267" max="5267" width="9.5703125" style="1" bestFit="1" customWidth="1"/>
    <col min="5268" max="5268" width="35.85546875" style="1" bestFit="1" customWidth="1"/>
    <col min="5269" max="5269" width="33.85546875" style="1" bestFit="1" customWidth="1"/>
    <col min="5270" max="5270" width="9.5703125" style="1" bestFit="1" customWidth="1"/>
    <col min="5271" max="5271" width="35.85546875" style="1" bestFit="1" customWidth="1"/>
    <col min="5272" max="5272" width="33.85546875" style="1" bestFit="1" customWidth="1"/>
    <col min="5273" max="5273" width="9.5703125" style="1" bestFit="1" customWidth="1"/>
    <col min="5274" max="5274" width="35.85546875" style="1" bestFit="1" customWidth="1"/>
    <col min="5275" max="5275" width="33.85546875" style="1" bestFit="1" customWidth="1"/>
    <col min="5276" max="5276" width="9.5703125" style="1" bestFit="1" customWidth="1"/>
    <col min="5277" max="5277" width="35.85546875" style="1" bestFit="1" customWidth="1"/>
    <col min="5278" max="5278" width="33.85546875" style="1" bestFit="1" customWidth="1"/>
    <col min="5279" max="5279" width="9.5703125" style="1" bestFit="1" customWidth="1"/>
    <col min="5280" max="5280" width="35.85546875" style="1" bestFit="1" customWidth="1"/>
    <col min="5281" max="5281" width="33.85546875" style="1" bestFit="1" customWidth="1"/>
    <col min="5282" max="5282" width="9.5703125" style="1" bestFit="1" customWidth="1"/>
    <col min="5283" max="5283" width="35.85546875" style="1" bestFit="1" customWidth="1"/>
    <col min="5284" max="5284" width="33.85546875" style="1" bestFit="1" customWidth="1"/>
    <col min="5285" max="5285" width="9.5703125" style="1" bestFit="1" customWidth="1"/>
    <col min="5286" max="5286" width="35.85546875" style="1" bestFit="1" customWidth="1"/>
    <col min="5287" max="5287" width="33.85546875" style="1" bestFit="1" customWidth="1"/>
    <col min="5288" max="5288" width="9.5703125" style="1" bestFit="1" customWidth="1"/>
    <col min="5289" max="5289" width="35.85546875" style="1" bestFit="1" customWidth="1"/>
    <col min="5290" max="5290" width="33.85546875" style="1" bestFit="1" customWidth="1"/>
    <col min="5291" max="5291" width="9.5703125" style="1" bestFit="1" customWidth="1"/>
    <col min="5292" max="5292" width="35.85546875" style="1" bestFit="1" customWidth="1"/>
    <col min="5293" max="5293" width="33.85546875" style="1" bestFit="1" customWidth="1"/>
    <col min="5294" max="5294" width="9.5703125" style="1" bestFit="1" customWidth="1"/>
    <col min="5295" max="5295" width="35.85546875" style="1" bestFit="1" customWidth="1"/>
    <col min="5296" max="5296" width="33.85546875" style="1" bestFit="1" customWidth="1"/>
    <col min="5297" max="5297" width="9.5703125" style="1" bestFit="1" customWidth="1"/>
    <col min="5298" max="5298" width="35.85546875" style="1" bestFit="1" customWidth="1"/>
    <col min="5299" max="5299" width="33.85546875" style="1" bestFit="1" customWidth="1"/>
    <col min="5300" max="5300" width="9.5703125" style="1" bestFit="1" customWidth="1"/>
    <col min="5301" max="5301" width="35.85546875" style="1" bestFit="1" customWidth="1"/>
    <col min="5302" max="5302" width="33.85546875" style="1" bestFit="1" customWidth="1"/>
    <col min="5303" max="5303" width="9.5703125" style="1" bestFit="1" customWidth="1"/>
    <col min="5304" max="5304" width="35.85546875" style="1" bestFit="1" customWidth="1"/>
    <col min="5305" max="5305" width="33.85546875" style="1" bestFit="1" customWidth="1"/>
    <col min="5306" max="5306" width="9.5703125" style="1" bestFit="1" customWidth="1"/>
    <col min="5307" max="5307" width="35.85546875" style="1" bestFit="1" customWidth="1"/>
    <col min="5308" max="5308" width="33.85546875" style="1" bestFit="1" customWidth="1"/>
    <col min="5309" max="5309" width="9.5703125" style="1" bestFit="1" customWidth="1"/>
    <col min="5310" max="5310" width="35.85546875" style="1" bestFit="1" customWidth="1"/>
    <col min="5311" max="5311" width="33.85546875" style="1" bestFit="1" customWidth="1"/>
    <col min="5312" max="5312" width="9.5703125" style="1" bestFit="1" customWidth="1"/>
    <col min="5313" max="5313" width="35.85546875" style="1" bestFit="1" customWidth="1"/>
    <col min="5314" max="5314" width="33.85546875" style="1" bestFit="1" customWidth="1"/>
    <col min="5315" max="5315" width="9.5703125" style="1" bestFit="1" customWidth="1"/>
    <col min="5316" max="5316" width="35.85546875" style="1" bestFit="1" customWidth="1"/>
    <col min="5317" max="5317" width="33.85546875" style="1" bestFit="1" customWidth="1"/>
    <col min="5318" max="5318" width="9.5703125" style="1" bestFit="1" customWidth="1"/>
    <col min="5319" max="5319" width="35.85546875" style="1" bestFit="1" customWidth="1"/>
    <col min="5320" max="5320" width="33.85546875" style="1" bestFit="1" customWidth="1"/>
    <col min="5321" max="5321" width="9.5703125" style="1" bestFit="1" customWidth="1"/>
    <col min="5322" max="5322" width="35.85546875" style="1" bestFit="1" customWidth="1"/>
    <col min="5323" max="5323" width="33.85546875" style="1" bestFit="1" customWidth="1"/>
    <col min="5324" max="5324" width="9.5703125" style="1" bestFit="1" customWidth="1"/>
    <col min="5325" max="5325" width="35.85546875" style="1" bestFit="1" customWidth="1"/>
    <col min="5326" max="5326" width="33.85546875" style="1" bestFit="1" customWidth="1"/>
    <col min="5327" max="5327" width="9.5703125" style="1" bestFit="1" customWidth="1"/>
    <col min="5328" max="5328" width="35.85546875" style="1" bestFit="1" customWidth="1"/>
    <col min="5329" max="5329" width="33.85546875" style="1" bestFit="1" customWidth="1"/>
    <col min="5330" max="5330" width="9.5703125" style="1" bestFit="1" customWidth="1"/>
    <col min="5331" max="5331" width="35.85546875" style="1" bestFit="1" customWidth="1"/>
    <col min="5332" max="5332" width="33.85546875" style="1" bestFit="1" customWidth="1"/>
    <col min="5333" max="5333" width="9.5703125" style="1" bestFit="1" customWidth="1"/>
    <col min="5334" max="5334" width="35.85546875" style="1" bestFit="1" customWidth="1"/>
    <col min="5335" max="5335" width="33.85546875" style="1" bestFit="1" customWidth="1"/>
    <col min="5336" max="5336" width="9.5703125" style="1" bestFit="1" customWidth="1"/>
    <col min="5337" max="5337" width="35.85546875" style="1" bestFit="1" customWidth="1"/>
    <col min="5338" max="5338" width="33.85546875" style="1" bestFit="1" customWidth="1"/>
    <col min="5339" max="5339" width="9.5703125" style="1" bestFit="1" customWidth="1"/>
    <col min="5340" max="5340" width="35.85546875" style="1" bestFit="1" customWidth="1"/>
    <col min="5341" max="5341" width="33.85546875" style="1" bestFit="1" customWidth="1"/>
    <col min="5342" max="5342" width="9.5703125" style="1" bestFit="1" customWidth="1"/>
    <col min="5343" max="5343" width="35.85546875" style="1" bestFit="1" customWidth="1"/>
    <col min="5344" max="5344" width="33.85546875" style="1" bestFit="1" customWidth="1"/>
    <col min="5345" max="5345" width="9.5703125" style="1" bestFit="1" customWidth="1"/>
    <col min="5346" max="5346" width="35.85546875" style="1" bestFit="1" customWidth="1"/>
    <col min="5347" max="5347" width="33.85546875" style="1" bestFit="1" customWidth="1"/>
    <col min="5348" max="5348" width="9.5703125" style="1" bestFit="1" customWidth="1"/>
    <col min="5349" max="5349" width="35.85546875" style="1" bestFit="1" customWidth="1"/>
    <col min="5350" max="5350" width="33.85546875" style="1" bestFit="1" customWidth="1"/>
    <col min="5351" max="5351" width="9.5703125" style="1" bestFit="1" customWidth="1"/>
    <col min="5352" max="5352" width="35.85546875" style="1" bestFit="1" customWidth="1"/>
    <col min="5353" max="5353" width="33.85546875" style="1" bestFit="1" customWidth="1"/>
    <col min="5354" max="5354" width="9.5703125" style="1" bestFit="1" customWidth="1"/>
    <col min="5355" max="5355" width="35.85546875" style="1" bestFit="1" customWidth="1"/>
    <col min="5356" max="5356" width="33.85546875" style="1" bestFit="1" customWidth="1"/>
    <col min="5357" max="5357" width="9.5703125" style="1" bestFit="1" customWidth="1"/>
    <col min="5358" max="5358" width="35.85546875" style="1" bestFit="1" customWidth="1"/>
    <col min="5359" max="5359" width="33.85546875" style="1" bestFit="1" customWidth="1"/>
    <col min="5360" max="5360" width="9.5703125" style="1" bestFit="1" customWidth="1"/>
    <col min="5361" max="5361" width="35.85546875" style="1" bestFit="1" customWidth="1"/>
    <col min="5362" max="5362" width="33.85546875" style="1" bestFit="1" customWidth="1"/>
    <col min="5363" max="5363" width="9.5703125" style="1" bestFit="1" customWidth="1"/>
    <col min="5364" max="5364" width="35.85546875" style="1" bestFit="1" customWidth="1"/>
    <col min="5365" max="5365" width="33.85546875" style="1" bestFit="1" customWidth="1"/>
    <col min="5366" max="5366" width="9.5703125" style="1" bestFit="1" customWidth="1"/>
    <col min="5367" max="5367" width="35.85546875" style="1" bestFit="1" customWidth="1"/>
    <col min="5368" max="5368" width="33.85546875" style="1" bestFit="1" customWidth="1"/>
    <col min="5369" max="5369" width="9.5703125" style="1" bestFit="1" customWidth="1"/>
    <col min="5370" max="5370" width="35.85546875" style="1" bestFit="1" customWidth="1"/>
    <col min="5371" max="5371" width="33.85546875" style="1" bestFit="1" customWidth="1"/>
    <col min="5372" max="5372" width="9.5703125" style="1" bestFit="1" customWidth="1"/>
    <col min="5373" max="5373" width="35.85546875" style="1" bestFit="1" customWidth="1"/>
    <col min="5374" max="5374" width="33.85546875" style="1" bestFit="1" customWidth="1"/>
    <col min="5375" max="5375" width="9.5703125" style="1" bestFit="1" customWidth="1"/>
    <col min="5376" max="5376" width="35.85546875" style="1" bestFit="1" customWidth="1"/>
    <col min="5377" max="5377" width="33.85546875" style="1" bestFit="1" customWidth="1"/>
    <col min="5378" max="5378" width="9.5703125" style="1" bestFit="1" customWidth="1"/>
    <col min="5379" max="5379" width="35.85546875" style="1" bestFit="1" customWidth="1"/>
    <col min="5380" max="5380" width="33.85546875" style="1" bestFit="1" customWidth="1"/>
    <col min="5381" max="5381" width="9.5703125" style="1" bestFit="1" customWidth="1"/>
    <col min="5382" max="5382" width="35.85546875" style="1" bestFit="1" customWidth="1"/>
    <col min="5383" max="5383" width="33.85546875" style="1" bestFit="1" customWidth="1"/>
    <col min="5384" max="5384" width="9.5703125" style="1" bestFit="1" customWidth="1"/>
    <col min="5385" max="5385" width="35.85546875" style="1" bestFit="1" customWidth="1"/>
    <col min="5386" max="5386" width="33.85546875" style="1" bestFit="1" customWidth="1"/>
    <col min="5387" max="5387" width="9.5703125" style="1" bestFit="1" customWidth="1"/>
    <col min="5388" max="5388" width="35.85546875" style="1" bestFit="1" customWidth="1"/>
    <col min="5389" max="5389" width="33.85546875" style="1" bestFit="1" customWidth="1"/>
    <col min="5390" max="5390" width="9.5703125" style="1" bestFit="1" customWidth="1"/>
    <col min="5391" max="5391" width="35.85546875" style="1" bestFit="1" customWidth="1"/>
    <col min="5392" max="5392" width="33.85546875" style="1" bestFit="1" customWidth="1"/>
    <col min="5393" max="5393" width="9.5703125" style="1" bestFit="1" customWidth="1"/>
    <col min="5394" max="5394" width="35.85546875" style="1" bestFit="1" customWidth="1"/>
    <col min="5395" max="5395" width="33.85546875" style="1" bestFit="1" customWidth="1"/>
    <col min="5396" max="5396" width="9.5703125" style="1" bestFit="1" customWidth="1"/>
    <col min="5397" max="5397" width="35.85546875" style="1" bestFit="1" customWidth="1"/>
    <col min="5398" max="5398" width="33.85546875" style="1" bestFit="1" customWidth="1"/>
    <col min="5399" max="5399" width="9.5703125" style="1" bestFit="1" customWidth="1"/>
    <col min="5400" max="5462" width="22.140625" style="1"/>
    <col min="5463" max="5463" width="40.42578125" style="1" customWidth="1"/>
    <col min="5464" max="5464" width="25.42578125" style="1" bestFit="1" customWidth="1"/>
    <col min="5465" max="5465" width="23.85546875" style="1" bestFit="1" customWidth="1"/>
    <col min="5466" max="5466" width="41.85546875" style="1" customWidth="1"/>
    <col min="5467" max="5467" width="26.42578125" style="1" bestFit="1" customWidth="1"/>
    <col min="5468" max="5469" width="16.42578125" style="1" customWidth="1"/>
    <col min="5470" max="5470" width="19.42578125" style="1" customWidth="1"/>
    <col min="5471" max="5471" width="16" style="1" customWidth="1"/>
    <col min="5472" max="5472" width="16.5703125" style="1" customWidth="1"/>
    <col min="5473" max="5473" width="7.5703125" style="1" bestFit="1" customWidth="1"/>
    <col min="5474" max="5474" width="16.5703125" style="1" customWidth="1"/>
    <col min="5475" max="5475" width="17.140625" style="1" customWidth="1"/>
    <col min="5476" max="5499" width="0" style="1" hidden="1" customWidth="1"/>
    <col min="5500" max="5500" width="35.85546875" style="1" bestFit="1" customWidth="1"/>
    <col min="5501" max="5501" width="33.85546875" style="1" bestFit="1" customWidth="1"/>
    <col min="5502" max="5502" width="9.5703125" style="1" bestFit="1" customWidth="1"/>
    <col min="5503" max="5503" width="35.85546875" style="1" bestFit="1" customWidth="1"/>
    <col min="5504" max="5504" width="33.85546875" style="1" bestFit="1" customWidth="1"/>
    <col min="5505" max="5505" width="9.5703125" style="1" bestFit="1" customWidth="1"/>
    <col min="5506" max="5506" width="35.85546875" style="1" bestFit="1" customWidth="1"/>
    <col min="5507" max="5507" width="33.85546875" style="1" bestFit="1" customWidth="1"/>
    <col min="5508" max="5508" width="9.5703125" style="1" bestFit="1" customWidth="1"/>
    <col min="5509" max="5509" width="35.85546875" style="1" bestFit="1" customWidth="1"/>
    <col min="5510" max="5510" width="33.85546875" style="1" bestFit="1" customWidth="1"/>
    <col min="5511" max="5511" width="9.5703125" style="1" bestFit="1" customWidth="1"/>
    <col min="5512" max="5512" width="35.85546875" style="1" bestFit="1" customWidth="1"/>
    <col min="5513" max="5513" width="33.85546875" style="1" bestFit="1" customWidth="1"/>
    <col min="5514" max="5514" width="9.5703125" style="1" bestFit="1" customWidth="1"/>
    <col min="5515" max="5515" width="35.85546875" style="1" bestFit="1" customWidth="1"/>
    <col min="5516" max="5516" width="33.85546875" style="1" bestFit="1" customWidth="1"/>
    <col min="5517" max="5517" width="9.5703125" style="1" bestFit="1" customWidth="1"/>
    <col min="5518" max="5518" width="35.85546875" style="1" bestFit="1" customWidth="1"/>
    <col min="5519" max="5519" width="33.85546875" style="1" bestFit="1" customWidth="1"/>
    <col min="5520" max="5520" width="9.5703125" style="1" bestFit="1" customWidth="1"/>
    <col min="5521" max="5521" width="35.85546875" style="1" bestFit="1" customWidth="1"/>
    <col min="5522" max="5522" width="33.85546875" style="1" bestFit="1" customWidth="1"/>
    <col min="5523" max="5523" width="9.5703125" style="1" bestFit="1" customWidth="1"/>
    <col min="5524" max="5524" width="35.85546875" style="1" bestFit="1" customWidth="1"/>
    <col min="5525" max="5525" width="33.85546875" style="1" bestFit="1" customWidth="1"/>
    <col min="5526" max="5526" width="9.5703125" style="1" bestFit="1" customWidth="1"/>
    <col min="5527" max="5527" width="35.85546875" style="1" bestFit="1" customWidth="1"/>
    <col min="5528" max="5528" width="33.85546875" style="1" bestFit="1" customWidth="1"/>
    <col min="5529" max="5529" width="9.5703125" style="1" bestFit="1" customWidth="1"/>
    <col min="5530" max="5530" width="35.85546875" style="1" bestFit="1" customWidth="1"/>
    <col min="5531" max="5531" width="33.85546875" style="1" bestFit="1" customWidth="1"/>
    <col min="5532" max="5532" width="9.5703125" style="1" bestFit="1" customWidth="1"/>
    <col min="5533" max="5533" width="35.85546875" style="1" bestFit="1" customWidth="1"/>
    <col min="5534" max="5534" width="33.85546875" style="1" bestFit="1" customWidth="1"/>
    <col min="5535" max="5535" width="9.5703125" style="1" bestFit="1" customWidth="1"/>
    <col min="5536" max="5536" width="35.85546875" style="1" bestFit="1" customWidth="1"/>
    <col min="5537" max="5537" width="33.85546875" style="1" bestFit="1" customWidth="1"/>
    <col min="5538" max="5538" width="9.5703125" style="1" bestFit="1" customWidth="1"/>
    <col min="5539" max="5539" width="35.85546875" style="1" bestFit="1" customWidth="1"/>
    <col min="5540" max="5540" width="33.85546875" style="1" bestFit="1" customWidth="1"/>
    <col min="5541" max="5541" width="9.5703125" style="1" bestFit="1" customWidth="1"/>
    <col min="5542" max="5542" width="35.85546875" style="1" bestFit="1" customWidth="1"/>
    <col min="5543" max="5543" width="33.85546875" style="1" bestFit="1" customWidth="1"/>
    <col min="5544" max="5544" width="9.5703125" style="1" bestFit="1" customWidth="1"/>
    <col min="5545" max="5545" width="35.85546875" style="1" bestFit="1" customWidth="1"/>
    <col min="5546" max="5546" width="33.85546875" style="1" bestFit="1" customWidth="1"/>
    <col min="5547" max="5547" width="9.5703125" style="1" bestFit="1" customWidth="1"/>
    <col min="5548" max="5548" width="35.85546875" style="1" bestFit="1" customWidth="1"/>
    <col min="5549" max="5549" width="33.85546875" style="1" bestFit="1" customWidth="1"/>
    <col min="5550" max="5550" width="9.5703125" style="1" bestFit="1" customWidth="1"/>
    <col min="5551" max="5551" width="35.85546875" style="1" bestFit="1" customWidth="1"/>
    <col min="5552" max="5552" width="33.85546875" style="1" bestFit="1" customWidth="1"/>
    <col min="5553" max="5553" width="9.5703125" style="1" bestFit="1" customWidth="1"/>
    <col min="5554" max="5554" width="35.85546875" style="1" bestFit="1" customWidth="1"/>
    <col min="5555" max="5555" width="33.85546875" style="1" bestFit="1" customWidth="1"/>
    <col min="5556" max="5556" width="9.5703125" style="1" bestFit="1" customWidth="1"/>
    <col min="5557" max="5557" width="35.85546875" style="1" bestFit="1" customWidth="1"/>
    <col min="5558" max="5558" width="33.85546875" style="1" bestFit="1" customWidth="1"/>
    <col min="5559" max="5559" width="9.5703125" style="1" bestFit="1" customWidth="1"/>
    <col min="5560" max="5560" width="35.85546875" style="1" bestFit="1" customWidth="1"/>
    <col min="5561" max="5561" width="33.85546875" style="1" bestFit="1" customWidth="1"/>
    <col min="5562" max="5562" width="9.5703125" style="1" bestFit="1" customWidth="1"/>
    <col min="5563" max="5563" width="35.85546875" style="1" bestFit="1" customWidth="1"/>
    <col min="5564" max="5564" width="33.85546875" style="1" bestFit="1" customWidth="1"/>
    <col min="5565" max="5565" width="9.5703125" style="1" bestFit="1" customWidth="1"/>
    <col min="5566" max="5566" width="35.85546875" style="1" bestFit="1" customWidth="1"/>
    <col min="5567" max="5567" width="33.85546875" style="1" bestFit="1" customWidth="1"/>
    <col min="5568" max="5568" width="9.5703125" style="1" bestFit="1" customWidth="1"/>
    <col min="5569" max="5569" width="35.85546875" style="1" bestFit="1" customWidth="1"/>
    <col min="5570" max="5570" width="33.85546875" style="1" bestFit="1" customWidth="1"/>
    <col min="5571" max="5571" width="9.5703125" style="1" bestFit="1" customWidth="1"/>
    <col min="5572" max="5572" width="35.85546875" style="1" bestFit="1" customWidth="1"/>
    <col min="5573" max="5573" width="33.85546875" style="1" bestFit="1" customWidth="1"/>
    <col min="5574" max="5574" width="9.5703125" style="1" bestFit="1" customWidth="1"/>
    <col min="5575" max="5575" width="35.85546875" style="1" bestFit="1" customWidth="1"/>
    <col min="5576" max="5576" width="33.85546875" style="1" bestFit="1" customWidth="1"/>
    <col min="5577" max="5577" width="9.5703125" style="1" bestFit="1" customWidth="1"/>
    <col min="5578" max="5578" width="35.85546875" style="1" bestFit="1" customWidth="1"/>
    <col min="5579" max="5579" width="33.85546875" style="1" bestFit="1" customWidth="1"/>
    <col min="5580" max="5580" width="9.5703125" style="1" bestFit="1" customWidth="1"/>
    <col min="5581" max="5581" width="35.85546875" style="1" bestFit="1" customWidth="1"/>
    <col min="5582" max="5582" width="33.85546875" style="1" bestFit="1" customWidth="1"/>
    <col min="5583" max="5583" width="9.5703125" style="1" bestFit="1" customWidth="1"/>
    <col min="5584" max="5584" width="35.85546875" style="1" bestFit="1" customWidth="1"/>
    <col min="5585" max="5585" width="33.85546875" style="1" bestFit="1" customWidth="1"/>
    <col min="5586" max="5586" width="9.5703125" style="1" bestFit="1" customWidth="1"/>
    <col min="5587" max="5587" width="35.85546875" style="1" bestFit="1" customWidth="1"/>
    <col min="5588" max="5588" width="33.85546875" style="1" bestFit="1" customWidth="1"/>
    <col min="5589" max="5589" width="9.5703125" style="1" bestFit="1" customWidth="1"/>
    <col min="5590" max="5590" width="35.85546875" style="1" bestFit="1" customWidth="1"/>
    <col min="5591" max="5591" width="33.85546875" style="1" bestFit="1" customWidth="1"/>
    <col min="5592" max="5592" width="9.5703125" style="1" bestFit="1" customWidth="1"/>
    <col min="5593" max="5593" width="35.85546875" style="1" bestFit="1" customWidth="1"/>
    <col min="5594" max="5594" width="33.85546875" style="1" bestFit="1" customWidth="1"/>
    <col min="5595" max="5595" width="9.5703125" style="1" bestFit="1" customWidth="1"/>
    <col min="5596" max="5596" width="35.85546875" style="1" bestFit="1" customWidth="1"/>
    <col min="5597" max="5597" width="33.85546875" style="1" bestFit="1" customWidth="1"/>
    <col min="5598" max="5598" width="9.5703125" style="1" bestFit="1" customWidth="1"/>
    <col min="5599" max="5599" width="35.85546875" style="1" bestFit="1" customWidth="1"/>
    <col min="5600" max="5600" width="33.85546875" style="1" bestFit="1" customWidth="1"/>
    <col min="5601" max="5601" width="9.5703125" style="1" bestFit="1" customWidth="1"/>
    <col min="5602" max="5602" width="35.85546875" style="1" bestFit="1" customWidth="1"/>
    <col min="5603" max="5603" width="33.85546875" style="1" bestFit="1" customWidth="1"/>
    <col min="5604" max="5604" width="9.5703125" style="1" bestFit="1" customWidth="1"/>
    <col min="5605" max="5605" width="35.85546875" style="1" bestFit="1" customWidth="1"/>
    <col min="5606" max="5606" width="33.85546875" style="1" bestFit="1" customWidth="1"/>
    <col min="5607" max="5607" width="9.5703125" style="1" bestFit="1" customWidth="1"/>
    <col min="5608" max="5608" width="35.85546875" style="1" bestFit="1" customWidth="1"/>
    <col min="5609" max="5609" width="33.85546875" style="1" bestFit="1" customWidth="1"/>
    <col min="5610" max="5610" width="9.5703125" style="1" bestFit="1" customWidth="1"/>
    <col min="5611" max="5611" width="35.85546875" style="1" bestFit="1" customWidth="1"/>
    <col min="5612" max="5612" width="33.85546875" style="1" bestFit="1" customWidth="1"/>
    <col min="5613" max="5613" width="9.5703125" style="1" bestFit="1" customWidth="1"/>
    <col min="5614" max="5614" width="35.85546875" style="1" bestFit="1" customWidth="1"/>
    <col min="5615" max="5615" width="33.85546875" style="1" bestFit="1" customWidth="1"/>
    <col min="5616" max="5616" width="9.5703125" style="1" bestFit="1" customWidth="1"/>
    <col min="5617" max="5617" width="35.85546875" style="1" bestFit="1" customWidth="1"/>
    <col min="5618" max="5618" width="33.85546875" style="1" bestFit="1" customWidth="1"/>
    <col min="5619" max="5619" width="9.5703125" style="1" bestFit="1" customWidth="1"/>
    <col min="5620" max="5620" width="35.85546875" style="1" bestFit="1" customWidth="1"/>
    <col min="5621" max="5621" width="33.85546875" style="1" bestFit="1" customWidth="1"/>
    <col min="5622" max="5622" width="9.5703125" style="1" bestFit="1" customWidth="1"/>
    <col min="5623" max="5623" width="35.85546875" style="1" bestFit="1" customWidth="1"/>
    <col min="5624" max="5624" width="33.85546875" style="1" bestFit="1" customWidth="1"/>
    <col min="5625" max="5625" width="9.5703125" style="1" bestFit="1" customWidth="1"/>
    <col min="5626" max="5626" width="35.85546875" style="1" bestFit="1" customWidth="1"/>
    <col min="5627" max="5627" width="33.85546875" style="1" bestFit="1" customWidth="1"/>
    <col min="5628" max="5628" width="9.5703125" style="1" bestFit="1" customWidth="1"/>
    <col min="5629" max="5629" width="35.85546875" style="1" bestFit="1" customWidth="1"/>
    <col min="5630" max="5630" width="33.85546875" style="1" bestFit="1" customWidth="1"/>
    <col min="5631" max="5631" width="9.5703125" style="1" bestFit="1" customWidth="1"/>
    <col min="5632" max="5632" width="35.85546875" style="1" bestFit="1" customWidth="1"/>
    <col min="5633" max="5633" width="33.85546875" style="1" bestFit="1" customWidth="1"/>
    <col min="5634" max="5634" width="9.5703125" style="1" bestFit="1" customWidth="1"/>
    <col min="5635" max="5635" width="35.85546875" style="1" bestFit="1" customWidth="1"/>
    <col min="5636" max="5636" width="33.85546875" style="1" bestFit="1" customWidth="1"/>
    <col min="5637" max="5637" width="9.5703125" style="1" bestFit="1" customWidth="1"/>
    <col min="5638" max="5638" width="35.85546875" style="1" bestFit="1" customWidth="1"/>
    <col min="5639" max="5639" width="33.85546875" style="1" bestFit="1" customWidth="1"/>
    <col min="5640" max="5640" width="9.5703125" style="1" bestFit="1" customWidth="1"/>
    <col min="5641" max="5641" width="35.85546875" style="1" bestFit="1" customWidth="1"/>
    <col min="5642" max="5642" width="33.85546875" style="1" bestFit="1" customWidth="1"/>
    <col min="5643" max="5643" width="9.5703125" style="1" bestFit="1" customWidth="1"/>
    <col min="5644" max="5644" width="35.85546875" style="1" bestFit="1" customWidth="1"/>
    <col min="5645" max="5645" width="33.85546875" style="1" bestFit="1" customWidth="1"/>
    <col min="5646" max="5646" width="9.5703125" style="1" bestFit="1" customWidth="1"/>
    <col min="5647" max="5647" width="35.85546875" style="1" bestFit="1" customWidth="1"/>
    <col min="5648" max="5648" width="33.85546875" style="1" bestFit="1" customWidth="1"/>
    <col min="5649" max="5649" width="9.5703125" style="1" bestFit="1" customWidth="1"/>
    <col min="5650" max="5650" width="35.85546875" style="1" bestFit="1" customWidth="1"/>
    <col min="5651" max="5651" width="33.85546875" style="1" bestFit="1" customWidth="1"/>
    <col min="5652" max="5652" width="9.5703125" style="1" bestFit="1" customWidth="1"/>
    <col min="5653" max="5653" width="35.85546875" style="1" bestFit="1" customWidth="1"/>
    <col min="5654" max="5654" width="33.85546875" style="1" bestFit="1" customWidth="1"/>
    <col min="5655" max="5655" width="9.5703125" style="1" bestFit="1" customWidth="1"/>
    <col min="5656" max="5718" width="22.140625" style="1"/>
    <col min="5719" max="5719" width="40.42578125" style="1" customWidth="1"/>
    <col min="5720" max="5720" width="25.42578125" style="1" bestFit="1" customWidth="1"/>
    <col min="5721" max="5721" width="23.85546875" style="1" bestFit="1" customWidth="1"/>
    <col min="5722" max="5722" width="41.85546875" style="1" customWidth="1"/>
    <col min="5723" max="5723" width="26.42578125" style="1" bestFit="1" customWidth="1"/>
    <col min="5724" max="5725" width="16.42578125" style="1" customWidth="1"/>
    <col min="5726" max="5726" width="19.42578125" style="1" customWidth="1"/>
    <col min="5727" max="5727" width="16" style="1" customWidth="1"/>
    <col min="5728" max="5728" width="16.5703125" style="1" customWidth="1"/>
    <col min="5729" max="5729" width="7.5703125" style="1" bestFit="1" customWidth="1"/>
    <col min="5730" max="5730" width="16.5703125" style="1" customWidth="1"/>
    <col min="5731" max="5731" width="17.140625" style="1" customWidth="1"/>
    <col min="5732" max="5755" width="0" style="1" hidden="1" customWidth="1"/>
    <col min="5756" max="5756" width="35.85546875" style="1" bestFit="1" customWidth="1"/>
    <col min="5757" max="5757" width="33.85546875" style="1" bestFit="1" customWidth="1"/>
    <col min="5758" max="5758" width="9.5703125" style="1" bestFit="1" customWidth="1"/>
    <col min="5759" max="5759" width="35.85546875" style="1" bestFit="1" customWidth="1"/>
    <col min="5760" max="5760" width="33.85546875" style="1" bestFit="1" customWidth="1"/>
    <col min="5761" max="5761" width="9.5703125" style="1" bestFit="1" customWidth="1"/>
    <col min="5762" max="5762" width="35.85546875" style="1" bestFit="1" customWidth="1"/>
    <col min="5763" max="5763" width="33.85546875" style="1" bestFit="1" customWidth="1"/>
    <col min="5764" max="5764" width="9.5703125" style="1" bestFit="1" customWidth="1"/>
    <col min="5765" max="5765" width="35.85546875" style="1" bestFit="1" customWidth="1"/>
    <col min="5766" max="5766" width="33.85546875" style="1" bestFit="1" customWidth="1"/>
    <col min="5767" max="5767" width="9.5703125" style="1" bestFit="1" customWidth="1"/>
    <col min="5768" max="5768" width="35.85546875" style="1" bestFit="1" customWidth="1"/>
    <col min="5769" max="5769" width="33.85546875" style="1" bestFit="1" customWidth="1"/>
    <col min="5770" max="5770" width="9.5703125" style="1" bestFit="1" customWidth="1"/>
    <col min="5771" max="5771" width="35.85546875" style="1" bestFit="1" customWidth="1"/>
    <col min="5772" max="5772" width="33.85546875" style="1" bestFit="1" customWidth="1"/>
    <col min="5773" max="5773" width="9.5703125" style="1" bestFit="1" customWidth="1"/>
    <col min="5774" max="5774" width="35.85546875" style="1" bestFit="1" customWidth="1"/>
    <col min="5775" max="5775" width="33.85546875" style="1" bestFit="1" customWidth="1"/>
    <col min="5776" max="5776" width="9.5703125" style="1" bestFit="1" customWidth="1"/>
    <col min="5777" max="5777" width="35.85546875" style="1" bestFit="1" customWidth="1"/>
    <col min="5778" max="5778" width="33.85546875" style="1" bestFit="1" customWidth="1"/>
    <col min="5779" max="5779" width="9.5703125" style="1" bestFit="1" customWidth="1"/>
    <col min="5780" max="5780" width="35.85546875" style="1" bestFit="1" customWidth="1"/>
    <col min="5781" max="5781" width="33.85546875" style="1" bestFit="1" customWidth="1"/>
    <col min="5782" max="5782" width="9.5703125" style="1" bestFit="1" customWidth="1"/>
    <col min="5783" max="5783" width="35.85546875" style="1" bestFit="1" customWidth="1"/>
    <col min="5784" max="5784" width="33.85546875" style="1" bestFit="1" customWidth="1"/>
    <col min="5785" max="5785" width="9.5703125" style="1" bestFit="1" customWidth="1"/>
    <col min="5786" max="5786" width="35.85546875" style="1" bestFit="1" customWidth="1"/>
    <col min="5787" max="5787" width="33.85546875" style="1" bestFit="1" customWidth="1"/>
    <col min="5788" max="5788" width="9.5703125" style="1" bestFit="1" customWidth="1"/>
    <col min="5789" max="5789" width="35.85546875" style="1" bestFit="1" customWidth="1"/>
    <col min="5790" max="5790" width="33.85546875" style="1" bestFit="1" customWidth="1"/>
    <col min="5791" max="5791" width="9.5703125" style="1" bestFit="1" customWidth="1"/>
    <col min="5792" max="5792" width="35.85546875" style="1" bestFit="1" customWidth="1"/>
    <col min="5793" max="5793" width="33.85546875" style="1" bestFit="1" customWidth="1"/>
    <col min="5794" max="5794" width="9.5703125" style="1" bestFit="1" customWidth="1"/>
    <col min="5795" max="5795" width="35.85546875" style="1" bestFit="1" customWidth="1"/>
    <col min="5796" max="5796" width="33.85546875" style="1" bestFit="1" customWidth="1"/>
    <col min="5797" max="5797" width="9.5703125" style="1" bestFit="1" customWidth="1"/>
    <col min="5798" max="5798" width="35.85546875" style="1" bestFit="1" customWidth="1"/>
    <col min="5799" max="5799" width="33.85546875" style="1" bestFit="1" customWidth="1"/>
    <col min="5800" max="5800" width="9.5703125" style="1" bestFit="1" customWidth="1"/>
    <col min="5801" max="5801" width="35.85546875" style="1" bestFit="1" customWidth="1"/>
    <col min="5802" max="5802" width="33.85546875" style="1" bestFit="1" customWidth="1"/>
    <col min="5803" max="5803" width="9.5703125" style="1" bestFit="1" customWidth="1"/>
    <col min="5804" max="5804" width="35.85546875" style="1" bestFit="1" customWidth="1"/>
    <col min="5805" max="5805" width="33.85546875" style="1" bestFit="1" customWidth="1"/>
    <col min="5806" max="5806" width="9.5703125" style="1" bestFit="1" customWidth="1"/>
    <col min="5807" max="5807" width="35.85546875" style="1" bestFit="1" customWidth="1"/>
    <col min="5808" max="5808" width="33.85546875" style="1" bestFit="1" customWidth="1"/>
    <col min="5809" max="5809" width="9.5703125" style="1" bestFit="1" customWidth="1"/>
    <col min="5810" max="5810" width="35.85546875" style="1" bestFit="1" customWidth="1"/>
    <col min="5811" max="5811" width="33.85546875" style="1" bestFit="1" customWidth="1"/>
    <col min="5812" max="5812" width="9.5703125" style="1" bestFit="1" customWidth="1"/>
    <col min="5813" max="5813" width="35.85546875" style="1" bestFit="1" customWidth="1"/>
    <col min="5814" max="5814" width="33.85546875" style="1" bestFit="1" customWidth="1"/>
    <col min="5815" max="5815" width="9.5703125" style="1" bestFit="1" customWidth="1"/>
    <col min="5816" max="5816" width="35.85546875" style="1" bestFit="1" customWidth="1"/>
    <col min="5817" max="5817" width="33.85546875" style="1" bestFit="1" customWidth="1"/>
    <col min="5818" max="5818" width="9.5703125" style="1" bestFit="1" customWidth="1"/>
    <col min="5819" max="5819" width="35.85546875" style="1" bestFit="1" customWidth="1"/>
    <col min="5820" max="5820" width="33.85546875" style="1" bestFit="1" customWidth="1"/>
    <col min="5821" max="5821" width="9.5703125" style="1" bestFit="1" customWidth="1"/>
    <col min="5822" max="5822" width="35.85546875" style="1" bestFit="1" customWidth="1"/>
    <col min="5823" max="5823" width="33.85546875" style="1" bestFit="1" customWidth="1"/>
    <col min="5824" max="5824" width="9.5703125" style="1" bestFit="1" customWidth="1"/>
    <col min="5825" max="5825" width="35.85546875" style="1" bestFit="1" customWidth="1"/>
    <col min="5826" max="5826" width="33.85546875" style="1" bestFit="1" customWidth="1"/>
    <col min="5827" max="5827" width="9.5703125" style="1" bestFit="1" customWidth="1"/>
    <col min="5828" max="5828" width="35.85546875" style="1" bestFit="1" customWidth="1"/>
    <col min="5829" max="5829" width="33.85546875" style="1" bestFit="1" customWidth="1"/>
    <col min="5830" max="5830" width="9.5703125" style="1" bestFit="1" customWidth="1"/>
    <col min="5831" max="5831" width="35.85546875" style="1" bestFit="1" customWidth="1"/>
    <col min="5832" max="5832" width="33.85546875" style="1" bestFit="1" customWidth="1"/>
    <col min="5833" max="5833" width="9.5703125" style="1" bestFit="1" customWidth="1"/>
    <col min="5834" max="5834" width="35.85546875" style="1" bestFit="1" customWidth="1"/>
    <col min="5835" max="5835" width="33.85546875" style="1" bestFit="1" customWidth="1"/>
    <col min="5836" max="5836" width="9.5703125" style="1" bestFit="1" customWidth="1"/>
    <col min="5837" max="5837" width="35.85546875" style="1" bestFit="1" customWidth="1"/>
    <col min="5838" max="5838" width="33.85546875" style="1" bestFit="1" customWidth="1"/>
    <col min="5839" max="5839" width="9.5703125" style="1" bestFit="1" customWidth="1"/>
    <col min="5840" max="5840" width="35.85546875" style="1" bestFit="1" customWidth="1"/>
    <col min="5841" max="5841" width="33.85546875" style="1" bestFit="1" customWidth="1"/>
    <col min="5842" max="5842" width="9.5703125" style="1" bestFit="1" customWidth="1"/>
    <col min="5843" max="5843" width="35.85546875" style="1" bestFit="1" customWidth="1"/>
    <col min="5844" max="5844" width="33.85546875" style="1" bestFit="1" customWidth="1"/>
    <col min="5845" max="5845" width="9.5703125" style="1" bestFit="1" customWidth="1"/>
    <col min="5846" max="5846" width="35.85546875" style="1" bestFit="1" customWidth="1"/>
    <col min="5847" max="5847" width="33.85546875" style="1" bestFit="1" customWidth="1"/>
    <col min="5848" max="5848" width="9.5703125" style="1" bestFit="1" customWidth="1"/>
    <col min="5849" max="5849" width="35.85546875" style="1" bestFit="1" customWidth="1"/>
    <col min="5850" max="5850" width="33.85546875" style="1" bestFit="1" customWidth="1"/>
    <col min="5851" max="5851" width="9.5703125" style="1" bestFit="1" customWidth="1"/>
    <col min="5852" max="5852" width="35.85546875" style="1" bestFit="1" customWidth="1"/>
    <col min="5853" max="5853" width="33.85546875" style="1" bestFit="1" customWidth="1"/>
    <col min="5854" max="5854" width="9.5703125" style="1" bestFit="1" customWidth="1"/>
    <col min="5855" max="5855" width="35.85546875" style="1" bestFit="1" customWidth="1"/>
    <col min="5856" max="5856" width="33.85546875" style="1" bestFit="1" customWidth="1"/>
    <col min="5857" max="5857" width="9.5703125" style="1" bestFit="1" customWidth="1"/>
    <col min="5858" max="5858" width="35.85546875" style="1" bestFit="1" customWidth="1"/>
    <col min="5859" max="5859" width="33.85546875" style="1" bestFit="1" customWidth="1"/>
    <col min="5860" max="5860" width="9.5703125" style="1" bestFit="1" customWidth="1"/>
    <col min="5861" max="5861" width="35.85546875" style="1" bestFit="1" customWidth="1"/>
    <col min="5862" max="5862" width="33.85546875" style="1" bestFit="1" customWidth="1"/>
    <col min="5863" max="5863" width="9.5703125" style="1" bestFit="1" customWidth="1"/>
    <col min="5864" max="5864" width="35.85546875" style="1" bestFit="1" customWidth="1"/>
    <col min="5865" max="5865" width="33.85546875" style="1" bestFit="1" customWidth="1"/>
    <col min="5866" max="5866" width="9.5703125" style="1" bestFit="1" customWidth="1"/>
    <col min="5867" max="5867" width="35.85546875" style="1" bestFit="1" customWidth="1"/>
    <col min="5868" max="5868" width="33.85546875" style="1" bestFit="1" customWidth="1"/>
    <col min="5869" max="5869" width="9.5703125" style="1" bestFit="1" customWidth="1"/>
    <col min="5870" max="5870" width="35.85546875" style="1" bestFit="1" customWidth="1"/>
    <col min="5871" max="5871" width="33.85546875" style="1" bestFit="1" customWidth="1"/>
    <col min="5872" max="5872" width="9.5703125" style="1" bestFit="1" customWidth="1"/>
    <col min="5873" max="5873" width="35.85546875" style="1" bestFit="1" customWidth="1"/>
    <col min="5874" max="5874" width="33.85546875" style="1" bestFit="1" customWidth="1"/>
    <col min="5875" max="5875" width="9.5703125" style="1" bestFit="1" customWidth="1"/>
    <col min="5876" max="5876" width="35.85546875" style="1" bestFit="1" customWidth="1"/>
    <col min="5877" max="5877" width="33.85546875" style="1" bestFit="1" customWidth="1"/>
    <col min="5878" max="5878" width="9.5703125" style="1" bestFit="1" customWidth="1"/>
    <col min="5879" max="5879" width="35.85546875" style="1" bestFit="1" customWidth="1"/>
    <col min="5880" max="5880" width="33.85546875" style="1" bestFit="1" customWidth="1"/>
    <col min="5881" max="5881" width="9.5703125" style="1" bestFit="1" customWidth="1"/>
    <col min="5882" max="5882" width="35.85546875" style="1" bestFit="1" customWidth="1"/>
    <col min="5883" max="5883" width="33.85546875" style="1" bestFit="1" customWidth="1"/>
    <col min="5884" max="5884" width="9.5703125" style="1" bestFit="1" customWidth="1"/>
    <col min="5885" max="5885" width="35.85546875" style="1" bestFit="1" customWidth="1"/>
    <col min="5886" max="5886" width="33.85546875" style="1" bestFit="1" customWidth="1"/>
    <col min="5887" max="5887" width="9.5703125" style="1" bestFit="1" customWidth="1"/>
    <col min="5888" max="5888" width="35.85546875" style="1" bestFit="1" customWidth="1"/>
    <col min="5889" max="5889" width="33.85546875" style="1" bestFit="1" customWidth="1"/>
    <col min="5890" max="5890" width="9.5703125" style="1" bestFit="1" customWidth="1"/>
    <col min="5891" max="5891" width="35.85546875" style="1" bestFit="1" customWidth="1"/>
    <col min="5892" max="5892" width="33.85546875" style="1" bestFit="1" customWidth="1"/>
    <col min="5893" max="5893" width="9.5703125" style="1" bestFit="1" customWidth="1"/>
    <col min="5894" max="5894" width="35.85546875" style="1" bestFit="1" customWidth="1"/>
    <col min="5895" max="5895" width="33.85546875" style="1" bestFit="1" customWidth="1"/>
    <col min="5896" max="5896" width="9.5703125" style="1" bestFit="1" customWidth="1"/>
    <col min="5897" max="5897" width="35.85546875" style="1" bestFit="1" customWidth="1"/>
    <col min="5898" max="5898" width="33.85546875" style="1" bestFit="1" customWidth="1"/>
    <col min="5899" max="5899" width="9.5703125" style="1" bestFit="1" customWidth="1"/>
    <col min="5900" max="5900" width="35.85546875" style="1" bestFit="1" customWidth="1"/>
    <col min="5901" max="5901" width="33.85546875" style="1" bestFit="1" customWidth="1"/>
    <col min="5902" max="5902" width="9.5703125" style="1" bestFit="1" customWidth="1"/>
    <col min="5903" max="5903" width="35.85546875" style="1" bestFit="1" customWidth="1"/>
    <col min="5904" max="5904" width="33.85546875" style="1" bestFit="1" customWidth="1"/>
    <col min="5905" max="5905" width="9.5703125" style="1" bestFit="1" customWidth="1"/>
    <col min="5906" max="5906" width="35.85546875" style="1" bestFit="1" customWidth="1"/>
    <col min="5907" max="5907" width="33.85546875" style="1" bestFit="1" customWidth="1"/>
    <col min="5908" max="5908" width="9.5703125" style="1" bestFit="1" customWidth="1"/>
    <col min="5909" max="5909" width="35.85546875" style="1" bestFit="1" customWidth="1"/>
    <col min="5910" max="5910" width="33.85546875" style="1" bestFit="1" customWidth="1"/>
    <col min="5911" max="5911" width="9.5703125" style="1" bestFit="1" customWidth="1"/>
    <col min="5912" max="5974" width="22.140625" style="1"/>
    <col min="5975" max="5975" width="40.42578125" style="1" customWidth="1"/>
    <col min="5976" max="5976" width="25.42578125" style="1" bestFit="1" customWidth="1"/>
    <col min="5977" max="5977" width="23.85546875" style="1" bestFit="1" customWidth="1"/>
    <col min="5978" max="5978" width="41.85546875" style="1" customWidth="1"/>
    <col min="5979" max="5979" width="26.42578125" style="1" bestFit="1" customWidth="1"/>
    <col min="5980" max="5981" width="16.42578125" style="1" customWidth="1"/>
    <col min="5982" max="5982" width="19.42578125" style="1" customWidth="1"/>
    <col min="5983" max="5983" width="16" style="1" customWidth="1"/>
    <col min="5984" max="5984" width="16.5703125" style="1" customWidth="1"/>
    <col min="5985" max="5985" width="7.5703125" style="1" bestFit="1" customWidth="1"/>
    <col min="5986" max="5986" width="16.5703125" style="1" customWidth="1"/>
    <col min="5987" max="5987" width="17.140625" style="1" customWidth="1"/>
    <col min="5988" max="6011" width="0" style="1" hidden="1" customWidth="1"/>
    <col min="6012" max="6012" width="35.85546875" style="1" bestFit="1" customWidth="1"/>
    <col min="6013" max="6013" width="33.85546875" style="1" bestFit="1" customWidth="1"/>
    <col min="6014" max="6014" width="9.5703125" style="1" bestFit="1" customWidth="1"/>
    <col min="6015" max="6015" width="35.85546875" style="1" bestFit="1" customWidth="1"/>
    <col min="6016" max="6016" width="33.85546875" style="1" bestFit="1" customWidth="1"/>
    <col min="6017" max="6017" width="9.5703125" style="1" bestFit="1" customWidth="1"/>
    <col min="6018" max="6018" width="35.85546875" style="1" bestFit="1" customWidth="1"/>
    <col min="6019" max="6019" width="33.85546875" style="1" bestFit="1" customWidth="1"/>
    <col min="6020" max="6020" width="9.5703125" style="1" bestFit="1" customWidth="1"/>
    <col min="6021" max="6021" width="35.85546875" style="1" bestFit="1" customWidth="1"/>
    <col min="6022" max="6022" width="33.85546875" style="1" bestFit="1" customWidth="1"/>
    <col min="6023" max="6023" width="9.5703125" style="1" bestFit="1" customWidth="1"/>
    <col min="6024" max="6024" width="35.85546875" style="1" bestFit="1" customWidth="1"/>
    <col min="6025" max="6025" width="33.85546875" style="1" bestFit="1" customWidth="1"/>
    <col min="6026" max="6026" width="9.5703125" style="1" bestFit="1" customWidth="1"/>
    <col min="6027" max="6027" width="35.85546875" style="1" bestFit="1" customWidth="1"/>
    <col min="6028" max="6028" width="33.85546875" style="1" bestFit="1" customWidth="1"/>
    <col min="6029" max="6029" width="9.5703125" style="1" bestFit="1" customWidth="1"/>
    <col min="6030" max="6030" width="35.85546875" style="1" bestFit="1" customWidth="1"/>
    <col min="6031" max="6031" width="33.85546875" style="1" bestFit="1" customWidth="1"/>
    <col min="6032" max="6032" width="9.5703125" style="1" bestFit="1" customWidth="1"/>
    <col min="6033" max="6033" width="35.85546875" style="1" bestFit="1" customWidth="1"/>
    <col min="6034" max="6034" width="33.85546875" style="1" bestFit="1" customWidth="1"/>
    <col min="6035" max="6035" width="9.5703125" style="1" bestFit="1" customWidth="1"/>
    <col min="6036" max="6036" width="35.85546875" style="1" bestFit="1" customWidth="1"/>
    <col min="6037" max="6037" width="33.85546875" style="1" bestFit="1" customWidth="1"/>
    <col min="6038" max="6038" width="9.5703125" style="1" bestFit="1" customWidth="1"/>
    <col min="6039" max="6039" width="35.85546875" style="1" bestFit="1" customWidth="1"/>
    <col min="6040" max="6040" width="33.85546875" style="1" bestFit="1" customWidth="1"/>
    <col min="6041" max="6041" width="9.5703125" style="1" bestFit="1" customWidth="1"/>
    <col min="6042" max="6042" width="35.85546875" style="1" bestFit="1" customWidth="1"/>
    <col min="6043" max="6043" width="33.85546875" style="1" bestFit="1" customWidth="1"/>
    <col min="6044" max="6044" width="9.5703125" style="1" bestFit="1" customWidth="1"/>
    <col min="6045" max="6045" width="35.85546875" style="1" bestFit="1" customWidth="1"/>
    <col min="6046" max="6046" width="33.85546875" style="1" bestFit="1" customWidth="1"/>
    <col min="6047" max="6047" width="9.5703125" style="1" bestFit="1" customWidth="1"/>
    <col min="6048" max="6048" width="35.85546875" style="1" bestFit="1" customWidth="1"/>
    <col min="6049" max="6049" width="33.85546875" style="1" bestFit="1" customWidth="1"/>
    <col min="6050" max="6050" width="9.5703125" style="1" bestFit="1" customWidth="1"/>
    <col min="6051" max="6051" width="35.85546875" style="1" bestFit="1" customWidth="1"/>
    <col min="6052" max="6052" width="33.85546875" style="1" bestFit="1" customWidth="1"/>
    <col min="6053" max="6053" width="9.5703125" style="1" bestFit="1" customWidth="1"/>
    <col min="6054" max="6054" width="35.85546875" style="1" bestFit="1" customWidth="1"/>
    <col min="6055" max="6055" width="33.85546875" style="1" bestFit="1" customWidth="1"/>
    <col min="6056" max="6056" width="9.5703125" style="1" bestFit="1" customWidth="1"/>
    <col min="6057" max="6057" width="35.85546875" style="1" bestFit="1" customWidth="1"/>
    <col min="6058" max="6058" width="33.85546875" style="1" bestFit="1" customWidth="1"/>
    <col min="6059" max="6059" width="9.5703125" style="1" bestFit="1" customWidth="1"/>
    <col min="6060" max="6060" width="35.85546875" style="1" bestFit="1" customWidth="1"/>
    <col min="6061" max="6061" width="33.85546875" style="1" bestFit="1" customWidth="1"/>
    <col min="6062" max="6062" width="9.5703125" style="1" bestFit="1" customWidth="1"/>
    <col min="6063" max="6063" width="35.85546875" style="1" bestFit="1" customWidth="1"/>
    <col min="6064" max="6064" width="33.85546875" style="1" bestFit="1" customWidth="1"/>
    <col min="6065" max="6065" width="9.5703125" style="1" bestFit="1" customWidth="1"/>
    <col min="6066" max="6066" width="35.85546875" style="1" bestFit="1" customWidth="1"/>
    <col min="6067" max="6067" width="33.85546875" style="1" bestFit="1" customWidth="1"/>
    <col min="6068" max="6068" width="9.5703125" style="1" bestFit="1" customWidth="1"/>
    <col min="6069" max="6069" width="35.85546875" style="1" bestFit="1" customWidth="1"/>
    <col min="6070" max="6070" width="33.85546875" style="1" bestFit="1" customWidth="1"/>
    <col min="6071" max="6071" width="9.5703125" style="1" bestFit="1" customWidth="1"/>
    <col min="6072" max="6072" width="35.85546875" style="1" bestFit="1" customWidth="1"/>
    <col min="6073" max="6073" width="33.85546875" style="1" bestFit="1" customWidth="1"/>
    <col min="6074" max="6074" width="9.5703125" style="1" bestFit="1" customWidth="1"/>
    <col min="6075" max="6075" width="35.85546875" style="1" bestFit="1" customWidth="1"/>
    <col min="6076" max="6076" width="33.85546875" style="1" bestFit="1" customWidth="1"/>
    <col min="6077" max="6077" width="9.5703125" style="1" bestFit="1" customWidth="1"/>
    <col min="6078" max="6078" width="35.85546875" style="1" bestFit="1" customWidth="1"/>
    <col min="6079" max="6079" width="33.85546875" style="1" bestFit="1" customWidth="1"/>
    <col min="6080" max="6080" width="9.5703125" style="1" bestFit="1" customWidth="1"/>
    <col min="6081" max="6081" width="35.85546875" style="1" bestFit="1" customWidth="1"/>
    <col min="6082" max="6082" width="33.85546875" style="1" bestFit="1" customWidth="1"/>
    <col min="6083" max="6083" width="9.5703125" style="1" bestFit="1" customWidth="1"/>
    <col min="6084" max="6084" width="35.85546875" style="1" bestFit="1" customWidth="1"/>
    <col min="6085" max="6085" width="33.85546875" style="1" bestFit="1" customWidth="1"/>
    <col min="6086" max="6086" width="9.5703125" style="1" bestFit="1" customWidth="1"/>
    <col min="6087" max="6087" width="35.85546875" style="1" bestFit="1" customWidth="1"/>
    <col min="6088" max="6088" width="33.85546875" style="1" bestFit="1" customWidth="1"/>
    <col min="6089" max="6089" width="9.5703125" style="1" bestFit="1" customWidth="1"/>
    <col min="6090" max="6090" width="35.85546875" style="1" bestFit="1" customWidth="1"/>
    <col min="6091" max="6091" width="33.85546875" style="1" bestFit="1" customWidth="1"/>
    <col min="6092" max="6092" width="9.5703125" style="1" bestFit="1" customWidth="1"/>
    <col min="6093" max="6093" width="35.85546875" style="1" bestFit="1" customWidth="1"/>
    <col min="6094" max="6094" width="33.85546875" style="1" bestFit="1" customWidth="1"/>
    <col min="6095" max="6095" width="9.5703125" style="1" bestFit="1" customWidth="1"/>
    <col min="6096" max="6096" width="35.85546875" style="1" bestFit="1" customWidth="1"/>
    <col min="6097" max="6097" width="33.85546875" style="1" bestFit="1" customWidth="1"/>
    <col min="6098" max="6098" width="9.5703125" style="1" bestFit="1" customWidth="1"/>
    <col min="6099" max="6099" width="35.85546875" style="1" bestFit="1" customWidth="1"/>
    <col min="6100" max="6100" width="33.85546875" style="1" bestFit="1" customWidth="1"/>
    <col min="6101" max="6101" width="9.5703125" style="1" bestFit="1" customWidth="1"/>
    <col min="6102" max="6102" width="35.85546875" style="1" bestFit="1" customWidth="1"/>
    <col min="6103" max="6103" width="33.85546875" style="1" bestFit="1" customWidth="1"/>
    <col min="6104" max="6104" width="9.5703125" style="1" bestFit="1" customWidth="1"/>
    <col min="6105" max="6105" width="35.85546875" style="1" bestFit="1" customWidth="1"/>
    <col min="6106" max="6106" width="33.85546875" style="1" bestFit="1" customWidth="1"/>
    <col min="6107" max="6107" width="9.5703125" style="1" bestFit="1" customWidth="1"/>
    <col min="6108" max="6108" width="35.85546875" style="1" bestFit="1" customWidth="1"/>
    <col min="6109" max="6109" width="33.85546875" style="1" bestFit="1" customWidth="1"/>
    <col min="6110" max="6110" width="9.5703125" style="1" bestFit="1" customWidth="1"/>
    <col min="6111" max="6111" width="35.85546875" style="1" bestFit="1" customWidth="1"/>
    <col min="6112" max="6112" width="33.85546875" style="1" bestFit="1" customWidth="1"/>
    <col min="6113" max="6113" width="9.5703125" style="1" bestFit="1" customWidth="1"/>
    <col min="6114" max="6114" width="35.85546875" style="1" bestFit="1" customWidth="1"/>
    <col min="6115" max="6115" width="33.85546875" style="1" bestFit="1" customWidth="1"/>
    <col min="6116" max="6116" width="9.5703125" style="1" bestFit="1" customWidth="1"/>
    <col min="6117" max="6117" width="35.85546875" style="1" bestFit="1" customWidth="1"/>
    <col min="6118" max="6118" width="33.85546875" style="1" bestFit="1" customWidth="1"/>
    <col min="6119" max="6119" width="9.5703125" style="1" bestFit="1" customWidth="1"/>
    <col min="6120" max="6120" width="35.85546875" style="1" bestFit="1" customWidth="1"/>
    <col min="6121" max="6121" width="33.85546875" style="1" bestFit="1" customWidth="1"/>
    <col min="6122" max="6122" width="9.5703125" style="1" bestFit="1" customWidth="1"/>
    <col min="6123" max="6123" width="35.85546875" style="1" bestFit="1" customWidth="1"/>
    <col min="6124" max="6124" width="33.85546875" style="1" bestFit="1" customWidth="1"/>
    <col min="6125" max="6125" width="9.5703125" style="1" bestFit="1" customWidth="1"/>
    <col min="6126" max="6126" width="35.85546875" style="1" bestFit="1" customWidth="1"/>
    <col min="6127" max="6127" width="33.85546875" style="1" bestFit="1" customWidth="1"/>
    <col min="6128" max="6128" width="9.5703125" style="1" bestFit="1" customWidth="1"/>
    <col min="6129" max="6129" width="35.85546875" style="1" bestFit="1" customWidth="1"/>
    <col min="6130" max="6130" width="33.85546875" style="1" bestFit="1" customWidth="1"/>
    <col min="6131" max="6131" width="9.5703125" style="1" bestFit="1" customWidth="1"/>
    <col min="6132" max="6132" width="35.85546875" style="1" bestFit="1" customWidth="1"/>
    <col min="6133" max="6133" width="33.85546875" style="1" bestFit="1" customWidth="1"/>
    <col min="6134" max="6134" width="9.5703125" style="1" bestFit="1" customWidth="1"/>
    <col min="6135" max="6135" width="35.85546875" style="1" bestFit="1" customWidth="1"/>
    <col min="6136" max="6136" width="33.85546875" style="1" bestFit="1" customWidth="1"/>
    <col min="6137" max="6137" width="9.5703125" style="1" bestFit="1" customWidth="1"/>
    <col min="6138" max="6138" width="35.85546875" style="1" bestFit="1" customWidth="1"/>
    <col min="6139" max="6139" width="33.85546875" style="1" bestFit="1" customWidth="1"/>
    <col min="6140" max="6140" width="9.5703125" style="1" bestFit="1" customWidth="1"/>
    <col min="6141" max="6141" width="35.85546875" style="1" bestFit="1" customWidth="1"/>
    <col min="6142" max="6142" width="33.85546875" style="1" bestFit="1" customWidth="1"/>
    <col min="6143" max="6143" width="9.5703125" style="1" bestFit="1" customWidth="1"/>
    <col min="6144" max="6144" width="35.85546875" style="1" bestFit="1" customWidth="1"/>
    <col min="6145" max="6145" width="33.85546875" style="1" bestFit="1" customWidth="1"/>
    <col min="6146" max="6146" width="9.5703125" style="1" bestFit="1" customWidth="1"/>
    <col min="6147" max="6147" width="35.85546875" style="1" bestFit="1" customWidth="1"/>
    <col min="6148" max="6148" width="33.85546875" style="1" bestFit="1" customWidth="1"/>
    <col min="6149" max="6149" width="9.5703125" style="1" bestFit="1" customWidth="1"/>
    <col min="6150" max="6150" width="35.85546875" style="1" bestFit="1" customWidth="1"/>
    <col min="6151" max="6151" width="33.85546875" style="1" bestFit="1" customWidth="1"/>
    <col min="6152" max="6152" width="9.5703125" style="1" bestFit="1" customWidth="1"/>
    <col min="6153" max="6153" width="35.85546875" style="1" bestFit="1" customWidth="1"/>
    <col min="6154" max="6154" width="33.85546875" style="1" bestFit="1" customWidth="1"/>
    <col min="6155" max="6155" width="9.5703125" style="1" bestFit="1" customWidth="1"/>
    <col min="6156" max="6156" width="35.85546875" style="1" bestFit="1" customWidth="1"/>
    <col min="6157" max="6157" width="33.85546875" style="1" bestFit="1" customWidth="1"/>
    <col min="6158" max="6158" width="9.5703125" style="1" bestFit="1" customWidth="1"/>
    <col min="6159" max="6159" width="35.85546875" style="1" bestFit="1" customWidth="1"/>
    <col min="6160" max="6160" width="33.85546875" style="1" bestFit="1" customWidth="1"/>
    <col min="6161" max="6161" width="9.5703125" style="1" bestFit="1" customWidth="1"/>
    <col min="6162" max="6162" width="35.85546875" style="1" bestFit="1" customWidth="1"/>
    <col min="6163" max="6163" width="33.85546875" style="1" bestFit="1" customWidth="1"/>
    <col min="6164" max="6164" width="9.5703125" style="1" bestFit="1" customWidth="1"/>
    <col min="6165" max="6165" width="35.85546875" style="1" bestFit="1" customWidth="1"/>
    <col min="6166" max="6166" width="33.85546875" style="1" bestFit="1" customWidth="1"/>
    <col min="6167" max="6167" width="9.5703125" style="1" bestFit="1" customWidth="1"/>
    <col min="6168" max="6230" width="22.140625" style="1"/>
    <col min="6231" max="6231" width="40.42578125" style="1" customWidth="1"/>
    <col min="6232" max="6232" width="25.42578125" style="1" bestFit="1" customWidth="1"/>
    <col min="6233" max="6233" width="23.85546875" style="1" bestFit="1" customWidth="1"/>
    <col min="6234" max="6234" width="41.85546875" style="1" customWidth="1"/>
    <col min="6235" max="6235" width="26.42578125" style="1" bestFit="1" customWidth="1"/>
    <col min="6236" max="6237" width="16.42578125" style="1" customWidth="1"/>
    <col min="6238" max="6238" width="19.42578125" style="1" customWidth="1"/>
    <col min="6239" max="6239" width="16" style="1" customWidth="1"/>
    <col min="6240" max="6240" width="16.5703125" style="1" customWidth="1"/>
    <col min="6241" max="6241" width="7.5703125" style="1" bestFit="1" customWidth="1"/>
    <col min="6242" max="6242" width="16.5703125" style="1" customWidth="1"/>
    <col min="6243" max="6243" width="17.140625" style="1" customWidth="1"/>
    <col min="6244" max="6267" width="0" style="1" hidden="1" customWidth="1"/>
    <col min="6268" max="6268" width="35.85546875" style="1" bestFit="1" customWidth="1"/>
    <col min="6269" max="6269" width="33.85546875" style="1" bestFit="1" customWidth="1"/>
    <col min="6270" max="6270" width="9.5703125" style="1" bestFit="1" customWidth="1"/>
    <col min="6271" max="6271" width="35.85546875" style="1" bestFit="1" customWidth="1"/>
    <col min="6272" max="6272" width="33.85546875" style="1" bestFit="1" customWidth="1"/>
    <col min="6273" max="6273" width="9.5703125" style="1" bestFit="1" customWidth="1"/>
    <col min="6274" max="6274" width="35.85546875" style="1" bestFit="1" customWidth="1"/>
    <col min="6275" max="6275" width="33.85546875" style="1" bestFit="1" customWidth="1"/>
    <col min="6276" max="6276" width="9.5703125" style="1" bestFit="1" customWidth="1"/>
    <col min="6277" max="6277" width="35.85546875" style="1" bestFit="1" customWidth="1"/>
    <col min="6278" max="6278" width="33.85546875" style="1" bestFit="1" customWidth="1"/>
    <col min="6279" max="6279" width="9.5703125" style="1" bestFit="1" customWidth="1"/>
    <col min="6280" max="6280" width="35.85546875" style="1" bestFit="1" customWidth="1"/>
    <col min="6281" max="6281" width="33.85546875" style="1" bestFit="1" customWidth="1"/>
    <col min="6282" max="6282" width="9.5703125" style="1" bestFit="1" customWidth="1"/>
    <col min="6283" max="6283" width="35.85546875" style="1" bestFit="1" customWidth="1"/>
    <col min="6284" max="6284" width="33.85546875" style="1" bestFit="1" customWidth="1"/>
    <col min="6285" max="6285" width="9.5703125" style="1" bestFit="1" customWidth="1"/>
    <col min="6286" max="6286" width="35.85546875" style="1" bestFit="1" customWidth="1"/>
    <col min="6287" max="6287" width="33.85546875" style="1" bestFit="1" customWidth="1"/>
    <col min="6288" max="6288" width="9.5703125" style="1" bestFit="1" customWidth="1"/>
    <col min="6289" max="6289" width="35.85546875" style="1" bestFit="1" customWidth="1"/>
    <col min="6290" max="6290" width="33.85546875" style="1" bestFit="1" customWidth="1"/>
    <col min="6291" max="6291" width="9.5703125" style="1" bestFit="1" customWidth="1"/>
    <col min="6292" max="6292" width="35.85546875" style="1" bestFit="1" customWidth="1"/>
    <col min="6293" max="6293" width="33.85546875" style="1" bestFit="1" customWidth="1"/>
    <col min="6294" max="6294" width="9.5703125" style="1" bestFit="1" customWidth="1"/>
    <col min="6295" max="6295" width="35.85546875" style="1" bestFit="1" customWidth="1"/>
    <col min="6296" max="6296" width="33.85546875" style="1" bestFit="1" customWidth="1"/>
    <col min="6297" max="6297" width="9.5703125" style="1" bestFit="1" customWidth="1"/>
    <col min="6298" max="6298" width="35.85546875" style="1" bestFit="1" customWidth="1"/>
    <col min="6299" max="6299" width="33.85546875" style="1" bestFit="1" customWidth="1"/>
    <col min="6300" max="6300" width="9.5703125" style="1" bestFit="1" customWidth="1"/>
    <col min="6301" max="6301" width="35.85546875" style="1" bestFit="1" customWidth="1"/>
    <col min="6302" max="6302" width="33.85546875" style="1" bestFit="1" customWidth="1"/>
    <col min="6303" max="6303" width="9.5703125" style="1" bestFit="1" customWidth="1"/>
    <col min="6304" max="6304" width="35.85546875" style="1" bestFit="1" customWidth="1"/>
    <col min="6305" max="6305" width="33.85546875" style="1" bestFit="1" customWidth="1"/>
    <col min="6306" max="6306" width="9.5703125" style="1" bestFit="1" customWidth="1"/>
    <col min="6307" max="6307" width="35.85546875" style="1" bestFit="1" customWidth="1"/>
    <col min="6308" max="6308" width="33.85546875" style="1" bestFit="1" customWidth="1"/>
    <col min="6309" max="6309" width="9.5703125" style="1" bestFit="1" customWidth="1"/>
    <col min="6310" max="6310" width="35.85546875" style="1" bestFit="1" customWidth="1"/>
    <col min="6311" max="6311" width="33.85546875" style="1" bestFit="1" customWidth="1"/>
    <col min="6312" max="6312" width="9.5703125" style="1" bestFit="1" customWidth="1"/>
    <col min="6313" max="6313" width="35.85546875" style="1" bestFit="1" customWidth="1"/>
    <col min="6314" max="6314" width="33.85546875" style="1" bestFit="1" customWidth="1"/>
    <col min="6315" max="6315" width="9.5703125" style="1" bestFit="1" customWidth="1"/>
    <col min="6316" max="6316" width="35.85546875" style="1" bestFit="1" customWidth="1"/>
    <col min="6317" max="6317" width="33.85546875" style="1" bestFit="1" customWidth="1"/>
    <col min="6318" max="6318" width="9.5703125" style="1" bestFit="1" customWidth="1"/>
    <col min="6319" max="6319" width="35.85546875" style="1" bestFit="1" customWidth="1"/>
    <col min="6320" max="6320" width="33.85546875" style="1" bestFit="1" customWidth="1"/>
    <col min="6321" max="6321" width="9.5703125" style="1" bestFit="1" customWidth="1"/>
    <col min="6322" max="6322" width="35.85546875" style="1" bestFit="1" customWidth="1"/>
    <col min="6323" max="6323" width="33.85546875" style="1" bestFit="1" customWidth="1"/>
    <col min="6324" max="6324" width="9.5703125" style="1" bestFit="1" customWidth="1"/>
    <col min="6325" max="6325" width="35.85546875" style="1" bestFit="1" customWidth="1"/>
    <col min="6326" max="6326" width="33.85546875" style="1" bestFit="1" customWidth="1"/>
    <col min="6327" max="6327" width="9.5703125" style="1" bestFit="1" customWidth="1"/>
    <col min="6328" max="6328" width="35.85546875" style="1" bestFit="1" customWidth="1"/>
    <col min="6329" max="6329" width="33.85546875" style="1" bestFit="1" customWidth="1"/>
    <col min="6330" max="6330" width="9.5703125" style="1" bestFit="1" customWidth="1"/>
    <col min="6331" max="6331" width="35.85546875" style="1" bestFit="1" customWidth="1"/>
    <col min="6332" max="6332" width="33.85546875" style="1" bestFit="1" customWidth="1"/>
    <col min="6333" max="6333" width="9.5703125" style="1" bestFit="1" customWidth="1"/>
    <col min="6334" max="6334" width="35.85546875" style="1" bestFit="1" customWidth="1"/>
    <col min="6335" max="6335" width="33.85546875" style="1" bestFit="1" customWidth="1"/>
    <col min="6336" max="6336" width="9.5703125" style="1" bestFit="1" customWidth="1"/>
    <col min="6337" max="6337" width="35.85546875" style="1" bestFit="1" customWidth="1"/>
    <col min="6338" max="6338" width="33.85546875" style="1" bestFit="1" customWidth="1"/>
    <col min="6339" max="6339" width="9.5703125" style="1" bestFit="1" customWidth="1"/>
    <col min="6340" max="6340" width="35.85546875" style="1" bestFit="1" customWidth="1"/>
    <col min="6341" max="6341" width="33.85546875" style="1" bestFit="1" customWidth="1"/>
    <col min="6342" max="6342" width="9.5703125" style="1" bestFit="1" customWidth="1"/>
    <col min="6343" max="6343" width="35.85546875" style="1" bestFit="1" customWidth="1"/>
    <col min="6344" max="6344" width="33.85546875" style="1" bestFit="1" customWidth="1"/>
    <col min="6345" max="6345" width="9.5703125" style="1" bestFit="1" customWidth="1"/>
    <col min="6346" max="6346" width="35.85546875" style="1" bestFit="1" customWidth="1"/>
    <col min="6347" max="6347" width="33.85546875" style="1" bestFit="1" customWidth="1"/>
    <col min="6348" max="6348" width="9.5703125" style="1" bestFit="1" customWidth="1"/>
    <col min="6349" max="6349" width="35.85546875" style="1" bestFit="1" customWidth="1"/>
    <col min="6350" max="6350" width="33.85546875" style="1" bestFit="1" customWidth="1"/>
    <col min="6351" max="6351" width="9.5703125" style="1" bestFit="1" customWidth="1"/>
    <col min="6352" max="6352" width="35.85546875" style="1" bestFit="1" customWidth="1"/>
    <col min="6353" max="6353" width="33.85546875" style="1" bestFit="1" customWidth="1"/>
    <col min="6354" max="6354" width="9.5703125" style="1" bestFit="1" customWidth="1"/>
    <col min="6355" max="6355" width="35.85546875" style="1" bestFit="1" customWidth="1"/>
    <col min="6356" max="6356" width="33.85546875" style="1" bestFit="1" customWidth="1"/>
    <col min="6357" max="6357" width="9.5703125" style="1" bestFit="1" customWidth="1"/>
    <col min="6358" max="6358" width="35.85546875" style="1" bestFit="1" customWidth="1"/>
    <col min="6359" max="6359" width="33.85546875" style="1" bestFit="1" customWidth="1"/>
    <col min="6360" max="6360" width="9.5703125" style="1" bestFit="1" customWidth="1"/>
    <col min="6361" max="6361" width="35.85546875" style="1" bestFit="1" customWidth="1"/>
    <col min="6362" max="6362" width="33.85546875" style="1" bestFit="1" customWidth="1"/>
    <col min="6363" max="6363" width="9.5703125" style="1" bestFit="1" customWidth="1"/>
    <col min="6364" max="6364" width="35.85546875" style="1" bestFit="1" customWidth="1"/>
    <col min="6365" max="6365" width="33.85546875" style="1" bestFit="1" customWidth="1"/>
    <col min="6366" max="6366" width="9.5703125" style="1" bestFit="1" customWidth="1"/>
    <col min="6367" max="6367" width="35.85546875" style="1" bestFit="1" customWidth="1"/>
    <col min="6368" max="6368" width="33.85546875" style="1" bestFit="1" customWidth="1"/>
    <col min="6369" max="6369" width="9.5703125" style="1" bestFit="1" customWidth="1"/>
    <col min="6370" max="6370" width="35.85546875" style="1" bestFit="1" customWidth="1"/>
    <col min="6371" max="6371" width="33.85546875" style="1" bestFit="1" customWidth="1"/>
    <col min="6372" max="6372" width="9.5703125" style="1" bestFit="1" customWidth="1"/>
    <col min="6373" max="6373" width="35.85546875" style="1" bestFit="1" customWidth="1"/>
    <col min="6374" max="6374" width="33.85546875" style="1" bestFit="1" customWidth="1"/>
    <col min="6375" max="6375" width="9.5703125" style="1" bestFit="1" customWidth="1"/>
    <col min="6376" max="6376" width="35.85546875" style="1" bestFit="1" customWidth="1"/>
    <col min="6377" max="6377" width="33.85546875" style="1" bestFit="1" customWidth="1"/>
    <col min="6378" max="6378" width="9.5703125" style="1" bestFit="1" customWidth="1"/>
    <col min="6379" max="6379" width="35.85546875" style="1" bestFit="1" customWidth="1"/>
    <col min="6380" max="6380" width="33.85546875" style="1" bestFit="1" customWidth="1"/>
    <col min="6381" max="6381" width="9.5703125" style="1" bestFit="1" customWidth="1"/>
    <col min="6382" max="6382" width="35.85546875" style="1" bestFit="1" customWidth="1"/>
    <col min="6383" max="6383" width="33.85546875" style="1" bestFit="1" customWidth="1"/>
    <col min="6384" max="6384" width="9.5703125" style="1" bestFit="1" customWidth="1"/>
    <col min="6385" max="6385" width="35.85546875" style="1" bestFit="1" customWidth="1"/>
    <col min="6386" max="6386" width="33.85546875" style="1" bestFit="1" customWidth="1"/>
    <col min="6387" max="6387" width="9.5703125" style="1" bestFit="1" customWidth="1"/>
    <col min="6388" max="6388" width="35.85546875" style="1" bestFit="1" customWidth="1"/>
    <col min="6389" max="6389" width="33.85546875" style="1" bestFit="1" customWidth="1"/>
    <col min="6390" max="6390" width="9.5703125" style="1" bestFit="1" customWidth="1"/>
    <col min="6391" max="6391" width="35.85546875" style="1" bestFit="1" customWidth="1"/>
    <col min="6392" max="6392" width="33.85546875" style="1" bestFit="1" customWidth="1"/>
    <col min="6393" max="6393" width="9.5703125" style="1" bestFit="1" customWidth="1"/>
    <col min="6394" max="6394" width="35.85546875" style="1" bestFit="1" customWidth="1"/>
    <col min="6395" max="6395" width="33.85546875" style="1" bestFit="1" customWidth="1"/>
    <col min="6396" max="6396" width="9.5703125" style="1" bestFit="1" customWidth="1"/>
    <col min="6397" max="6397" width="35.85546875" style="1" bestFit="1" customWidth="1"/>
    <col min="6398" max="6398" width="33.85546875" style="1" bestFit="1" customWidth="1"/>
    <col min="6399" max="6399" width="9.5703125" style="1" bestFit="1" customWidth="1"/>
    <col min="6400" max="6400" width="35.85546875" style="1" bestFit="1" customWidth="1"/>
    <col min="6401" max="6401" width="33.85546875" style="1" bestFit="1" customWidth="1"/>
    <col min="6402" max="6402" width="9.5703125" style="1" bestFit="1" customWidth="1"/>
    <col min="6403" max="6403" width="35.85546875" style="1" bestFit="1" customWidth="1"/>
    <col min="6404" max="6404" width="33.85546875" style="1" bestFit="1" customWidth="1"/>
    <col min="6405" max="6405" width="9.5703125" style="1" bestFit="1" customWidth="1"/>
    <col min="6406" max="6406" width="35.85546875" style="1" bestFit="1" customWidth="1"/>
    <col min="6407" max="6407" width="33.85546875" style="1" bestFit="1" customWidth="1"/>
    <col min="6408" max="6408" width="9.5703125" style="1" bestFit="1" customWidth="1"/>
    <col min="6409" max="6409" width="35.85546875" style="1" bestFit="1" customWidth="1"/>
    <col min="6410" max="6410" width="33.85546875" style="1" bestFit="1" customWidth="1"/>
    <col min="6411" max="6411" width="9.5703125" style="1" bestFit="1" customWidth="1"/>
    <col min="6412" max="6412" width="35.85546875" style="1" bestFit="1" customWidth="1"/>
    <col min="6413" max="6413" width="33.85546875" style="1" bestFit="1" customWidth="1"/>
    <col min="6414" max="6414" width="9.5703125" style="1" bestFit="1" customWidth="1"/>
    <col min="6415" max="6415" width="35.85546875" style="1" bestFit="1" customWidth="1"/>
    <col min="6416" max="6416" width="33.85546875" style="1" bestFit="1" customWidth="1"/>
    <col min="6417" max="6417" width="9.5703125" style="1" bestFit="1" customWidth="1"/>
    <col min="6418" max="6418" width="35.85546875" style="1" bestFit="1" customWidth="1"/>
    <col min="6419" max="6419" width="33.85546875" style="1" bestFit="1" customWidth="1"/>
    <col min="6420" max="6420" width="9.5703125" style="1" bestFit="1" customWidth="1"/>
    <col min="6421" max="6421" width="35.85546875" style="1" bestFit="1" customWidth="1"/>
    <col min="6422" max="6422" width="33.85546875" style="1" bestFit="1" customWidth="1"/>
    <col min="6423" max="6423" width="9.5703125" style="1" bestFit="1" customWidth="1"/>
    <col min="6424" max="6486" width="22.140625" style="1"/>
    <col min="6487" max="6487" width="40.42578125" style="1" customWidth="1"/>
    <col min="6488" max="6488" width="25.42578125" style="1" bestFit="1" customWidth="1"/>
    <col min="6489" max="6489" width="23.85546875" style="1" bestFit="1" customWidth="1"/>
    <col min="6490" max="6490" width="41.85546875" style="1" customWidth="1"/>
    <col min="6491" max="6491" width="26.42578125" style="1" bestFit="1" customWidth="1"/>
    <col min="6492" max="6493" width="16.42578125" style="1" customWidth="1"/>
    <col min="6494" max="6494" width="19.42578125" style="1" customWidth="1"/>
    <col min="6495" max="6495" width="16" style="1" customWidth="1"/>
    <col min="6496" max="6496" width="16.5703125" style="1" customWidth="1"/>
    <col min="6497" max="6497" width="7.5703125" style="1" bestFit="1" customWidth="1"/>
    <col min="6498" max="6498" width="16.5703125" style="1" customWidth="1"/>
    <col min="6499" max="6499" width="17.140625" style="1" customWidth="1"/>
    <col min="6500" max="6523" width="0" style="1" hidden="1" customWidth="1"/>
    <col min="6524" max="6524" width="35.85546875" style="1" bestFit="1" customWidth="1"/>
    <col min="6525" max="6525" width="33.85546875" style="1" bestFit="1" customWidth="1"/>
    <col min="6526" max="6526" width="9.5703125" style="1" bestFit="1" customWidth="1"/>
    <col min="6527" max="6527" width="35.85546875" style="1" bestFit="1" customWidth="1"/>
    <col min="6528" max="6528" width="33.85546875" style="1" bestFit="1" customWidth="1"/>
    <col min="6529" max="6529" width="9.5703125" style="1" bestFit="1" customWidth="1"/>
    <col min="6530" max="6530" width="35.85546875" style="1" bestFit="1" customWidth="1"/>
    <col min="6531" max="6531" width="33.85546875" style="1" bestFit="1" customWidth="1"/>
    <col min="6532" max="6532" width="9.5703125" style="1" bestFit="1" customWidth="1"/>
    <col min="6533" max="6533" width="35.85546875" style="1" bestFit="1" customWidth="1"/>
    <col min="6534" max="6534" width="33.85546875" style="1" bestFit="1" customWidth="1"/>
    <col min="6535" max="6535" width="9.5703125" style="1" bestFit="1" customWidth="1"/>
    <col min="6536" max="6536" width="35.85546875" style="1" bestFit="1" customWidth="1"/>
    <col min="6537" max="6537" width="33.85546875" style="1" bestFit="1" customWidth="1"/>
    <col min="6538" max="6538" width="9.5703125" style="1" bestFit="1" customWidth="1"/>
    <col min="6539" max="6539" width="35.85546875" style="1" bestFit="1" customWidth="1"/>
    <col min="6540" max="6540" width="33.85546875" style="1" bestFit="1" customWidth="1"/>
    <col min="6541" max="6541" width="9.5703125" style="1" bestFit="1" customWidth="1"/>
    <col min="6542" max="6542" width="35.85546875" style="1" bestFit="1" customWidth="1"/>
    <col min="6543" max="6543" width="33.85546875" style="1" bestFit="1" customWidth="1"/>
    <col min="6544" max="6544" width="9.5703125" style="1" bestFit="1" customWidth="1"/>
    <col min="6545" max="6545" width="35.85546875" style="1" bestFit="1" customWidth="1"/>
    <col min="6546" max="6546" width="33.85546875" style="1" bestFit="1" customWidth="1"/>
    <col min="6547" max="6547" width="9.5703125" style="1" bestFit="1" customWidth="1"/>
    <col min="6548" max="6548" width="35.85546875" style="1" bestFit="1" customWidth="1"/>
    <col min="6549" max="6549" width="33.85546875" style="1" bestFit="1" customWidth="1"/>
    <col min="6550" max="6550" width="9.5703125" style="1" bestFit="1" customWidth="1"/>
    <col min="6551" max="6551" width="35.85546875" style="1" bestFit="1" customWidth="1"/>
    <col min="6552" max="6552" width="33.85546875" style="1" bestFit="1" customWidth="1"/>
    <col min="6553" max="6553" width="9.5703125" style="1" bestFit="1" customWidth="1"/>
    <col min="6554" max="6554" width="35.85546875" style="1" bestFit="1" customWidth="1"/>
    <col min="6555" max="6555" width="33.85546875" style="1" bestFit="1" customWidth="1"/>
    <col min="6556" max="6556" width="9.5703125" style="1" bestFit="1" customWidth="1"/>
    <col min="6557" max="6557" width="35.85546875" style="1" bestFit="1" customWidth="1"/>
    <col min="6558" max="6558" width="33.85546875" style="1" bestFit="1" customWidth="1"/>
    <col min="6559" max="6559" width="9.5703125" style="1" bestFit="1" customWidth="1"/>
    <col min="6560" max="6560" width="35.85546875" style="1" bestFit="1" customWidth="1"/>
    <col min="6561" max="6561" width="33.85546875" style="1" bestFit="1" customWidth="1"/>
    <col min="6562" max="6562" width="9.5703125" style="1" bestFit="1" customWidth="1"/>
    <col min="6563" max="6563" width="35.85546875" style="1" bestFit="1" customWidth="1"/>
    <col min="6564" max="6564" width="33.85546875" style="1" bestFit="1" customWidth="1"/>
    <col min="6565" max="6565" width="9.5703125" style="1" bestFit="1" customWidth="1"/>
    <col min="6566" max="6566" width="35.85546875" style="1" bestFit="1" customWidth="1"/>
    <col min="6567" max="6567" width="33.85546875" style="1" bestFit="1" customWidth="1"/>
    <col min="6568" max="6568" width="9.5703125" style="1" bestFit="1" customWidth="1"/>
    <col min="6569" max="6569" width="35.85546875" style="1" bestFit="1" customWidth="1"/>
    <col min="6570" max="6570" width="33.85546875" style="1" bestFit="1" customWidth="1"/>
    <col min="6571" max="6571" width="9.5703125" style="1" bestFit="1" customWidth="1"/>
    <col min="6572" max="6572" width="35.85546875" style="1" bestFit="1" customWidth="1"/>
    <col min="6573" max="6573" width="33.85546875" style="1" bestFit="1" customWidth="1"/>
    <col min="6574" max="6574" width="9.5703125" style="1" bestFit="1" customWidth="1"/>
    <col min="6575" max="6575" width="35.85546875" style="1" bestFit="1" customWidth="1"/>
    <col min="6576" max="6576" width="33.85546875" style="1" bestFit="1" customWidth="1"/>
    <col min="6577" max="6577" width="9.5703125" style="1" bestFit="1" customWidth="1"/>
    <col min="6578" max="6578" width="35.85546875" style="1" bestFit="1" customWidth="1"/>
    <col min="6579" max="6579" width="33.85546875" style="1" bestFit="1" customWidth="1"/>
    <col min="6580" max="6580" width="9.5703125" style="1" bestFit="1" customWidth="1"/>
    <col min="6581" max="6581" width="35.85546875" style="1" bestFit="1" customWidth="1"/>
    <col min="6582" max="6582" width="33.85546875" style="1" bestFit="1" customWidth="1"/>
    <col min="6583" max="6583" width="9.5703125" style="1" bestFit="1" customWidth="1"/>
    <col min="6584" max="6584" width="35.85546875" style="1" bestFit="1" customWidth="1"/>
    <col min="6585" max="6585" width="33.85546875" style="1" bestFit="1" customWidth="1"/>
    <col min="6586" max="6586" width="9.5703125" style="1" bestFit="1" customWidth="1"/>
    <col min="6587" max="6587" width="35.85546875" style="1" bestFit="1" customWidth="1"/>
    <col min="6588" max="6588" width="33.85546875" style="1" bestFit="1" customWidth="1"/>
    <col min="6589" max="6589" width="9.5703125" style="1" bestFit="1" customWidth="1"/>
    <col min="6590" max="6590" width="35.85546875" style="1" bestFit="1" customWidth="1"/>
    <col min="6591" max="6591" width="33.85546875" style="1" bestFit="1" customWidth="1"/>
    <col min="6592" max="6592" width="9.5703125" style="1" bestFit="1" customWidth="1"/>
    <col min="6593" max="6593" width="35.85546875" style="1" bestFit="1" customWidth="1"/>
    <col min="6594" max="6594" width="33.85546875" style="1" bestFit="1" customWidth="1"/>
    <col min="6595" max="6595" width="9.5703125" style="1" bestFit="1" customWidth="1"/>
    <col min="6596" max="6596" width="35.85546875" style="1" bestFit="1" customWidth="1"/>
    <col min="6597" max="6597" width="33.85546875" style="1" bestFit="1" customWidth="1"/>
    <col min="6598" max="6598" width="9.5703125" style="1" bestFit="1" customWidth="1"/>
    <col min="6599" max="6599" width="35.85546875" style="1" bestFit="1" customWidth="1"/>
    <col min="6600" max="6600" width="33.85546875" style="1" bestFit="1" customWidth="1"/>
    <col min="6601" max="6601" width="9.5703125" style="1" bestFit="1" customWidth="1"/>
    <col min="6602" max="6602" width="35.85546875" style="1" bestFit="1" customWidth="1"/>
    <col min="6603" max="6603" width="33.85546875" style="1" bestFit="1" customWidth="1"/>
    <col min="6604" max="6604" width="9.5703125" style="1" bestFit="1" customWidth="1"/>
    <col min="6605" max="6605" width="35.85546875" style="1" bestFit="1" customWidth="1"/>
    <col min="6606" max="6606" width="33.85546875" style="1" bestFit="1" customWidth="1"/>
    <col min="6607" max="6607" width="9.5703125" style="1" bestFit="1" customWidth="1"/>
    <col min="6608" max="6608" width="35.85546875" style="1" bestFit="1" customWidth="1"/>
    <col min="6609" max="6609" width="33.85546875" style="1" bestFit="1" customWidth="1"/>
    <col min="6610" max="6610" width="9.5703125" style="1" bestFit="1" customWidth="1"/>
    <col min="6611" max="6611" width="35.85546875" style="1" bestFit="1" customWidth="1"/>
    <col min="6612" max="6612" width="33.85546875" style="1" bestFit="1" customWidth="1"/>
    <col min="6613" max="6613" width="9.5703125" style="1" bestFit="1" customWidth="1"/>
    <col min="6614" max="6614" width="35.85546875" style="1" bestFit="1" customWidth="1"/>
    <col min="6615" max="6615" width="33.85546875" style="1" bestFit="1" customWidth="1"/>
    <col min="6616" max="6616" width="9.5703125" style="1" bestFit="1" customWidth="1"/>
    <col min="6617" max="6617" width="35.85546875" style="1" bestFit="1" customWidth="1"/>
    <col min="6618" max="6618" width="33.85546875" style="1" bestFit="1" customWidth="1"/>
    <col min="6619" max="6619" width="9.5703125" style="1" bestFit="1" customWidth="1"/>
    <col min="6620" max="6620" width="35.85546875" style="1" bestFit="1" customWidth="1"/>
    <col min="6621" max="6621" width="33.85546875" style="1" bestFit="1" customWidth="1"/>
    <col min="6622" max="6622" width="9.5703125" style="1" bestFit="1" customWidth="1"/>
    <col min="6623" max="6623" width="35.85546875" style="1" bestFit="1" customWidth="1"/>
    <col min="6624" max="6624" width="33.85546875" style="1" bestFit="1" customWidth="1"/>
    <col min="6625" max="6625" width="9.5703125" style="1" bestFit="1" customWidth="1"/>
    <col min="6626" max="6626" width="35.85546875" style="1" bestFit="1" customWidth="1"/>
    <col min="6627" max="6627" width="33.85546875" style="1" bestFit="1" customWidth="1"/>
    <col min="6628" max="6628" width="9.5703125" style="1" bestFit="1" customWidth="1"/>
    <col min="6629" max="6629" width="35.85546875" style="1" bestFit="1" customWidth="1"/>
    <col min="6630" max="6630" width="33.85546875" style="1" bestFit="1" customWidth="1"/>
    <col min="6631" max="6631" width="9.5703125" style="1" bestFit="1" customWidth="1"/>
    <col min="6632" max="6632" width="35.85546875" style="1" bestFit="1" customWidth="1"/>
    <col min="6633" max="6633" width="33.85546875" style="1" bestFit="1" customWidth="1"/>
    <col min="6634" max="6634" width="9.5703125" style="1" bestFit="1" customWidth="1"/>
    <col min="6635" max="6635" width="35.85546875" style="1" bestFit="1" customWidth="1"/>
    <col min="6636" max="6636" width="33.85546875" style="1" bestFit="1" customWidth="1"/>
    <col min="6637" max="6637" width="9.5703125" style="1" bestFit="1" customWidth="1"/>
    <col min="6638" max="6638" width="35.85546875" style="1" bestFit="1" customWidth="1"/>
    <col min="6639" max="6639" width="33.85546875" style="1" bestFit="1" customWidth="1"/>
    <col min="6640" max="6640" width="9.5703125" style="1" bestFit="1" customWidth="1"/>
    <col min="6641" max="6641" width="35.85546875" style="1" bestFit="1" customWidth="1"/>
    <col min="6642" max="6642" width="33.85546875" style="1" bestFit="1" customWidth="1"/>
    <col min="6643" max="6643" width="9.5703125" style="1" bestFit="1" customWidth="1"/>
    <col min="6644" max="6644" width="35.85546875" style="1" bestFit="1" customWidth="1"/>
    <col min="6645" max="6645" width="33.85546875" style="1" bestFit="1" customWidth="1"/>
    <col min="6646" max="6646" width="9.5703125" style="1" bestFit="1" customWidth="1"/>
    <col min="6647" max="6647" width="35.85546875" style="1" bestFit="1" customWidth="1"/>
    <col min="6648" max="6648" width="33.85546875" style="1" bestFit="1" customWidth="1"/>
    <col min="6649" max="6649" width="9.5703125" style="1" bestFit="1" customWidth="1"/>
    <col min="6650" max="6650" width="35.85546875" style="1" bestFit="1" customWidth="1"/>
    <col min="6651" max="6651" width="33.85546875" style="1" bestFit="1" customWidth="1"/>
    <col min="6652" max="6652" width="9.5703125" style="1" bestFit="1" customWidth="1"/>
    <col min="6653" max="6653" width="35.85546875" style="1" bestFit="1" customWidth="1"/>
    <col min="6654" max="6654" width="33.85546875" style="1" bestFit="1" customWidth="1"/>
    <col min="6655" max="6655" width="9.5703125" style="1" bestFit="1" customWidth="1"/>
    <col min="6656" max="6656" width="35.85546875" style="1" bestFit="1" customWidth="1"/>
    <col min="6657" max="6657" width="33.85546875" style="1" bestFit="1" customWidth="1"/>
    <col min="6658" max="6658" width="9.5703125" style="1" bestFit="1" customWidth="1"/>
    <col min="6659" max="6659" width="35.85546875" style="1" bestFit="1" customWidth="1"/>
    <col min="6660" max="6660" width="33.85546875" style="1" bestFit="1" customWidth="1"/>
    <col min="6661" max="6661" width="9.5703125" style="1" bestFit="1" customWidth="1"/>
    <col min="6662" max="6662" width="35.85546875" style="1" bestFit="1" customWidth="1"/>
    <col min="6663" max="6663" width="33.85546875" style="1" bestFit="1" customWidth="1"/>
    <col min="6664" max="6664" width="9.5703125" style="1" bestFit="1" customWidth="1"/>
    <col min="6665" max="6665" width="35.85546875" style="1" bestFit="1" customWidth="1"/>
    <col min="6666" max="6666" width="33.85546875" style="1" bestFit="1" customWidth="1"/>
    <col min="6667" max="6667" width="9.5703125" style="1" bestFit="1" customWidth="1"/>
    <col min="6668" max="6668" width="35.85546875" style="1" bestFit="1" customWidth="1"/>
    <col min="6669" max="6669" width="33.85546875" style="1" bestFit="1" customWidth="1"/>
    <col min="6670" max="6670" width="9.5703125" style="1" bestFit="1" customWidth="1"/>
    <col min="6671" max="6671" width="35.85546875" style="1" bestFit="1" customWidth="1"/>
    <col min="6672" max="6672" width="33.85546875" style="1" bestFit="1" customWidth="1"/>
    <col min="6673" max="6673" width="9.5703125" style="1" bestFit="1" customWidth="1"/>
    <col min="6674" max="6674" width="35.85546875" style="1" bestFit="1" customWidth="1"/>
    <col min="6675" max="6675" width="33.85546875" style="1" bestFit="1" customWidth="1"/>
    <col min="6676" max="6676" width="9.5703125" style="1" bestFit="1" customWidth="1"/>
    <col min="6677" max="6677" width="35.85546875" style="1" bestFit="1" customWidth="1"/>
    <col min="6678" max="6678" width="33.85546875" style="1" bestFit="1" customWidth="1"/>
    <col min="6679" max="6679" width="9.5703125" style="1" bestFit="1" customWidth="1"/>
    <col min="6680" max="6742" width="22.140625" style="1"/>
    <col min="6743" max="6743" width="40.42578125" style="1" customWidth="1"/>
    <col min="6744" max="6744" width="25.42578125" style="1" bestFit="1" customWidth="1"/>
    <col min="6745" max="6745" width="23.85546875" style="1" bestFit="1" customWidth="1"/>
    <col min="6746" max="6746" width="41.85546875" style="1" customWidth="1"/>
    <col min="6747" max="6747" width="26.42578125" style="1" bestFit="1" customWidth="1"/>
    <col min="6748" max="6749" width="16.42578125" style="1" customWidth="1"/>
    <col min="6750" max="6750" width="19.42578125" style="1" customWidth="1"/>
    <col min="6751" max="6751" width="16" style="1" customWidth="1"/>
    <col min="6752" max="6752" width="16.5703125" style="1" customWidth="1"/>
    <col min="6753" max="6753" width="7.5703125" style="1" bestFit="1" customWidth="1"/>
    <col min="6754" max="6754" width="16.5703125" style="1" customWidth="1"/>
    <col min="6755" max="6755" width="17.140625" style="1" customWidth="1"/>
    <col min="6756" max="6779" width="0" style="1" hidden="1" customWidth="1"/>
    <col min="6780" max="6780" width="35.85546875" style="1" bestFit="1" customWidth="1"/>
    <col min="6781" max="6781" width="33.85546875" style="1" bestFit="1" customWidth="1"/>
    <col min="6782" max="6782" width="9.5703125" style="1" bestFit="1" customWidth="1"/>
    <col min="6783" max="6783" width="35.85546875" style="1" bestFit="1" customWidth="1"/>
    <col min="6784" max="6784" width="33.85546875" style="1" bestFit="1" customWidth="1"/>
    <col min="6785" max="6785" width="9.5703125" style="1" bestFit="1" customWidth="1"/>
    <col min="6786" max="6786" width="35.85546875" style="1" bestFit="1" customWidth="1"/>
    <col min="6787" max="6787" width="33.85546875" style="1" bestFit="1" customWidth="1"/>
    <col min="6788" max="6788" width="9.5703125" style="1" bestFit="1" customWidth="1"/>
    <col min="6789" max="6789" width="35.85546875" style="1" bestFit="1" customWidth="1"/>
    <col min="6790" max="6790" width="33.85546875" style="1" bestFit="1" customWidth="1"/>
    <col min="6791" max="6791" width="9.5703125" style="1" bestFit="1" customWidth="1"/>
    <col min="6792" max="6792" width="35.85546875" style="1" bestFit="1" customWidth="1"/>
    <col min="6793" max="6793" width="33.85546875" style="1" bestFit="1" customWidth="1"/>
    <col min="6794" max="6794" width="9.5703125" style="1" bestFit="1" customWidth="1"/>
    <col min="6795" max="6795" width="35.85546875" style="1" bestFit="1" customWidth="1"/>
    <col min="6796" max="6796" width="33.85546875" style="1" bestFit="1" customWidth="1"/>
    <col min="6797" max="6797" width="9.5703125" style="1" bestFit="1" customWidth="1"/>
    <col min="6798" max="6798" width="35.85546875" style="1" bestFit="1" customWidth="1"/>
    <col min="6799" max="6799" width="33.85546875" style="1" bestFit="1" customWidth="1"/>
    <col min="6800" max="6800" width="9.5703125" style="1" bestFit="1" customWidth="1"/>
    <col min="6801" max="6801" width="35.85546875" style="1" bestFit="1" customWidth="1"/>
    <col min="6802" max="6802" width="33.85546875" style="1" bestFit="1" customWidth="1"/>
    <col min="6803" max="6803" width="9.5703125" style="1" bestFit="1" customWidth="1"/>
    <col min="6804" max="6804" width="35.85546875" style="1" bestFit="1" customWidth="1"/>
    <col min="6805" max="6805" width="33.85546875" style="1" bestFit="1" customWidth="1"/>
    <col min="6806" max="6806" width="9.5703125" style="1" bestFit="1" customWidth="1"/>
    <col min="6807" max="6807" width="35.85546875" style="1" bestFit="1" customWidth="1"/>
    <col min="6808" max="6808" width="33.85546875" style="1" bestFit="1" customWidth="1"/>
    <col min="6809" max="6809" width="9.5703125" style="1" bestFit="1" customWidth="1"/>
    <col min="6810" max="6810" width="35.85546875" style="1" bestFit="1" customWidth="1"/>
    <col min="6811" max="6811" width="33.85546875" style="1" bestFit="1" customWidth="1"/>
    <col min="6812" max="6812" width="9.5703125" style="1" bestFit="1" customWidth="1"/>
    <col min="6813" max="6813" width="35.85546875" style="1" bestFit="1" customWidth="1"/>
    <col min="6814" max="6814" width="33.85546875" style="1" bestFit="1" customWidth="1"/>
    <col min="6815" max="6815" width="9.5703125" style="1" bestFit="1" customWidth="1"/>
    <col min="6816" max="6816" width="35.85546875" style="1" bestFit="1" customWidth="1"/>
    <col min="6817" max="6817" width="33.85546875" style="1" bestFit="1" customWidth="1"/>
    <col min="6818" max="6818" width="9.5703125" style="1" bestFit="1" customWidth="1"/>
    <col min="6819" max="6819" width="35.85546875" style="1" bestFit="1" customWidth="1"/>
    <col min="6820" max="6820" width="33.85546875" style="1" bestFit="1" customWidth="1"/>
    <col min="6821" max="6821" width="9.5703125" style="1" bestFit="1" customWidth="1"/>
    <col min="6822" max="6822" width="35.85546875" style="1" bestFit="1" customWidth="1"/>
    <col min="6823" max="6823" width="33.85546875" style="1" bestFit="1" customWidth="1"/>
    <col min="6824" max="6824" width="9.5703125" style="1" bestFit="1" customWidth="1"/>
    <col min="6825" max="6825" width="35.85546875" style="1" bestFit="1" customWidth="1"/>
    <col min="6826" max="6826" width="33.85546875" style="1" bestFit="1" customWidth="1"/>
    <col min="6827" max="6827" width="9.5703125" style="1" bestFit="1" customWidth="1"/>
    <col min="6828" max="6828" width="35.85546875" style="1" bestFit="1" customWidth="1"/>
    <col min="6829" max="6829" width="33.85546875" style="1" bestFit="1" customWidth="1"/>
    <col min="6830" max="6830" width="9.5703125" style="1" bestFit="1" customWidth="1"/>
    <col min="6831" max="6831" width="35.85546875" style="1" bestFit="1" customWidth="1"/>
    <col min="6832" max="6832" width="33.85546875" style="1" bestFit="1" customWidth="1"/>
    <col min="6833" max="6833" width="9.5703125" style="1" bestFit="1" customWidth="1"/>
    <col min="6834" max="6834" width="35.85546875" style="1" bestFit="1" customWidth="1"/>
    <col min="6835" max="6835" width="33.85546875" style="1" bestFit="1" customWidth="1"/>
    <col min="6836" max="6836" width="9.5703125" style="1" bestFit="1" customWidth="1"/>
    <col min="6837" max="6837" width="35.85546875" style="1" bestFit="1" customWidth="1"/>
    <col min="6838" max="6838" width="33.85546875" style="1" bestFit="1" customWidth="1"/>
    <col min="6839" max="6839" width="9.5703125" style="1" bestFit="1" customWidth="1"/>
    <col min="6840" max="6840" width="35.85546875" style="1" bestFit="1" customWidth="1"/>
    <col min="6841" max="6841" width="33.85546875" style="1" bestFit="1" customWidth="1"/>
    <col min="6842" max="6842" width="9.5703125" style="1" bestFit="1" customWidth="1"/>
    <col min="6843" max="6843" width="35.85546875" style="1" bestFit="1" customWidth="1"/>
    <col min="6844" max="6844" width="33.85546875" style="1" bestFit="1" customWidth="1"/>
    <col min="6845" max="6845" width="9.5703125" style="1" bestFit="1" customWidth="1"/>
    <col min="6846" max="6846" width="35.85546875" style="1" bestFit="1" customWidth="1"/>
    <col min="6847" max="6847" width="33.85546875" style="1" bestFit="1" customWidth="1"/>
    <col min="6848" max="6848" width="9.5703125" style="1" bestFit="1" customWidth="1"/>
    <col min="6849" max="6849" width="35.85546875" style="1" bestFit="1" customWidth="1"/>
    <col min="6850" max="6850" width="33.85546875" style="1" bestFit="1" customWidth="1"/>
    <col min="6851" max="6851" width="9.5703125" style="1" bestFit="1" customWidth="1"/>
    <col min="6852" max="6852" width="35.85546875" style="1" bestFit="1" customWidth="1"/>
    <col min="6853" max="6853" width="33.85546875" style="1" bestFit="1" customWidth="1"/>
    <col min="6854" max="6854" width="9.5703125" style="1" bestFit="1" customWidth="1"/>
    <col min="6855" max="6855" width="35.85546875" style="1" bestFit="1" customWidth="1"/>
    <col min="6856" max="6856" width="33.85546875" style="1" bestFit="1" customWidth="1"/>
    <col min="6857" max="6857" width="9.5703125" style="1" bestFit="1" customWidth="1"/>
    <col min="6858" max="6858" width="35.85546875" style="1" bestFit="1" customWidth="1"/>
    <col min="6859" max="6859" width="33.85546875" style="1" bestFit="1" customWidth="1"/>
    <col min="6860" max="6860" width="9.5703125" style="1" bestFit="1" customWidth="1"/>
    <col min="6861" max="6861" width="35.85546875" style="1" bestFit="1" customWidth="1"/>
    <col min="6862" max="6862" width="33.85546875" style="1" bestFit="1" customWidth="1"/>
    <col min="6863" max="6863" width="9.5703125" style="1" bestFit="1" customWidth="1"/>
    <col min="6864" max="6864" width="35.85546875" style="1" bestFit="1" customWidth="1"/>
    <col min="6865" max="6865" width="33.85546875" style="1" bestFit="1" customWidth="1"/>
    <col min="6866" max="6866" width="9.5703125" style="1" bestFit="1" customWidth="1"/>
    <col min="6867" max="6867" width="35.85546875" style="1" bestFit="1" customWidth="1"/>
    <col min="6868" max="6868" width="33.85546875" style="1" bestFit="1" customWidth="1"/>
    <col min="6869" max="6869" width="9.5703125" style="1" bestFit="1" customWidth="1"/>
    <col min="6870" max="6870" width="35.85546875" style="1" bestFit="1" customWidth="1"/>
    <col min="6871" max="6871" width="33.85546875" style="1" bestFit="1" customWidth="1"/>
    <col min="6872" max="6872" width="9.5703125" style="1" bestFit="1" customWidth="1"/>
    <col min="6873" max="6873" width="35.85546875" style="1" bestFit="1" customWidth="1"/>
    <col min="6874" max="6874" width="33.85546875" style="1" bestFit="1" customWidth="1"/>
    <col min="6875" max="6875" width="9.5703125" style="1" bestFit="1" customWidth="1"/>
    <col min="6876" max="6876" width="35.85546875" style="1" bestFit="1" customWidth="1"/>
    <col min="6877" max="6877" width="33.85546875" style="1" bestFit="1" customWidth="1"/>
    <col min="6878" max="6878" width="9.5703125" style="1" bestFit="1" customWidth="1"/>
    <col min="6879" max="6879" width="35.85546875" style="1" bestFit="1" customWidth="1"/>
    <col min="6880" max="6880" width="33.85546875" style="1" bestFit="1" customWidth="1"/>
    <col min="6881" max="6881" width="9.5703125" style="1" bestFit="1" customWidth="1"/>
    <col min="6882" max="6882" width="35.85546875" style="1" bestFit="1" customWidth="1"/>
    <col min="6883" max="6883" width="33.85546875" style="1" bestFit="1" customWidth="1"/>
    <col min="6884" max="6884" width="9.5703125" style="1" bestFit="1" customWidth="1"/>
    <col min="6885" max="6885" width="35.85546875" style="1" bestFit="1" customWidth="1"/>
    <col min="6886" max="6886" width="33.85546875" style="1" bestFit="1" customWidth="1"/>
    <col min="6887" max="6887" width="9.5703125" style="1" bestFit="1" customWidth="1"/>
    <col min="6888" max="6888" width="35.85546875" style="1" bestFit="1" customWidth="1"/>
    <col min="6889" max="6889" width="33.85546875" style="1" bestFit="1" customWidth="1"/>
    <col min="6890" max="6890" width="9.5703125" style="1" bestFit="1" customWidth="1"/>
    <col min="6891" max="6891" width="35.85546875" style="1" bestFit="1" customWidth="1"/>
    <col min="6892" max="6892" width="33.85546875" style="1" bestFit="1" customWidth="1"/>
    <col min="6893" max="6893" width="9.5703125" style="1" bestFit="1" customWidth="1"/>
    <col min="6894" max="6894" width="35.85546875" style="1" bestFit="1" customWidth="1"/>
    <col min="6895" max="6895" width="33.85546875" style="1" bestFit="1" customWidth="1"/>
    <col min="6896" max="6896" width="9.5703125" style="1" bestFit="1" customWidth="1"/>
    <col min="6897" max="6897" width="35.85546875" style="1" bestFit="1" customWidth="1"/>
    <col min="6898" max="6898" width="33.85546875" style="1" bestFit="1" customWidth="1"/>
    <col min="6899" max="6899" width="9.5703125" style="1" bestFit="1" customWidth="1"/>
    <col min="6900" max="6900" width="35.85546875" style="1" bestFit="1" customWidth="1"/>
    <col min="6901" max="6901" width="33.85546875" style="1" bestFit="1" customWidth="1"/>
    <col min="6902" max="6902" width="9.5703125" style="1" bestFit="1" customWidth="1"/>
    <col min="6903" max="6903" width="35.85546875" style="1" bestFit="1" customWidth="1"/>
    <col min="6904" max="6904" width="33.85546875" style="1" bestFit="1" customWidth="1"/>
    <col min="6905" max="6905" width="9.5703125" style="1" bestFit="1" customWidth="1"/>
    <col min="6906" max="6906" width="35.85546875" style="1" bestFit="1" customWidth="1"/>
    <col min="6907" max="6907" width="33.85546875" style="1" bestFit="1" customWidth="1"/>
    <col min="6908" max="6908" width="9.5703125" style="1" bestFit="1" customWidth="1"/>
    <col min="6909" max="6909" width="35.85546875" style="1" bestFit="1" customWidth="1"/>
    <col min="6910" max="6910" width="33.85546875" style="1" bestFit="1" customWidth="1"/>
    <col min="6911" max="6911" width="9.5703125" style="1" bestFit="1" customWidth="1"/>
    <col min="6912" max="6912" width="35.85546875" style="1" bestFit="1" customWidth="1"/>
    <col min="6913" max="6913" width="33.85546875" style="1" bestFit="1" customWidth="1"/>
    <col min="6914" max="6914" width="9.5703125" style="1" bestFit="1" customWidth="1"/>
    <col min="6915" max="6915" width="35.85546875" style="1" bestFit="1" customWidth="1"/>
    <col min="6916" max="6916" width="33.85546875" style="1" bestFit="1" customWidth="1"/>
    <col min="6917" max="6917" width="9.5703125" style="1" bestFit="1" customWidth="1"/>
    <col min="6918" max="6918" width="35.85546875" style="1" bestFit="1" customWidth="1"/>
    <col min="6919" max="6919" width="33.85546875" style="1" bestFit="1" customWidth="1"/>
    <col min="6920" max="6920" width="9.5703125" style="1" bestFit="1" customWidth="1"/>
    <col min="6921" max="6921" width="35.85546875" style="1" bestFit="1" customWidth="1"/>
    <col min="6922" max="6922" width="33.85546875" style="1" bestFit="1" customWidth="1"/>
    <col min="6923" max="6923" width="9.5703125" style="1" bestFit="1" customWidth="1"/>
    <col min="6924" max="6924" width="35.85546875" style="1" bestFit="1" customWidth="1"/>
    <col min="6925" max="6925" width="33.85546875" style="1" bestFit="1" customWidth="1"/>
    <col min="6926" max="6926" width="9.5703125" style="1" bestFit="1" customWidth="1"/>
    <col min="6927" max="6927" width="35.85546875" style="1" bestFit="1" customWidth="1"/>
    <col min="6928" max="6928" width="33.85546875" style="1" bestFit="1" customWidth="1"/>
    <col min="6929" max="6929" width="9.5703125" style="1" bestFit="1" customWidth="1"/>
    <col min="6930" max="6930" width="35.85546875" style="1" bestFit="1" customWidth="1"/>
    <col min="6931" max="6931" width="33.85546875" style="1" bestFit="1" customWidth="1"/>
    <col min="6932" max="6932" width="9.5703125" style="1" bestFit="1" customWidth="1"/>
    <col min="6933" max="6933" width="35.85546875" style="1" bestFit="1" customWidth="1"/>
    <col min="6934" max="6934" width="33.85546875" style="1" bestFit="1" customWidth="1"/>
    <col min="6935" max="6935" width="9.5703125" style="1" bestFit="1" customWidth="1"/>
    <col min="6936" max="6998" width="22.140625" style="1"/>
    <col min="6999" max="6999" width="40.42578125" style="1" customWidth="1"/>
    <col min="7000" max="7000" width="25.42578125" style="1" bestFit="1" customWidth="1"/>
    <col min="7001" max="7001" width="23.85546875" style="1" bestFit="1" customWidth="1"/>
    <col min="7002" max="7002" width="41.85546875" style="1" customWidth="1"/>
    <col min="7003" max="7003" width="26.42578125" style="1" bestFit="1" customWidth="1"/>
    <col min="7004" max="7005" width="16.42578125" style="1" customWidth="1"/>
    <col min="7006" max="7006" width="19.42578125" style="1" customWidth="1"/>
    <col min="7007" max="7007" width="16" style="1" customWidth="1"/>
    <col min="7008" max="7008" width="16.5703125" style="1" customWidth="1"/>
    <col min="7009" max="7009" width="7.5703125" style="1" bestFit="1" customWidth="1"/>
    <col min="7010" max="7010" width="16.5703125" style="1" customWidth="1"/>
    <col min="7011" max="7011" width="17.140625" style="1" customWidth="1"/>
    <col min="7012" max="7035" width="0" style="1" hidden="1" customWidth="1"/>
    <col min="7036" max="7036" width="35.85546875" style="1" bestFit="1" customWidth="1"/>
    <col min="7037" max="7037" width="33.85546875" style="1" bestFit="1" customWidth="1"/>
    <col min="7038" max="7038" width="9.5703125" style="1" bestFit="1" customWidth="1"/>
    <col min="7039" max="7039" width="35.85546875" style="1" bestFit="1" customWidth="1"/>
    <col min="7040" max="7040" width="33.85546875" style="1" bestFit="1" customWidth="1"/>
    <col min="7041" max="7041" width="9.5703125" style="1" bestFit="1" customWidth="1"/>
    <col min="7042" max="7042" width="35.85546875" style="1" bestFit="1" customWidth="1"/>
    <col min="7043" max="7043" width="33.85546875" style="1" bestFit="1" customWidth="1"/>
    <col min="7044" max="7044" width="9.5703125" style="1" bestFit="1" customWidth="1"/>
    <col min="7045" max="7045" width="35.85546875" style="1" bestFit="1" customWidth="1"/>
    <col min="7046" max="7046" width="33.85546875" style="1" bestFit="1" customWidth="1"/>
    <col min="7047" max="7047" width="9.5703125" style="1" bestFit="1" customWidth="1"/>
    <col min="7048" max="7048" width="35.85546875" style="1" bestFit="1" customWidth="1"/>
    <col min="7049" max="7049" width="33.85546875" style="1" bestFit="1" customWidth="1"/>
    <col min="7050" max="7050" width="9.5703125" style="1" bestFit="1" customWidth="1"/>
    <col min="7051" max="7051" width="35.85546875" style="1" bestFit="1" customWidth="1"/>
    <col min="7052" max="7052" width="33.85546875" style="1" bestFit="1" customWidth="1"/>
    <col min="7053" max="7053" width="9.5703125" style="1" bestFit="1" customWidth="1"/>
    <col min="7054" max="7054" width="35.85546875" style="1" bestFit="1" customWidth="1"/>
    <col min="7055" max="7055" width="33.85546875" style="1" bestFit="1" customWidth="1"/>
    <col min="7056" max="7056" width="9.5703125" style="1" bestFit="1" customWidth="1"/>
    <col min="7057" max="7057" width="35.85546875" style="1" bestFit="1" customWidth="1"/>
    <col min="7058" max="7058" width="33.85546875" style="1" bestFit="1" customWidth="1"/>
    <col min="7059" max="7059" width="9.5703125" style="1" bestFit="1" customWidth="1"/>
    <col min="7060" max="7060" width="35.85546875" style="1" bestFit="1" customWidth="1"/>
    <col min="7061" max="7061" width="33.85546875" style="1" bestFit="1" customWidth="1"/>
    <col min="7062" max="7062" width="9.5703125" style="1" bestFit="1" customWidth="1"/>
    <col min="7063" max="7063" width="35.85546875" style="1" bestFit="1" customWidth="1"/>
    <col min="7064" max="7064" width="33.85546875" style="1" bestFit="1" customWidth="1"/>
    <col min="7065" max="7065" width="9.5703125" style="1" bestFit="1" customWidth="1"/>
    <col min="7066" max="7066" width="35.85546875" style="1" bestFit="1" customWidth="1"/>
    <col min="7067" max="7067" width="33.85546875" style="1" bestFit="1" customWidth="1"/>
    <col min="7068" max="7068" width="9.5703125" style="1" bestFit="1" customWidth="1"/>
    <col min="7069" max="7069" width="35.85546875" style="1" bestFit="1" customWidth="1"/>
    <col min="7070" max="7070" width="33.85546875" style="1" bestFit="1" customWidth="1"/>
    <col min="7071" max="7071" width="9.5703125" style="1" bestFit="1" customWidth="1"/>
    <col min="7072" max="7072" width="35.85546875" style="1" bestFit="1" customWidth="1"/>
    <col min="7073" max="7073" width="33.85546875" style="1" bestFit="1" customWidth="1"/>
    <col min="7074" max="7074" width="9.5703125" style="1" bestFit="1" customWidth="1"/>
    <col min="7075" max="7075" width="35.85546875" style="1" bestFit="1" customWidth="1"/>
    <col min="7076" max="7076" width="33.85546875" style="1" bestFit="1" customWidth="1"/>
    <col min="7077" max="7077" width="9.5703125" style="1" bestFit="1" customWidth="1"/>
    <col min="7078" max="7078" width="35.85546875" style="1" bestFit="1" customWidth="1"/>
    <col min="7079" max="7079" width="33.85546875" style="1" bestFit="1" customWidth="1"/>
    <col min="7080" max="7080" width="9.5703125" style="1" bestFit="1" customWidth="1"/>
    <col min="7081" max="7081" width="35.85546875" style="1" bestFit="1" customWidth="1"/>
    <col min="7082" max="7082" width="33.85546875" style="1" bestFit="1" customWidth="1"/>
    <col min="7083" max="7083" width="9.5703125" style="1" bestFit="1" customWidth="1"/>
    <col min="7084" max="7084" width="35.85546875" style="1" bestFit="1" customWidth="1"/>
    <col min="7085" max="7085" width="33.85546875" style="1" bestFit="1" customWidth="1"/>
    <col min="7086" max="7086" width="9.5703125" style="1" bestFit="1" customWidth="1"/>
    <col min="7087" max="7087" width="35.85546875" style="1" bestFit="1" customWidth="1"/>
    <col min="7088" max="7088" width="33.85546875" style="1" bestFit="1" customWidth="1"/>
    <col min="7089" max="7089" width="9.5703125" style="1" bestFit="1" customWidth="1"/>
    <col min="7090" max="7090" width="35.85546875" style="1" bestFit="1" customWidth="1"/>
    <col min="7091" max="7091" width="33.85546875" style="1" bestFit="1" customWidth="1"/>
    <col min="7092" max="7092" width="9.5703125" style="1" bestFit="1" customWidth="1"/>
    <col min="7093" max="7093" width="35.85546875" style="1" bestFit="1" customWidth="1"/>
    <col min="7094" max="7094" width="33.85546875" style="1" bestFit="1" customWidth="1"/>
    <col min="7095" max="7095" width="9.5703125" style="1" bestFit="1" customWidth="1"/>
    <col min="7096" max="7096" width="35.85546875" style="1" bestFit="1" customWidth="1"/>
    <col min="7097" max="7097" width="33.85546875" style="1" bestFit="1" customWidth="1"/>
    <col min="7098" max="7098" width="9.5703125" style="1" bestFit="1" customWidth="1"/>
    <col min="7099" max="7099" width="35.85546875" style="1" bestFit="1" customWidth="1"/>
    <col min="7100" max="7100" width="33.85546875" style="1" bestFit="1" customWidth="1"/>
    <col min="7101" max="7101" width="9.5703125" style="1" bestFit="1" customWidth="1"/>
    <col min="7102" max="7102" width="35.85546875" style="1" bestFit="1" customWidth="1"/>
    <col min="7103" max="7103" width="33.85546875" style="1" bestFit="1" customWidth="1"/>
    <col min="7104" max="7104" width="9.5703125" style="1" bestFit="1" customWidth="1"/>
    <col min="7105" max="7105" width="35.85546875" style="1" bestFit="1" customWidth="1"/>
    <col min="7106" max="7106" width="33.85546875" style="1" bestFit="1" customWidth="1"/>
    <col min="7107" max="7107" width="9.5703125" style="1" bestFit="1" customWidth="1"/>
    <col min="7108" max="7108" width="35.85546875" style="1" bestFit="1" customWidth="1"/>
    <col min="7109" max="7109" width="33.85546875" style="1" bestFit="1" customWidth="1"/>
    <col min="7110" max="7110" width="9.5703125" style="1" bestFit="1" customWidth="1"/>
    <col min="7111" max="7111" width="35.85546875" style="1" bestFit="1" customWidth="1"/>
    <col min="7112" max="7112" width="33.85546875" style="1" bestFit="1" customWidth="1"/>
    <col min="7113" max="7113" width="9.5703125" style="1" bestFit="1" customWidth="1"/>
    <col min="7114" max="7114" width="35.85546875" style="1" bestFit="1" customWidth="1"/>
    <col min="7115" max="7115" width="33.85546875" style="1" bestFit="1" customWidth="1"/>
    <col min="7116" max="7116" width="9.5703125" style="1" bestFit="1" customWidth="1"/>
    <col min="7117" max="7117" width="35.85546875" style="1" bestFit="1" customWidth="1"/>
    <col min="7118" max="7118" width="33.85546875" style="1" bestFit="1" customWidth="1"/>
    <col min="7119" max="7119" width="9.5703125" style="1" bestFit="1" customWidth="1"/>
    <col min="7120" max="7120" width="35.85546875" style="1" bestFit="1" customWidth="1"/>
    <col min="7121" max="7121" width="33.85546875" style="1" bestFit="1" customWidth="1"/>
    <col min="7122" max="7122" width="9.5703125" style="1" bestFit="1" customWidth="1"/>
    <col min="7123" max="7123" width="35.85546875" style="1" bestFit="1" customWidth="1"/>
    <col min="7124" max="7124" width="33.85546875" style="1" bestFit="1" customWidth="1"/>
    <col min="7125" max="7125" width="9.5703125" style="1" bestFit="1" customWidth="1"/>
    <col min="7126" max="7126" width="35.85546875" style="1" bestFit="1" customWidth="1"/>
    <col min="7127" max="7127" width="33.85546875" style="1" bestFit="1" customWidth="1"/>
    <col min="7128" max="7128" width="9.5703125" style="1" bestFit="1" customWidth="1"/>
    <col min="7129" max="7129" width="35.85546875" style="1" bestFit="1" customWidth="1"/>
    <col min="7130" max="7130" width="33.85546875" style="1" bestFit="1" customWidth="1"/>
    <col min="7131" max="7131" width="9.5703125" style="1" bestFit="1" customWidth="1"/>
    <col min="7132" max="7132" width="35.85546875" style="1" bestFit="1" customWidth="1"/>
    <col min="7133" max="7133" width="33.85546875" style="1" bestFit="1" customWidth="1"/>
    <col min="7134" max="7134" width="9.5703125" style="1" bestFit="1" customWidth="1"/>
    <col min="7135" max="7135" width="35.85546875" style="1" bestFit="1" customWidth="1"/>
    <col min="7136" max="7136" width="33.85546875" style="1" bestFit="1" customWidth="1"/>
    <col min="7137" max="7137" width="9.5703125" style="1" bestFit="1" customWidth="1"/>
    <col min="7138" max="7138" width="35.85546875" style="1" bestFit="1" customWidth="1"/>
    <col min="7139" max="7139" width="33.85546875" style="1" bestFit="1" customWidth="1"/>
    <col min="7140" max="7140" width="9.5703125" style="1" bestFit="1" customWidth="1"/>
    <col min="7141" max="7141" width="35.85546875" style="1" bestFit="1" customWidth="1"/>
    <col min="7142" max="7142" width="33.85546875" style="1" bestFit="1" customWidth="1"/>
    <col min="7143" max="7143" width="9.5703125" style="1" bestFit="1" customWidth="1"/>
    <col min="7144" max="7144" width="35.85546875" style="1" bestFit="1" customWidth="1"/>
    <col min="7145" max="7145" width="33.85546875" style="1" bestFit="1" customWidth="1"/>
    <col min="7146" max="7146" width="9.5703125" style="1" bestFit="1" customWidth="1"/>
    <col min="7147" max="7147" width="35.85546875" style="1" bestFit="1" customWidth="1"/>
    <col min="7148" max="7148" width="33.85546875" style="1" bestFit="1" customWidth="1"/>
    <col min="7149" max="7149" width="9.5703125" style="1" bestFit="1" customWidth="1"/>
    <col min="7150" max="7150" width="35.85546875" style="1" bestFit="1" customWidth="1"/>
    <col min="7151" max="7151" width="33.85546875" style="1" bestFit="1" customWidth="1"/>
    <col min="7152" max="7152" width="9.5703125" style="1" bestFit="1" customWidth="1"/>
    <col min="7153" max="7153" width="35.85546875" style="1" bestFit="1" customWidth="1"/>
    <col min="7154" max="7154" width="33.85546875" style="1" bestFit="1" customWidth="1"/>
    <col min="7155" max="7155" width="9.5703125" style="1" bestFit="1" customWidth="1"/>
    <col min="7156" max="7156" width="35.85546875" style="1" bestFit="1" customWidth="1"/>
    <col min="7157" max="7157" width="33.85546875" style="1" bestFit="1" customWidth="1"/>
    <col min="7158" max="7158" width="9.5703125" style="1" bestFit="1" customWidth="1"/>
    <col min="7159" max="7159" width="35.85546875" style="1" bestFit="1" customWidth="1"/>
    <col min="7160" max="7160" width="33.85546875" style="1" bestFit="1" customWidth="1"/>
    <col min="7161" max="7161" width="9.5703125" style="1" bestFit="1" customWidth="1"/>
    <col min="7162" max="7162" width="35.85546875" style="1" bestFit="1" customWidth="1"/>
    <col min="7163" max="7163" width="33.85546875" style="1" bestFit="1" customWidth="1"/>
    <col min="7164" max="7164" width="9.5703125" style="1" bestFit="1" customWidth="1"/>
    <col min="7165" max="7165" width="35.85546875" style="1" bestFit="1" customWidth="1"/>
    <col min="7166" max="7166" width="33.85546875" style="1" bestFit="1" customWidth="1"/>
    <col min="7167" max="7167" width="9.5703125" style="1" bestFit="1" customWidth="1"/>
    <col min="7168" max="7168" width="35.85546875" style="1" bestFit="1" customWidth="1"/>
    <col min="7169" max="7169" width="33.85546875" style="1" bestFit="1" customWidth="1"/>
    <col min="7170" max="7170" width="9.5703125" style="1" bestFit="1" customWidth="1"/>
    <col min="7171" max="7171" width="35.85546875" style="1" bestFit="1" customWidth="1"/>
    <col min="7172" max="7172" width="33.85546875" style="1" bestFit="1" customWidth="1"/>
    <col min="7173" max="7173" width="9.5703125" style="1" bestFit="1" customWidth="1"/>
    <col min="7174" max="7174" width="35.85546875" style="1" bestFit="1" customWidth="1"/>
    <col min="7175" max="7175" width="33.85546875" style="1" bestFit="1" customWidth="1"/>
    <col min="7176" max="7176" width="9.5703125" style="1" bestFit="1" customWidth="1"/>
    <col min="7177" max="7177" width="35.85546875" style="1" bestFit="1" customWidth="1"/>
    <col min="7178" max="7178" width="33.85546875" style="1" bestFit="1" customWidth="1"/>
    <col min="7179" max="7179" width="9.5703125" style="1" bestFit="1" customWidth="1"/>
    <col min="7180" max="7180" width="35.85546875" style="1" bestFit="1" customWidth="1"/>
    <col min="7181" max="7181" width="33.85546875" style="1" bestFit="1" customWidth="1"/>
    <col min="7182" max="7182" width="9.5703125" style="1" bestFit="1" customWidth="1"/>
    <col min="7183" max="7183" width="35.85546875" style="1" bestFit="1" customWidth="1"/>
    <col min="7184" max="7184" width="33.85546875" style="1" bestFit="1" customWidth="1"/>
    <col min="7185" max="7185" width="9.5703125" style="1" bestFit="1" customWidth="1"/>
    <col min="7186" max="7186" width="35.85546875" style="1" bestFit="1" customWidth="1"/>
    <col min="7187" max="7187" width="33.85546875" style="1" bestFit="1" customWidth="1"/>
    <col min="7188" max="7188" width="9.5703125" style="1" bestFit="1" customWidth="1"/>
    <col min="7189" max="7189" width="35.85546875" style="1" bestFit="1" customWidth="1"/>
    <col min="7190" max="7190" width="33.85546875" style="1" bestFit="1" customWidth="1"/>
    <col min="7191" max="7191" width="9.5703125" style="1" bestFit="1" customWidth="1"/>
    <col min="7192" max="7254" width="22.140625" style="1"/>
    <col min="7255" max="7255" width="40.42578125" style="1" customWidth="1"/>
    <col min="7256" max="7256" width="25.42578125" style="1" bestFit="1" customWidth="1"/>
    <col min="7257" max="7257" width="23.85546875" style="1" bestFit="1" customWidth="1"/>
    <col min="7258" max="7258" width="41.85546875" style="1" customWidth="1"/>
    <col min="7259" max="7259" width="26.42578125" style="1" bestFit="1" customWidth="1"/>
    <col min="7260" max="7261" width="16.42578125" style="1" customWidth="1"/>
    <col min="7262" max="7262" width="19.42578125" style="1" customWidth="1"/>
    <col min="7263" max="7263" width="16" style="1" customWidth="1"/>
    <col min="7264" max="7264" width="16.5703125" style="1" customWidth="1"/>
    <col min="7265" max="7265" width="7.5703125" style="1" bestFit="1" customWidth="1"/>
    <col min="7266" max="7266" width="16.5703125" style="1" customWidth="1"/>
    <col min="7267" max="7267" width="17.140625" style="1" customWidth="1"/>
    <col min="7268" max="7291" width="0" style="1" hidden="1" customWidth="1"/>
    <col min="7292" max="7292" width="35.85546875" style="1" bestFit="1" customWidth="1"/>
    <col min="7293" max="7293" width="33.85546875" style="1" bestFit="1" customWidth="1"/>
    <col min="7294" max="7294" width="9.5703125" style="1" bestFit="1" customWidth="1"/>
    <col min="7295" max="7295" width="35.85546875" style="1" bestFit="1" customWidth="1"/>
    <col min="7296" max="7296" width="33.85546875" style="1" bestFit="1" customWidth="1"/>
    <col min="7297" max="7297" width="9.5703125" style="1" bestFit="1" customWidth="1"/>
    <col min="7298" max="7298" width="35.85546875" style="1" bestFit="1" customWidth="1"/>
    <col min="7299" max="7299" width="33.85546875" style="1" bestFit="1" customWidth="1"/>
    <col min="7300" max="7300" width="9.5703125" style="1" bestFit="1" customWidth="1"/>
    <col min="7301" max="7301" width="35.85546875" style="1" bestFit="1" customWidth="1"/>
    <col min="7302" max="7302" width="33.85546875" style="1" bestFit="1" customWidth="1"/>
    <col min="7303" max="7303" width="9.5703125" style="1" bestFit="1" customWidth="1"/>
    <col min="7304" max="7304" width="35.85546875" style="1" bestFit="1" customWidth="1"/>
    <col min="7305" max="7305" width="33.85546875" style="1" bestFit="1" customWidth="1"/>
    <col min="7306" max="7306" width="9.5703125" style="1" bestFit="1" customWidth="1"/>
    <col min="7307" max="7307" width="35.85546875" style="1" bestFit="1" customWidth="1"/>
    <col min="7308" max="7308" width="33.85546875" style="1" bestFit="1" customWidth="1"/>
    <col min="7309" max="7309" width="9.5703125" style="1" bestFit="1" customWidth="1"/>
    <col min="7310" max="7310" width="35.85546875" style="1" bestFit="1" customWidth="1"/>
    <col min="7311" max="7311" width="33.85546875" style="1" bestFit="1" customWidth="1"/>
    <col min="7312" max="7312" width="9.5703125" style="1" bestFit="1" customWidth="1"/>
    <col min="7313" max="7313" width="35.85546875" style="1" bestFit="1" customWidth="1"/>
    <col min="7314" max="7314" width="33.85546875" style="1" bestFit="1" customWidth="1"/>
    <col min="7315" max="7315" width="9.5703125" style="1" bestFit="1" customWidth="1"/>
    <col min="7316" max="7316" width="35.85546875" style="1" bestFit="1" customWidth="1"/>
    <col min="7317" max="7317" width="33.85546875" style="1" bestFit="1" customWidth="1"/>
    <col min="7318" max="7318" width="9.5703125" style="1" bestFit="1" customWidth="1"/>
    <col min="7319" max="7319" width="35.85546875" style="1" bestFit="1" customWidth="1"/>
    <col min="7320" max="7320" width="33.85546875" style="1" bestFit="1" customWidth="1"/>
    <col min="7321" max="7321" width="9.5703125" style="1" bestFit="1" customWidth="1"/>
    <col min="7322" max="7322" width="35.85546875" style="1" bestFit="1" customWidth="1"/>
    <col min="7323" max="7323" width="33.85546875" style="1" bestFit="1" customWidth="1"/>
    <col min="7324" max="7324" width="9.5703125" style="1" bestFit="1" customWidth="1"/>
    <col min="7325" max="7325" width="35.85546875" style="1" bestFit="1" customWidth="1"/>
    <col min="7326" max="7326" width="33.85546875" style="1" bestFit="1" customWidth="1"/>
    <col min="7327" max="7327" width="9.5703125" style="1" bestFit="1" customWidth="1"/>
    <col min="7328" max="7328" width="35.85546875" style="1" bestFit="1" customWidth="1"/>
    <col min="7329" max="7329" width="33.85546875" style="1" bestFit="1" customWidth="1"/>
    <col min="7330" max="7330" width="9.5703125" style="1" bestFit="1" customWidth="1"/>
    <col min="7331" max="7331" width="35.85546875" style="1" bestFit="1" customWidth="1"/>
    <col min="7332" max="7332" width="33.85546875" style="1" bestFit="1" customWidth="1"/>
    <col min="7333" max="7333" width="9.5703125" style="1" bestFit="1" customWidth="1"/>
    <col min="7334" max="7334" width="35.85546875" style="1" bestFit="1" customWidth="1"/>
    <col min="7335" max="7335" width="33.85546875" style="1" bestFit="1" customWidth="1"/>
    <col min="7336" max="7336" width="9.5703125" style="1" bestFit="1" customWidth="1"/>
    <col min="7337" max="7337" width="35.85546875" style="1" bestFit="1" customWidth="1"/>
    <col min="7338" max="7338" width="33.85546875" style="1" bestFit="1" customWidth="1"/>
    <col min="7339" max="7339" width="9.5703125" style="1" bestFit="1" customWidth="1"/>
    <col min="7340" max="7340" width="35.85546875" style="1" bestFit="1" customWidth="1"/>
    <col min="7341" max="7341" width="33.85546875" style="1" bestFit="1" customWidth="1"/>
    <col min="7342" max="7342" width="9.5703125" style="1" bestFit="1" customWidth="1"/>
    <col min="7343" max="7343" width="35.85546875" style="1" bestFit="1" customWidth="1"/>
    <col min="7344" max="7344" width="33.85546875" style="1" bestFit="1" customWidth="1"/>
    <col min="7345" max="7345" width="9.5703125" style="1" bestFit="1" customWidth="1"/>
    <col min="7346" max="7346" width="35.85546875" style="1" bestFit="1" customWidth="1"/>
    <col min="7347" max="7347" width="33.85546875" style="1" bestFit="1" customWidth="1"/>
    <col min="7348" max="7348" width="9.5703125" style="1" bestFit="1" customWidth="1"/>
    <col min="7349" max="7349" width="35.85546875" style="1" bestFit="1" customWidth="1"/>
    <col min="7350" max="7350" width="33.85546875" style="1" bestFit="1" customWidth="1"/>
    <col min="7351" max="7351" width="9.5703125" style="1" bestFit="1" customWidth="1"/>
    <col min="7352" max="7352" width="35.85546875" style="1" bestFit="1" customWidth="1"/>
    <col min="7353" max="7353" width="33.85546875" style="1" bestFit="1" customWidth="1"/>
    <col min="7354" max="7354" width="9.5703125" style="1" bestFit="1" customWidth="1"/>
    <col min="7355" max="7355" width="35.85546875" style="1" bestFit="1" customWidth="1"/>
    <col min="7356" max="7356" width="33.85546875" style="1" bestFit="1" customWidth="1"/>
    <col min="7357" max="7357" width="9.5703125" style="1" bestFit="1" customWidth="1"/>
    <col min="7358" max="7358" width="35.85546875" style="1" bestFit="1" customWidth="1"/>
    <col min="7359" max="7359" width="33.85546875" style="1" bestFit="1" customWidth="1"/>
    <col min="7360" max="7360" width="9.5703125" style="1" bestFit="1" customWidth="1"/>
    <col min="7361" max="7361" width="35.85546875" style="1" bestFit="1" customWidth="1"/>
    <col min="7362" max="7362" width="33.85546875" style="1" bestFit="1" customWidth="1"/>
    <col min="7363" max="7363" width="9.5703125" style="1" bestFit="1" customWidth="1"/>
    <col min="7364" max="7364" width="35.85546875" style="1" bestFit="1" customWidth="1"/>
    <col min="7365" max="7365" width="33.85546875" style="1" bestFit="1" customWidth="1"/>
    <col min="7366" max="7366" width="9.5703125" style="1" bestFit="1" customWidth="1"/>
    <col min="7367" max="7367" width="35.85546875" style="1" bestFit="1" customWidth="1"/>
    <col min="7368" max="7368" width="33.85546875" style="1" bestFit="1" customWidth="1"/>
    <col min="7369" max="7369" width="9.5703125" style="1" bestFit="1" customWidth="1"/>
    <col min="7370" max="7370" width="35.85546875" style="1" bestFit="1" customWidth="1"/>
    <col min="7371" max="7371" width="33.85546875" style="1" bestFit="1" customWidth="1"/>
    <col min="7372" max="7372" width="9.5703125" style="1" bestFit="1" customWidth="1"/>
    <col min="7373" max="7373" width="35.85546875" style="1" bestFit="1" customWidth="1"/>
    <col min="7374" max="7374" width="33.85546875" style="1" bestFit="1" customWidth="1"/>
    <col min="7375" max="7375" width="9.5703125" style="1" bestFit="1" customWidth="1"/>
    <col min="7376" max="7376" width="35.85546875" style="1" bestFit="1" customWidth="1"/>
    <col min="7377" max="7377" width="33.85546875" style="1" bestFit="1" customWidth="1"/>
    <col min="7378" max="7378" width="9.5703125" style="1" bestFit="1" customWidth="1"/>
    <col min="7379" max="7379" width="35.85546875" style="1" bestFit="1" customWidth="1"/>
    <col min="7380" max="7380" width="33.85546875" style="1" bestFit="1" customWidth="1"/>
    <col min="7381" max="7381" width="9.5703125" style="1" bestFit="1" customWidth="1"/>
    <col min="7382" max="7382" width="35.85546875" style="1" bestFit="1" customWidth="1"/>
    <col min="7383" max="7383" width="33.85546875" style="1" bestFit="1" customWidth="1"/>
    <col min="7384" max="7384" width="9.5703125" style="1" bestFit="1" customWidth="1"/>
    <col min="7385" max="7385" width="35.85546875" style="1" bestFit="1" customWidth="1"/>
    <col min="7386" max="7386" width="33.85546875" style="1" bestFit="1" customWidth="1"/>
    <col min="7387" max="7387" width="9.5703125" style="1" bestFit="1" customWidth="1"/>
    <col min="7388" max="7388" width="35.85546875" style="1" bestFit="1" customWidth="1"/>
    <col min="7389" max="7389" width="33.85546875" style="1" bestFit="1" customWidth="1"/>
    <col min="7390" max="7390" width="9.5703125" style="1" bestFit="1" customWidth="1"/>
    <col min="7391" max="7391" width="35.85546875" style="1" bestFit="1" customWidth="1"/>
    <col min="7392" max="7392" width="33.85546875" style="1" bestFit="1" customWidth="1"/>
    <col min="7393" max="7393" width="9.5703125" style="1" bestFit="1" customWidth="1"/>
    <col min="7394" max="7394" width="35.85546875" style="1" bestFit="1" customWidth="1"/>
    <col min="7395" max="7395" width="33.85546875" style="1" bestFit="1" customWidth="1"/>
    <col min="7396" max="7396" width="9.5703125" style="1" bestFit="1" customWidth="1"/>
    <col min="7397" max="7397" width="35.85546875" style="1" bestFit="1" customWidth="1"/>
    <col min="7398" max="7398" width="33.85546875" style="1" bestFit="1" customWidth="1"/>
    <col min="7399" max="7399" width="9.5703125" style="1" bestFit="1" customWidth="1"/>
    <col min="7400" max="7400" width="35.85546875" style="1" bestFit="1" customWidth="1"/>
    <col min="7401" max="7401" width="33.85546875" style="1" bestFit="1" customWidth="1"/>
    <col min="7402" max="7402" width="9.5703125" style="1" bestFit="1" customWidth="1"/>
    <col min="7403" max="7403" width="35.85546875" style="1" bestFit="1" customWidth="1"/>
    <col min="7404" max="7404" width="33.85546875" style="1" bestFit="1" customWidth="1"/>
    <col min="7405" max="7405" width="9.5703125" style="1" bestFit="1" customWidth="1"/>
    <col min="7406" max="7406" width="35.85546875" style="1" bestFit="1" customWidth="1"/>
    <col min="7407" max="7407" width="33.85546875" style="1" bestFit="1" customWidth="1"/>
    <col min="7408" max="7408" width="9.5703125" style="1" bestFit="1" customWidth="1"/>
    <col min="7409" max="7409" width="35.85546875" style="1" bestFit="1" customWidth="1"/>
    <col min="7410" max="7410" width="33.85546875" style="1" bestFit="1" customWidth="1"/>
    <col min="7411" max="7411" width="9.5703125" style="1" bestFit="1" customWidth="1"/>
    <col min="7412" max="7412" width="35.85546875" style="1" bestFit="1" customWidth="1"/>
    <col min="7413" max="7413" width="33.85546875" style="1" bestFit="1" customWidth="1"/>
    <col min="7414" max="7414" width="9.5703125" style="1" bestFit="1" customWidth="1"/>
    <col min="7415" max="7415" width="35.85546875" style="1" bestFit="1" customWidth="1"/>
    <col min="7416" max="7416" width="33.85546875" style="1" bestFit="1" customWidth="1"/>
    <col min="7417" max="7417" width="9.5703125" style="1" bestFit="1" customWidth="1"/>
    <col min="7418" max="7418" width="35.85546875" style="1" bestFit="1" customWidth="1"/>
    <col min="7419" max="7419" width="33.85546875" style="1" bestFit="1" customWidth="1"/>
    <col min="7420" max="7420" width="9.5703125" style="1" bestFit="1" customWidth="1"/>
    <col min="7421" max="7421" width="35.85546875" style="1" bestFit="1" customWidth="1"/>
    <col min="7422" max="7422" width="33.85546875" style="1" bestFit="1" customWidth="1"/>
    <col min="7423" max="7423" width="9.5703125" style="1" bestFit="1" customWidth="1"/>
    <col min="7424" max="7424" width="35.85546875" style="1" bestFit="1" customWidth="1"/>
    <col min="7425" max="7425" width="33.85546875" style="1" bestFit="1" customWidth="1"/>
    <col min="7426" max="7426" width="9.5703125" style="1" bestFit="1" customWidth="1"/>
    <col min="7427" max="7427" width="35.85546875" style="1" bestFit="1" customWidth="1"/>
    <col min="7428" max="7428" width="33.85546875" style="1" bestFit="1" customWidth="1"/>
    <col min="7429" max="7429" width="9.5703125" style="1" bestFit="1" customWidth="1"/>
    <col min="7430" max="7430" width="35.85546875" style="1" bestFit="1" customWidth="1"/>
    <col min="7431" max="7431" width="33.85546875" style="1" bestFit="1" customWidth="1"/>
    <col min="7432" max="7432" width="9.5703125" style="1" bestFit="1" customWidth="1"/>
    <col min="7433" max="7433" width="35.85546875" style="1" bestFit="1" customWidth="1"/>
    <col min="7434" max="7434" width="33.85546875" style="1" bestFit="1" customWidth="1"/>
    <col min="7435" max="7435" width="9.5703125" style="1" bestFit="1" customWidth="1"/>
    <col min="7436" max="7436" width="35.85546875" style="1" bestFit="1" customWidth="1"/>
    <col min="7437" max="7437" width="33.85546875" style="1" bestFit="1" customWidth="1"/>
    <col min="7438" max="7438" width="9.5703125" style="1" bestFit="1" customWidth="1"/>
    <col min="7439" max="7439" width="35.85546875" style="1" bestFit="1" customWidth="1"/>
    <col min="7440" max="7440" width="33.85546875" style="1" bestFit="1" customWidth="1"/>
    <col min="7441" max="7441" width="9.5703125" style="1" bestFit="1" customWidth="1"/>
    <col min="7442" max="7442" width="35.85546875" style="1" bestFit="1" customWidth="1"/>
    <col min="7443" max="7443" width="33.85546875" style="1" bestFit="1" customWidth="1"/>
    <col min="7444" max="7444" width="9.5703125" style="1" bestFit="1" customWidth="1"/>
    <col min="7445" max="7445" width="35.85546875" style="1" bestFit="1" customWidth="1"/>
    <col min="7446" max="7446" width="33.85546875" style="1" bestFit="1" customWidth="1"/>
    <col min="7447" max="7447" width="9.5703125" style="1" bestFit="1" customWidth="1"/>
    <col min="7448" max="7510" width="22.140625" style="1"/>
    <col min="7511" max="7511" width="40.42578125" style="1" customWidth="1"/>
    <col min="7512" max="7512" width="25.42578125" style="1" bestFit="1" customWidth="1"/>
    <col min="7513" max="7513" width="23.85546875" style="1" bestFit="1" customWidth="1"/>
    <col min="7514" max="7514" width="41.85546875" style="1" customWidth="1"/>
    <col min="7515" max="7515" width="26.42578125" style="1" bestFit="1" customWidth="1"/>
    <col min="7516" max="7517" width="16.42578125" style="1" customWidth="1"/>
    <col min="7518" max="7518" width="19.42578125" style="1" customWidth="1"/>
    <col min="7519" max="7519" width="16" style="1" customWidth="1"/>
    <col min="7520" max="7520" width="16.5703125" style="1" customWidth="1"/>
    <col min="7521" max="7521" width="7.5703125" style="1" bestFit="1" customWidth="1"/>
    <col min="7522" max="7522" width="16.5703125" style="1" customWidth="1"/>
    <col min="7523" max="7523" width="17.140625" style="1" customWidth="1"/>
    <col min="7524" max="7547" width="0" style="1" hidden="1" customWidth="1"/>
    <col min="7548" max="7548" width="35.85546875" style="1" bestFit="1" customWidth="1"/>
    <col min="7549" max="7549" width="33.85546875" style="1" bestFit="1" customWidth="1"/>
    <col min="7550" max="7550" width="9.5703125" style="1" bestFit="1" customWidth="1"/>
    <col min="7551" max="7551" width="35.85546875" style="1" bestFit="1" customWidth="1"/>
    <col min="7552" max="7552" width="33.85546875" style="1" bestFit="1" customWidth="1"/>
    <col min="7553" max="7553" width="9.5703125" style="1" bestFit="1" customWidth="1"/>
    <col min="7554" max="7554" width="35.85546875" style="1" bestFit="1" customWidth="1"/>
    <col min="7555" max="7555" width="33.85546875" style="1" bestFit="1" customWidth="1"/>
    <col min="7556" max="7556" width="9.5703125" style="1" bestFit="1" customWidth="1"/>
    <col min="7557" max="7557" width="35.85546875" style="1" bestFit="1" customWidth="1"/>
    <col min="7558" max="7558" width="33.85546875" style="1" bestFit="1" customWidth="1"/>
    <col min="7559" max="7559" width="9.5703125" style="1" bestFit="1" customWidth="1"/>
    <col min="7560" max="7560" width="35.85546875" style="1" bestFit="1" customWidth="1"/>
    <col min="7561" max="7561" width="33.85546875" style="1" bestFit="1" customWidth="1"/>
    <col min="7562" max="7562" width="9.5703125" style="1" bestFit="1" customWidth="1"/>
    <col min="7563" max="7563" width="35.85546875" style="1" bestFit="1" customWidth="1"/>
    <col min="7564" max="7564" width="33.85546875" style="1" bestFit="1" customWidth="1"/>
    <col min="7565" max="7565" width="9.5703125" style="1" bestFit="1" customWidth="1"/>
    <col min="7566" max="7566" width="35.85546875" style="1" bestFit="1" customWidth="1"/>
    <col min="7567" max="7567" width="33.85546875" style="1" bestFit="1" customWidth="1"/>
    <col min="7568" max="7568" width="9.5703125" style="1" bestFit="1" customWidth="1"/>
    <col min="7569" max="7569" width="35.85546875" style="1" bestFit="1" customWidth="1"/>
    <col min="7570" max="7570" width="33.85546875" style="1" bestFit="1" customWidth="1"/>
    <col min="7571" max="7571" width="9.5703125" style="1" bestFit="1" customWidth="1"/>
    <col min="7572" max="7572" width="35.85546875" style="1" bestFit="1" customWidth="1"/>
    <col min="7573" max="7573" width="33.85546875" style="1" bestFit="1" customWidth="1"/>
    <col min="7574" max="7574" width="9.5703125" style="1" bestFit="1" customWidth="1"/>
    <col min="7575" max="7575" width="35.85546875" style="1" bestFit="1" customWidth="1"/>
    <col min="7576" max="7576" width="33.85546875" style="1" bestFit="1" customWidth="1"/>
    <col min="7577" max="7577" width="9.5703125" style="1" bestFit="1" customWidth="1"/>
    <col min="7578" max="7578" width="35.85546875" style="1" bestFit="1" customWidth="1"/>
    <col min="7579" max="7579" width="33.85546875" style="1" bestFit="1" customWidth="1"/>
    <col min="7580" max="7580" width="9.5703125" style="1" bestFit="1" customWidth="1"/>
    <col min="7581" max="7581" width="35.85546875" style="1" bestFit="1" customWidth="1"/>
    <col min="7582" max="7582" width="33.85546875" style="1" bestFit="1" customWidth="1"/>
    <col min="7583" max="7583" width="9.5703125" style="1" bestFit="1" customWidth="1"/>
    <col min="7584" max="7584" width="35.85546875" style="1" bestFit="1" customWidth="1"/>
    <col min="7585" max="7585" width="33.85546875" style="1" bestFit="1" customWidth="1"/>
    <col min="7586" max="7586" width="9.5703125" style="1" bestFit="1" customWidth="1"/>
    <col min="7587" max="7587" width="35.85546875" style="1" bestFit="1" customWidth="1"/>
    <col min="7588" max="7588" width="33.85546875" style="1" bestFit="1" customWidth="1"/>
    <col min="7589" max="7589" width="9.5703125" style="1" bestFit="1" customWidth="1"/>
    <col min="7590" max="7590" width="35.85546875" style="1" bestFit="1" customWidth="1"/>
    <col min="7591" max="7591" width="33.85546875" style="1" bestFit="1" customWidth="1"/>
    <col min="7592" max="7592" width="9.5703125" style="1" bestFit="1" customWidth="1"/>
    <col min="7593" max="7593" width="35.85546875" style="1" bestFit="1" customWidth="1"/>
    <col min="7594" max="7594" width="33.85546875" style="1" bestFit="1" customWidth="1"/>
    <col min="7595" max="7595" width="9.5703125" style="1" bestFit="1" customWidth="1"/>
    <col min="7596" max="7596" width="35.85546875" style="1" bestFit="1" customWidth="1"/>
    <col min="7597" max="7597" width="33.85546875" style="1" bestFit="1" customWidth="1"/>
    <col min="7598" max="7598" width="9.5703125" style="1" bestFit="1" customWidth="1"/>
    <col min="7599" max="7599" width="35.85546875" style="1" bestFit="1" customWidth="1"/>
    <col min="7600" max="7600" width="33.85546875" style="1" bestFit="1" customWidth="1"/>
    <col min="7601" max="7601" width="9.5703125" style="1" bestFit="1" customWidth="1"/>
    <col min="7602" max="7602" width="35.85546875" style="1" bestFit="1" customWidth="1"/>
    <col min="7603" max="7603" width="33.85546875" style="1" bestFit="1" customWidth="1"/>
    <col min="7604" max="7604" width="9.5703125" style="1" bestFit="1" customWidth="1"/>
    <col min="7605" max="7605" width="35.85546875" style="1" bestFit="1" customWidth="1"/>
    <col min="7606" max="7606" width="33.85546875" style="1" bestFit="1" customWidth="1"/>
    <col min="7607" max="7607" width="9.5703125" style="1" bestFit="1" customWidth="1"/>
    <col min="7608" max="7608" width="35.85546875" style="1" bestFit="1" customWidth="1"/>
    <col min="7609" max="7609" width="33.85546875" style="1" bestFit="1" customWidth="1"/>
    <col min="7610" max="7610" width="9.5703125" style="1" bestFit="1" customWidth="1"/>
    <col min="7611" max="7611" width="35.85546875" style="1" bestFit="1" customWidth="1"/>
    <col min="7612" max="7612" width="33.85546875" style="1" bestFit="1" customWidth="1"/>
    <col min="7613" max="7613" width="9.5703125" style="1" bestFit="1" customWidth="1"/>
    <col min="7614" max="7614" width="35.85546875" style="1" bestFit="1" customWidth="1"/>
    <col min="7615" max="7615" width="33.85546875" style="1" bestFit="1" customWidth="1"/>
    <col min="7616" max="7616" width="9.5703125" style="1" bestFit="1" customWidth="1"/>
    <col min="7617" max="7617" width="35.85546875" style="1" bestFit="1" customWidth="1"/>
    <col min="7618" max="7618" width="33.85546875" style="1" bestFit="1" customWidth="1"/>
    <col min="7619" max="7619" width="9.5703125" style="1" bestFit="1" customWidth="1"/>
    <col min="7620" max="7620" width="35.85546875" style="1" bestFit="1" customWidth="1"/>
    <col min="7621" max="7621" width="33.85546875" style="1" bestFit="1" customWidth="1"/>
    <col min="7622" max="7622" width="9.5703125" style="1" bestFit="1" customWidth="1"/>
    <col min="7623" max="7623" width="35.85546875" style="1" bestFit="1" customWidth="1"/>
    <col min="7624" max="7624" width="33.85546875" style="1" bestFit="1" customWidth="1"/>
    <col min="7625" max="7625" width="9.5703125" style="1" bestFit="1" customWidth="1"/>
    <col min="7626" max="7626" width="35.85546875" style="1" bestFit="1" customWidth="1"/>
    <col min="7627" max="7627" width="33.85546875" style="1" bestFit="1" customWidth="1"/>
    <col min="7628" max="7628" width="9.5703125" style="1" bestFit="1" customWidth="1"/>
    <col min="7629" max="7629" width="35.85546875" style="1" bestFit="1" customWidth="1"/>
    <col min="7630" max="7630" width="33.85546875" style="1" bestFit="1" customWidth="1"/>
    <col min="7631" max="7631" width="9.5703125" style="1" bestFit="1" customWidth="1"/>
    <col min="7632" max="7632" width="35.85546875" style="1" bestFit="1" customWidth="1"/>
    <col min="7633" max="7633" width="33.85546875" style="1" bestFit="1" customWidth="1"/>
    <col min="7634" max="7634" width="9.5703125" style="1" bestFit="1" customWidth="1"/>
    <col min="7635" max="7635" width="35.85546875" style="1" bestFit="1" customWidth="1"/>
    <col min="7636" max="7636" width="33.85546875" style="1" bestFit="1" customWidth="1"/>
    <col min="7637" max="7637" width="9.5703125" style="1" bestFit="1" customWidth="1"/>
    <col min="7638" max="7638" width="35.85546875" style="1" bestFit="1" customWidth="1"/>
    <col min="7639" max="7639" width="33.85546875" style="1" bestFit="1" customWidth="1"/>
    <col min="7640" max="7640" width="9.5703125" style="1" bestFit="1" customWidth="1"/>
    <col min="7641" max="7641" width="35.85546875" style="1" bestFit="1" customWidth="1"/>
    <col min="7642" max="7642" width="33.85546875" style="1" bestFit="1" customWidth="1"/>
    <col min="7643" max="7643" width="9.5703125" style="1" bestFit="1" customWidth="1"/>
    <col min="7644" max="7644" width="35.85546875" style="1" bestFit="1" customWidth="1"/>
    <col min="7645" max="7645" width="33.85546875" style="1" bestFit="1" customWidth="1"/>
    <col min="7646" max="7646" width="9.5703125" style="1" bestFit="1" customWidth="1"/>
    <col min="7647" max="7647" width="35.85546875" style="1" bestFit="1" customWidth="1"/>
    <col min="7648" max="7648" width="33.85546875" style="1" bestFit="1" customWidth="1"/>
    <col min="7649" max="7649" width="9.5703125" style="1" bestFit="1" customWidth="1"/>
    <col min="7650" max="7650" width="35.85546875" style="1" bestFit="1" customWidth="1"/>
    <col min="7651" max="7651" width="33.85546875" style="1" bestFit="1" customWidth="1"/>
    <col min="7652" max="7652" width="9.5703125" style="1" bestFit="1" customWidth="1"/>
    <col min="7653" max="7653" width="35.85546875" style="1" bestFit="1" customWidth="1"/>
    <col min="7654" max="7654" width="33.85546875" style="1" bestFit="1" customWidth="1"/>
    <col min="7655" max="7655" width="9.5703125" style="1" bestFit="1" customWidth="1"/>
    <col min="7656" max="7656" width="35.85546875" style="1" bestFit="1" customWidth="1"/>
    <col min="7657" max="7657" width="33.85546875" style="1" bestFit="1" customWidth="1"/>
    <col min="7658" max="7658" width="9.5703125" style="1" bestFit="1" customWidth="1"/>
    <col min="7659" max="7659" width="35.85546875" style="1" bestFit="1" customWidth="1"/>
    <col min="7660" max="7660" width="33.85546875" style="1" bestFit="1" customWidth="1"/>
    <col min="7661" max="7661" width="9.5703125" style="1" bestFit="1" customWidth="1"/>
    <col min="7662" max="7662" width="35.85546875" style="1" bestFit="1" customWidth="1"/>
    <col min="7663" max="7663" width="33.85546875" style="1" bestFit="1" customWidth="1"/>
    <col min="7664" max="7664" width="9.5703125" style="1" bestFit="1" customWidth="1"/>
    <col min="7665" max="7665" width="35.85546875" style="1" bestFit="1" customWidth="1"/>
    <col min="7666" max="7666" width="33.85546875" style="1" bestFit="1" customWidth="1"/>
    <col min="7667" max="7667" width="9.5703125" style="1" bestFit="1" customWidth="1"/>
    <col min="7668" max="7668" width="35.85546875" style="1" bestFit="1" customWidth="1"/>
    <col min="7669" max="7669" width="33.85546875" style="1" bestFit="1" customWidth="1"/>
    <col min="7670" max="7670" width="9.5703125" style="1" bestFit="1" customWidth="1"/>
    <col min="7671" max="7671" width="35.85546875" style="1" bestFit="1" customWidth="1"/>
    <col min="7672" max="7672" width="33.85546875" style="1" bestFit="1" customWidth="1"/>
    <col min="7673" max="7673" width="9.5703125" style="1" bestFit="1" customWidth="1"/>
    <col min="7674" max="7674" width="35.85546875" style="1" bestFit="1" customWidth="1"/>
    <col min="7675" max="7675" width="33.85546875" style="1" bestFit="1" customWidth="1"/>
    <col min="7676" max="7676" width="9.5703125" style="1" bestFit="1" customWidth="1"/>
    <col min="7677" max="7677" width="35.85546875" style="1" bestFit="1" customWidth="1"/>
    <col min="7678" max="7678" width="33.85546875" style="1" bestFit="1" customWidth="1"/>
    <col min="7679" max="7679" width="9.5703125" style="1" bestFit="1" customWidth="1"/>
    <col min="7680" max="7680" width="35.85546875" style="1" bestFit="1" customWidth="1"/>
    <col min="7681" max="7681" width="33.85546875" style="1" bestFit="1" customWidth="1"/>
    <col min="7682" max="7682" width="9.5703125" style="1" bestFit="1" customWidth="1"/>
    <col min="7683" max="7683" width="35.85546875" style="1" bestFit="1" customWidth="1"/>
    <col min="7684" max="7684" width="33.85546875" style="1" bestFit="1" customWidth="1"/>
    <col min="7685" max="7685" width="9.5703125" style="1" bestFit="1" customWidth="1"/>
    <col min="7686" max="7686" width="35.85546875" style="1" bestFit="1" customWidth="1"/>
    <col min="7687" max="7687" width="33.85546875" style="1" bestFit="1" customWidth="1"/>
    <col min="7688" max="7688" width="9.5703125" style="1" bestFit="1" customWidth="1"/>
    <col min="7689" max="7689" width="35.85546875" style="1" bestFit="1" customWidth="1"/>
    <col min="7690" max="7690" width="33.85546875" style="1" bestFit="1" customWidth="1"/>
    <col min="7691" max="7691" width="9.5703125" style="1" bestFit="1" customWidth="1"/>
    <col min="7692" max="7692" width="35.85546875" style="1" bestFit="1" customWidth="1"/>
    <col min="7693" max="7693" width="33.85546875" style="1" bestFit="1" customWidth="1"/>
    <col min="7694" max="7694" width="9.5703125" style="1" bestFit="1" customWidth="1"/>
    <col min="7695" max="7695" width="35.85546875" style="1" bestFit="1" customWidth="1"/>
    <col min="7696" max="7696" width="33.85546875" style="1" bestFit="1" customWidth="1"/>
    <col min="7697" max="7697" width="9.5703125" style="1" bestFit="1" customWidth="1"/>
    <col min="7698" max="7698" width="35.85546875" style="1" bestFit="1" customWidth="1"/>
    <col min="7699" max="7699" width="33.85546875" style="1" bestFit="1" customWidth="1"/>
    <col min="7700" max="7700" width="9.5703125" style="1" bestFit="1" customWidth="1"/>
    <col min="7701" max="7701" width="35.85546875" style="1" bestFit="1" customWidth="1"/>
    <col min="7702" max="7702" width="33.85546875" style="1" bestFit="1" customWidth="1"/>
    <col min="7703" max="7703" width="9.5703125" style="1" bestFit="1" customWidth="1"/>
    <col min="7704" max="7766" width="22.140625" style="1"/>
    <col min="7767" max="7767" width="40.42578125" style="1" customWidth="1"/>
    <col min="7768" max="7768" width="25.42578125" style="1" bestFit="1" customWidth="1"/>
    <col min="7769" max="7769" width="23.85546875" style="1" bestFit="1" customWidth="1"/>
    <col min="7770" max="7770" width="41.85546875" style="1" customWidth="1"/>
    <col min="7771" max="7771" width="26.42578125" style="1" bestFit="1" customWidth="1"/>
    <col min="7772" max="7773" width="16.42578125" style="1" customWidth="1"/>
    <col min="7774" max="7774" width="19.42578125" style="1" customWidth="1"/>
    <col min="7775" max="7775" width="16" style="1" customWidth="1"/>
    <col min="7776" max="7776" width="16.5703125" style="1" customWidth="1"/>
    <col min="7777" max="7777" width="7.5703125" style="1" bestFit="1" customWidth="1"/>
    <col min="7778" max="7778" width="16.5703125" style="1" customWidth="1"/>
    <col min="7779" max="7779" width="17.140625" style="1" customWidth="1"/>
    <col min="7780" max="7803" width="0" style="1" hidden="1" customWidth="1"/>
    <col min="7804" max="7804" width="35.85546875" style="1" bestFit="1" customWidth="1"/>
    <col min="7805" max="7805" width="33.85546875" style="1" bestFit="1" customWidth="1"/>
    <col min="7806" max="7806" width="9.5703125" style="1" bestFit="1" customWidth="1"/>
    <col min="7807" max="7807" width="35.85546875" style="1" bestFit="1" customWidth="1"/>
    <col min="7808" max="7808" width="33.85546875" style="1" bestFit="1" customWidth="1"/>
    <col min="7809" max="7809" width="9.5703125" style="1" bestFit="1" customWidth="1"/>
    <col min="7810" max="7810" width="35.85546875" style="1" bestFit="1" customWidth="1"/>
    <col min="7811" max="7811" width="33.85546875" style="1" bestFit="1" customWidth="1"/>
    <col min="7812" max="7812" width="9.5703125" style="1" bestFit="1" customWidth="1"/>
    <col min="7813" max="7813" width="35.85546875" style="1" bestFit="1" customWidth="1"/>
    <col min="7814" max="7814" width="33.85546875" style="1" bestFit="1" customWidth="1"/>
    <col min="7815" max="7815" width="9.5703125" style="1" bestFit="1" customWidth="1"/>
    <col min="7816" max="7816" width="35.85546875" style="1" bestFit="1" customWidth="1"/>
    <col min="7817" max="7817" width="33.85546875" style="1" bestFit="1" customWidth="1"/>
    <col min="7818" max="7818" width="9.5703125" style="1" bestFit="1" customWidth="1"/>
    <col min="7819" max="7819" width="35.85546875" style="1" bestFit="1" customWidth="1"/>
    <col min="7820" max="7820" width="33.85546875" style="1" bestFit="1" customWidth="1"/>
    <col min="7821" max="7821" width="9.5703125" style="1" bestFit="1" customWidth="1"/>
    <col min="7822" max="7822" width="35.85546875" style="1" bestFit="1" customWidth="1"/>
    <col min="7823" max="7823" width="33.85546875" style="1" bestFit="1" customWidth="1"/>
    <col min="7824" max="7824" width="9.5703125" style="1" bestFit="1" customWidth="1"/>
    <col min="7825" max="7825" width="35.85546875" style="1" bestFit="1" customWidth="1"/>
    <col min="7826" max="7826" width="33.85546875" style="1" bestFit="1" customWidth="1"/>
    <col min="7827" max="7827" width="9.5703125" style="1" bestFit="1" customWidth="1"/>
    <col min="7828" max="7828" width="35.85546875" style="1" bestFit="1" customWidth="1"/>
    <col min="7829" max="7829" width="33.85546875" style="1" bestFit="1" customWidth="1"/>
    <col min="7830" max="7830" width="9.5703125" style="1" bestFit="1" customWidth="1"/>
    <col min="7831" max="7831" width="35.85546875" style="1" bestFit="1" customWidth="1"/>
    <col min="7832" max="7832" width="33.85546875" style="1" bestFit="1" customWidth="1"/>
    <col min="7833" max="7833" width="9.5703125" style="1" bestFit="1" customWidth="1"/>
    <col min="7834" max="7834" width="35.85546875" style="1" bestFit="1" customWidth="1"/>
    <col min="7835" max="7835" width="33.85546875" style="1" bestFit="1" customWidth="1"/>
    <col min="7836" max="7836" width="9.5703125" style="1" bestFit="1" customWidth="1"/>
    <col min="7837" max="7837" width="35.85546875" style="1" bestFit="1" customWidth="1"/>
    <col min="7838" max="7838" width="33.85546875" style="1" bestFit="1" customWidth="1"/>
    <col min="7839" max="7839" width="9.5703125" style="1" bestFit="1" customWidth="1"/>
    <col min="7840" max="7840" width="35.85546875" style="1" bestFit="1" customWidth="1"/>
    <col min="7841" max="7841" width="33.85546875" style="1" bestFit="1" customWidth="1"/>
    <col min="7842" max="7842" width="9.5703125" style="1" bestFit="1" customWidth="1"/>
    <col min="7843" max="7843" width="35.85546875" style="1" bestFit="1" customWidth="1"/>
    <col min="7844" max="7844" width="33.85546875" style="1" bestFit="1" customWidth="1"/>
    <col min="7845" max="7845" width="9.5703125" style="1" bestFit="1" customWidth="1"/>
    <col min="7846" max="7846" width="35.85546875" style="1" bestFit="1" customWidth="1"/>
    <col min="7847" max="7847" width="33.85546875" style="1" bestFit="1" customWidth="1"/>
    <col min="7848" max="7848" width="9.5703125" style="1" bestFit="1" customWidth="1"/>
    <col min="7849" max="7849" width="35.85546875" style="1" bestFit="1" customWidth="1"/>
    <col min="7850" max="7850" width="33.85546875" style="1" bestFit="1" customWidth="1"/>
    <col min="7851" max="7851" width="9.5703125" style="1" bestFit="1" customWidth="1"/>
    <col min="7852" max="7852" width="35.85546875" style="1" bestFit="1" customWidth="1"/>
    <col min="7853" max="7853" width="33.85546875" style="1" bestFit="1" customWidth="1"/>
    <col min="7854" max="7854" width="9.5703125" style="1" bestFit="1" customWidth="1"/>
    <col min="7855" max="7855" width="35.85546875" style="1" bestFit="1" customWidth="1"/>
    <col min="7856" max="7856" width="33.85546875" style="1" bestFit="1" customWidth="1"/>
    <col min="7857" max="7857" width="9.5703125" style="1" bestFit="1" customWidth="1"/>
    <col min="7858" max="7858" width="35.85546875" style="1" bestFit="1" customWidth="1"/>
    <col min="7859" max="7859" width="33.85546875" style="1" bestFit="1" customWidth="1"/>
    <col min="7860" max="7860" width="9.5703125" style="1" bestFit="1" customWidth="1"/>
    <col min="7861" max="7861" width="35.85546875" style="1" bestFit="1" customWidth="1"/>
    <col min="7862" max="7862" width="33.85546875" style="1" bestFit="1" customWidth="1"/>
    <col min="7863" max="7863" width="9.5703125" style="1" bestFit="1" customWidth="1"/>
    <col min="7864" max="7864" width="35.85546875" style="1" bestFit="1" customWidth="1"/>
    <col min="7865" max="7865" width="33.85546875" style="1" bestFit="1" customWidth="1"/>
    <col min="7866" max="7866" width="9.5703125" style="1" bestFit="1" customWidth="1"/>
    <col min="7867" max="7867" width="35.85546875" style="1" bestFit="1" customWidth="1"/>
    <col min="7868" max="7868" width="33.85546875" style="1" bestFit="1" customWidth="1"/>
    <col min="7869" max="7869" width="9.5703125" style="1" bestFit="1" customWidth="1"/>
    <col min="7870" max="7870" width="35.85546875" style="1" bestFit="1" customWidth="1"/>
    <col min="7871" max="7871" width="33.85546875" style="1" bestFit="1" customWidth="1"/>
    <col min="7872" max="7872" width="9.5703125" style="1" bestFit="1" customWidth="1"/>
    <col min="7873" max="7873" width="35.85546875" style="1" bestFit="1" customWidth="1"/>
    <col min="7874" max="7874" width="33.85546875" style="1" bestFit="1" customWidth="1"/>
    <col min="7875" max="7875" width="9.5703125" style="1" bestFit="1" customWidth="1"/>
    <col min="7876" max="7876" width="35.85546875" style="1" bestFit="1" customWidth="1"/>
    <col min="7877" max="7877" width="33.85546875" style="1" bestFit="1" customWidth="1"/>
    <col min="7878" max="7878" width="9.5703125" style="1" bestFit="1" customWidth="1"/>
    <col min="7879" max="7879" width="35.85546875" style="1" bestFit="1" customWidth="1"/>
    <col min="7880" max="7880" width="33.85546875" style="1" bestFit="1" customWidth="1"/>
    <col min="7881" max="7881" width="9.5703125" style="1" bestFit="1" customWidth="1"/>
    <col min="7882" max="7882" width="35.85546875" style="1" bestFit="1" customWidth="1"/>
    <col min="7883" max="7883" width="33.85546875" style="1" bestFit="1" customWidth="1"/>
    <col min="7884" max="7884" width="9.5703125" style="1" bestFit="1" customWidth="1"/>
    <col min="7885" max="7885" width="35.85546875" style="1" bestFit="1" customWidth="1"/>
    <col min="7886" max="7886" width="33.85546875" style="1" bestFit="1" customWidth="1"/>
    <col min="7887" max="7887" width="9.5703125" style="1" bestFit="1" customWidth="1"/>
    <col min="7888" max="7888" width="35.85546875" style="1" bestFit="1" customWidth="1"/>
    <col min="7889" max="7889" width="33.85546875" style="1" bestFit="1" customWidth="1"/>
    <col min="7890" max="7890" width="9.5703125" style="1" bestFit="1" customWidth="1"/>
    <col min="7891" max="7891" width="35.85546875" style="1" bestFit="1" customWidth="1"/>
    <col min="7892" max="7892" width="33.85546875" style="1" bestFit="1" customWidth="1"/>
    <col min="7893" max="7893" width="9.5703125" style="1" bestFit="1" customWidth="1"/>
    <col min="7894" max="7894" width="35.85546875" style="1" bestFit="1" customWidth="1"/>
    <col min="7895" max="7895" width="33.85546875" style="1" bestFit="1" customWidth="1"/>
    <col min="7896" max="7896" width="9.5703125" style="1" bestFit="1" customWidth="1"/>
    <col min="7897" max="7897" width="35.85546875" style="1" bestFit="1" customWidth="1"/>
    <col min="7898" max="7898" width="33.85546875" style="1" bestFit="1" customWidth="1"/>
    <col min="7899" max="7899" width="9.5703125" style="1" bestFit="1" customWidth="1"/>
    <col min="7900" max="7900" width="35.85546875" style="1" bestFit="1" customWidth="1"/>
    <col min="7901" max="7901" width="33.85546875" style="1" bestFit="1" customWidth="1"/>
    <col min="7902" max="7902" width="9.5703125" style="1" bestFit="1" customWidth="1"/>
    <col min="7903" max="7903" width="35.85546875" style="1" bestFit="1" customWidth="1"/>
    <col min="7904" max="7904" width="33.85546875" style="1" bestFit="1" customWidth="1"/>
    <col min="7905" max="7905" width="9.5703125" style="1" bestFit="1" customWidth="1"/>
    <col min="7906" max="7906" width="35.85546875" style="1" bestFit="1" customWidth="1"/>
    <col min="7907" max="7907" width="33.85546875" style="1" bestFit="1" customWidth="1"/>
    <col min="7908" max="7908" width="9.5703125" style="1" bestFit="1" customWidth="1"/>
    <col min="7909" max="7909" width="35.85546875" style="1" bestFit="1" customWidth="1"/>
    <col min="7910" max="7910" width="33.85546875" style="1" bestFit="1" customWidth="1"/>
    <col min="7911" max="7911" width="9.5703125" style="1" bestFit="1" customWidth="1"/>
    <col min="7912" max="7912" width="35.85546875" style="1" bestFit="1" customWidth="1"/>
    <col min="7913" max="7913" width="33.85546875" style="1" bestFit="1" customWidth="1"/>
    <col min="7914" max="7914" width="9.5703125" style="1" bestFit="1" customWidth="1"/>
    <col min="7915" max="7915" width="35.85546875" style="1" bestFit="1" customWidth="1"/>
    <col min="7916" max="7916" width="33.85546875" style="1" bestFit="1" customWidth="1"/>
    <col min="7917" max="7917" width="9.5703125" style="1" bestFit="1" customWidth="1"/>
    <col min="7918" max="7918" width="35.85546875" style="1" bestFit="1" customWidth="1"/>
    <col min="7919" max="7919" width="33.85546875" style="1" bestFit="1" customWidth="1"/>
    <col min="7920" max="7920" width="9.5703125" style="1" bestFit="1" customWidth="1"/>
    <col min="7921" max="7921" width="35.85546875" style="1" bestFit="1" customWidth="1"/>
    <col min="7922" max="7922" width="33.85546875" style="1" bestFit="1" customWidth="1"/>
    <col min="7923" max="7923" width="9.5703125" style="1" bestFit="1" customWidth="1"/>
    <col min="7924" max="7924" width="35.85546875" style="1" bestFit="1" customWidth="1"/>
    <col min="7925" max="7925" width="33.85546875" style="1" bestFit="1" customWidth="1"/>
    <col min="7926" max="7926" width="9.5703125" style="1" bestFit="1" customWidth="1"/>
    <col min="7927" max="7927" width="35.85546875" style="1" bestFit="1" customWidth="1"/>
    <col min="7928" max="7928" width="33.85546875" style="1" bestFit="1" customWidth="1"/>
    <col min="7929" max="7929" width="9.5703125" style="1" bestFit="1" customWidth="1"/>
    <col min="7930" max="7930" width="35.85546875" style="1" bestFit="1" customWidth="1"/>
    <col min="7931" max="7931" width="33.85546875" style="1" bestFit="1" customWidth="1"/>
    <col min="7932" max="7932" width="9.5703125" style="1" bestFit="1" customWidth="1"/>
    <col min="7933" max="7933" width="35.85546875" style="1" bestFit="1" customWidth="1"/>
    <col min="7934" max="7934" width="33.85546875" style="1" bestFit="1" customWidth="1"/>
    <col min="7935" max="7935" width="9.5703125" style="1" bestFit="1" customWidth="1"/>
    <col min="7936" max="7936" width="35.85546875" style="1" bestFit="1" customWidth="1"/>
    <col min="7937" max="7937" width="33.85546875" style="1" bestFit="1" customWidth="1"/>
    <col min="7938" max="7938" width="9.5703125" style="1" bestFit="1" customWidth="1"/>
    <col min="7939" max="7939" width="35.85546875" style="1" bestFit="1" customWidth="1"/>
    <col min="7940" max="7940" width="33.85546875" style="1" bestFit="1" customWidth="1"/>
    <col min="7941" max="7941" width="9.5703125" style="1" bestFit="1" customWidth="1"/>
    <col min="7942" max="7942" width="35.85546875" style="1" bestFit="1" customWidth="1"/>
    <col min="7943" max="7943" width="33.85546875" style="1" bestFit="1" customWidth="1"/>
    <col min="7944" max="7944" width="9.5703125" style="1" bestFit="1" customWidth="1"/>
    <col min="7945" max="7945" width="35.85546875" style="1" bestFit="1" customWidth="1"/>
    <col min="7946" max="7946" width="33.85546875" style="1" bestFit="1" customWidth="1"/>
    <col min="7947" max="7947" width="9.5703125" style="1" bestFit="1" customWidth="1"/>
    <col min="7948" max="7948" width="35.85546875" style="1" bestFit="1" customWidth="1"/>
    <col min="7949" max="7949" width="33.85546875" style="1" bestFit="1" customWidth="1"/>
    <col min="7950" max="7950" width="9.5703125" style="1" bestFit="1" customWidth="1"/>
    <col min="7951" max="7951" width="35.85546875" style="1" bestFit="1" customWidth="1"/>
    <col min="7952" max="7952" width="33.85546875" style="1" bestFit="1" customWidth="1"/>
    <col min="7953" max="7953" width="9.5703125" style="1" bestFit="1" customWidth="1"/>
    <col min="7954" max="7954" width="35.85546875" style="1" bestFit="1" customWidth="1"/>
    <col min="7955" max="7955" width="33.85546875" style="1" bestFit="1" customWidth="1"/>
    <col min="7956" max="7956" width="9.5703125" style="1" bestFit="1" customWidth="1"/>
    <col min="7957" max="7957" width="35.85546875" style="1" bestFit="1" customWidth="1"/>
    <col min="7958" max="7958" width="33.85546875" style="1" bestFit="1" customWidth="1"/>
    <col min="7959" max="7959" width="9.5703125" style="1" bestFit="1" customWidth="1"/>
    <col min="7960" max="8022" width="22.140625" style="1"/>
    <col min="8023" max="8023" width="40.42578125" style="1" customWidth="1"/>
    <col min="8024" max="8024" width="25.42578125" style="1" bestFit="1" customWidth="1"/>
    <col min="8025" max="8025" width="23.85546875" style="1" bestFit="1" customWidth="1"/>
    <col min="8026" max="8026" width="41.85546875" style="1" customWidth="1"/>
    <col min="8027" max="8027" width="26.42578125" style="1" bestFit="1" customWidth="1"/>
    <col min="8028" max="8029" width="16.42578125" style="1" customWidth="1"/>
    <col min="8030" max="8030" width="19.42578125" style="1" customWidth="1"/>
    <col min="8031" max="8031" width="16" style="1" customWidth="1"/>
    <col min="8032" max="8032" width="16.5703125" style="1" customWidth="1"/>
    <col min="8033" max="8033" width="7.5703125" style="1" bestFit="1" customWidth="1"/>
    <col min="8034" max="8034" width="16.5703125" style="1" customWidth="1"/>
    <col min="8035" max="8035" width="17.140625" style="1" customWidth="1"/>
    <col min="8036" max="8059" width="0" style="1" hidden="1" customWidth="1"/>
    <col min="8060" max="8060" width="35.85546875" style="1" bestFit="1" customWidth="1"/>
    <col min="8061" max="8061" width="33.85546875" style="1" bestFit="1" customWidth="1"/>
    <col min="8062" max="8062" width="9.5703125" style="1" bestFit="1" customWidth="1"/>
    <col min="8063" max="8063" width="35.85546875" style="1" bestFit="1" customWidth="1"/>
    <col min="8064" max="8064" width="33.85546875" style="1" bestFit="1" customWidth="1"/>
    <col min="8065" max="8065" width="9.5703125" style="1" bestFit="1" customWidth="1"/>
    <col min="8066" max="8066" width="35.85546875" style="1" bestFit="1" customWidth="1"/>
    <col min="8067" max="8067" width="33.85546875" style="1" bestFit="1" customWidth="1"/>
    <col min="8068" max="8068" width="9.5703125" style="1" bestFit="1" customWidth="1"/>
    <col min="8069" max="8069" width="35.85546875" style="1" bestFit="1" customWidth="1"/>
    <col min="8070" max="8070" width="33.85546875" style="1" bestFit="1" customWidth="1"/>
    <col min="8071" max="8071" width="9.5703125" style="1" bestFit="1" customWidth="1"/>
    <col min="8072" max="8072" width="35.85546875" style="1" bestFit="1" customWidth="1"/>
    <col min="8073" max="8073" width="33.85546875" style="1" bestFit="1" customWidth="1"/>
    <col min="8074" max="8074" width="9.5703125" style="1" bestFit="1" customWidth="1"/>
    <col min="8075" max="8075" width="35.85546875" style="1" bestFit="1" customWidth="1"/>
    <col min="8076" max="8076" width="33.85546875" style="1" bestFit="1" customWidth="1"/>
    <col min="8077" max="8077" width="9.5703125" style="1" bestFit="1" customWidth="1"/>
    <col min="8078" max="8078" width="35.85546875" style="1" bestFit="1" customWidth="1"/>
    <col min="8079" max="8079" width="33.85546875" style="1" bestFit="1" customWidth="1"/>
    <col min="8080" max="8080" width="9.5703125" style="1" bestFit="1" customWidth="1"/>
    <col min="8081" max="8081" width="35.85546875" style="1" bestFit="1" customWidth="1"/>
    <col min="8082" max="8082" width="33.85546875" style="1" bestFit="1" customWidth="1"/>
    <col min="8083" max="8083" width="9.5703125" style="1" bestFit="1" customWidth="1"/>
    <col min="8084" max="8084" width="35.85546875" style="1" bestFit="1" customWidth="1"/>
    <col min="8085" max="8085" width="33.85546875" style="1" bestFit="1" customWidth="1"/>
    <col min="8086" max="8086" width="9.5703125" style="1" bestFit="1" customWidth="1"/>
    <col min="8087" max="8087" width="35.85546875" style="1" bestFit="1" customWidth="1"/>
    <col min="8088" max="8088" width="33.85546875" style="1" bestFit="1" customWidth="1"/>
    <col min="8089" max="8089" width="9.5703125" style="1" bestFit="1" customWidth="1"/>
    <col min="8090" max="8090" width="35.85546875" style="1" bestFit="1" customWidth="1"/>
    <col min="8091" max="8091" width="33.85546875" style="1" bestFit="1" customWidth="1"/>
    <col min="8092" max="8092" width="9.5703125" style="1" bestFit="1" customWidth="1"/>
    <col min="8093" max="8093" width="35.85546875" style="1" bestFit="1" customWidth="1"/>
    <col min="8094" max="8094" width="33.85546875" style="1" bestFit="1" customWidth="1"/>
    <col min="8095" max="8095" width="9.5703125" style="1" bestFit="1" customWidth="1"/>
    <col min="8096" max="8096" width="35.85546875" style="1" bestFit="1" customWidth="1"/>
    <col min="8097" max="8097" width="33.85546875" style="1" bestFit="1" customWidth="1"/>
    <col min="8098" max="8098" width="9.5703125" style="1" bestFit="1" customWidth="1"/>
    <col min="8099" max="8099" width="35.85546875" style="1" bestFit="1" customWidth="1"/>
    <col min="8100" max="8100" width="33.85546875" style="1" bestFit="1" customWidth="1"/>
    <col min="8101" max="8101" width="9.5703125" style="1" bestFit="1" customWidth="1"/>
    <col min="8102" max="8102" width="35.85546875" style="1" bestFit="1" customWidth="1"/>
    <col min="8103" max="8103" width="33.85546875" style="1" bestFit="1" customWidth="1"/>
    <col min="8104" max="8104" width="9.5703125" style="1" bestFit="1" customWidth="1"/>
    <col min="8105" max="8105" width="35.85546875" style="1" bestFit="1" customWidth="1"/>
    <col min="8106" max="8106" width="33.85546875" style="1" bestFit="1" customWidth="1"/>
    <col min="8107" max="8107" width="9.5703125" style="1" bestFit="1" customWidth="1"/>
    <col min="8108" max="8108" width="35.85546875" style="1" bestFit="1" customWidth="1"/>
    <col min="8109" max="8109" width="33.85546875" style="1" bestFit="1" customWidth="1"/>
    <col min="8110" max="8110" width="9.5703125" style="1" bestFit="1" customWidth="1"/>
    <col min="8111" max="8111" width="35.85546875" style="1" bestFit="1" customWidth="1"/>
    <col min="8112" max="8112" width="33.85546875" style="1" bestFit="1" customWidth="1"/>
    <col min="8113" max="8113" width="9.5703125" style="1" bestFit="1" customWidth="1"/>
    <col min="8114" max="8114" width="35.85546875" style="1" bestFit="1" customWidth="1"/>
    <col min="8115" max="8115" width="33.85546875" style="1" bestFit="1" customWidth="1"/>
    <col min="8116" max="8116" width="9.5703125" style="1" bestFit="1" customWidth="1"/>
    <col min="8117" max="8117" width="35.85546875" style="1" bestFit="1" customWidth="1"/>
    <col min="8118" max="8118" width="33.85546875" style="1" bestFit="1" customWidth="1"/>
    <col min="8119" max="8119" width="9.5703125" style="1" bestFit="1" customWidth="1"/>
    <col min="8120" max="8120" width="35.85546875" style="1" bestFit="1" customWidth="1"/>
    <col min="8121" max="8121" width="33.85546875" style="1" bestFit="1" customWidth="1"/>
    <col min="8122" max="8122" width="9.5703125" style="1" bestFit="1" customWidth="1"/>
    <col min="8123" max="8123" width="35.85546875" style="1" bestFit="1" customWidth="1"/>
    <col min="8124" max="8124" width="33.85546875" style="1" bestFit="1" customWidth="1"/>
    <col min="8125" max="8125" width="9.5703125" style="1" bestFit="1" customWidth="1"/>
    <col min="8126" max="8126" width="35.85546875" style="1" bestFit="1" customWidth="1"/>
    <col min="8127" max="8127" width="33.85546875" style="1" bestFit="1" customWidth="1"/>
    <col min="8128" max="8128" width="9.5703125" style="1" bestFit="1" customWidth="1"/>
    <col min="8129" max="8129" width="35.85546875" style="1" bestFit="1" customWidth="1"/>
    <col min="8130" max="8130" width="33.85546875" style="1" bestFit="1" customWidth="1"/>
    <col min="8131" max="8131" width="9.5703125" style="1" bestFit="1" customWidth="1"/>
    <col min="8132" max="8132" width="35.85546875" style="1" bestFit="1" customWidth="1"/>
    <col min="8133" max="8133" width="33.85546875" style="1" bestFit="1" customWidth="1"/>
    <col min="8134" max="8134" width="9.5703125" style="1" bestFit="1" customWidth="1"/>
    <col min="8135" max="8135" width="35.85546875" style="1" bestFit="1" customWidth="1"/>
    <col min="8136" max="8136" width="33.85546875" style="1" bestFit="1" customWidth="1"/>
    <col min="8137" max="8137" width="9.5703125" style="1" bestFit="1" customWidth="1"/>
    <col min="8138" max="8138" width="35.85546875" style="1" bestFit="1" customWidth="1"/>
    <col min="8139" max="8139" width="33.85546875" style="1" bestFit="1" customWidth="1"/>
    <col min="8140" max="8140" width="9.5703125" style="1" bestFit="1" customWidth="1"/>
    <col min="8141" max="8141" width="35.85546875" style="1" bestFit="1" customWidth="1"/>
    <col min="8142" max="8142" width="33.85546875" style="1" bestFit="1" customWidth="1"/>
    <col min="8143" max="8143" width="9.5703125" style="1" bestFit="1" customWidth="1"/>
    <col min="8144" max="8144" width="35.85546875" style="1" bestFit="1" customWidth="1"/>
    <col min="8145" max="8145" width="33.85546875" style="1" bestFit="1" customWidth="1"/>
    <col min="8146" max="8146" width="9.5703125" style="1" bestFit="1" customWidth="1"/>
    <col min="8147" max="8147" width="35.85546875" style="1" bestFit="1" customWidth="1"/>
    <col min="8148" max="8148" width="33.85546875" style="1" bestFit="1" customWidth="1"/>
    <col min="8149" max="8149" width="9.5703125" style="1" bestFit="1" customWidth="1"/>
    <col min="8150" max="8150" width="35.85546875" style="1" bestFit="1" customWidth="1"/>
    <col min="8151" max="8151" width="33.85546875" style="1" bestFit="1" customWidth="1"/>
    <col min="8152" max="8152" width="9.5703125" style="1" bestFit="1" customWidth="1"/>
    <col min="8153" max="8153" width="35.85546875" style="1" bestFit="1" customWidth="1"/>
    <col min="8154" max="8154" width="33.85546875" style="1" bestFit="1" customWidth="1"/>
    <col min="8155" max="8155" width="9.5703125" style="1" bestFit="1" customWidth="1"/>
    <col min="8156" max="8156" width="35.85546875" style="1" bestFit="1" customWidth="1"/>
    <col min="8157" max="8157" width="33.85546875" style="1" bestFit="1" customWidth="1"/>
    <col min="8158" max="8158" width="9.5703125" style="1" bestFit="1" customWidth="1"/>
    <col min="8159" max="8159" width="35.85546875" style="1" bestFit="1" customWidth="1"/>
    <col min="8160" max="8160" width="33.85546875" style="1" bestFit="1" customWidth="1"/>
    <col min="8161" max="8161" width="9.5703125" style="1" bestFit="1" customWidth="1"/>
    <col min="8162" max="8162" width="35.85546875" style="1" bestFit="1" customWidth="1"/>
    <col min="8163" max="8163" width="33.85546875" style="1" bestFit="1" customWidth="1"/>
    <col min="8164" max="8164" width="9.5703125" style="1" bestFit="1" customWidth="1"/>
    <col min="8165" max="8165" width="35.85546875" style="1" bestFit="1" customWidth="1"/>
    <col min="8166" max="8166" width="33.85546875" style="1" bestFit="1" customWidth="1"/>
    <col min="8167" max="8167" width="9.5703125" style="1" bestFit="1" customWidth="1"/>
    <col min="8168" max="8168" width="35.85546875" style="1" bestFit="1" customWidth="1"/>
    <col min="8169" max="8169" width="33.85546875" style="1" bestFit="1" customWidth="1"/>
    <col min="8170" max="8170" width="9.5703125" style="1" bestFit="1" customWidth="1"/>
    <col min="8171" max="8171" width="35.85546875" style="1" bestFit="1" customWidth="1"/>
    <col min="8172" max="8172" width="33.85546875" style="1" bestFit="1" customWidth="1"/>
    <col min="8173" max="8173" width="9.5703125" style="1" bestFit="1" customWidth="1"/>
    <col min="8174" max="8174" width="35.85546875" style="1" bestFit="1" customWidth="1"/>
    <col min="8175" max="8175" width="33.85546875" style="1" bestFit="1" customWidth="1"/>
    <col min="8176" max="8176" width="9.5703125" style="1" bestFit="1" customWidth="1"/>
    <col min="8177" max="8177" width="35.85546875" style="1" bestFit="1" customWidth="1"/>
    <col min="8178" max="8178" width="33.85546875" style="1" bestFit="1" customWidth="1"/>
    <col min="8179" max="8179" width="9.5703125" style="1" bestFit="1" customWidth="1"/>
    <col min="8180" max="8180" width="35.85546875" style="1" bestFit="1" customWidth="1"/>
    <col min="8181" max="8181" width="33.85546875" style="1" bestFit="1" customWidth="1"/>
    <col min="8182" max="8182" width="9.5703125" style="1" bestFit="1" customWidth="1"/>
    <col min="8183" max="8183" width="35.85546875" style="1" bestFit="1" customWidth="1"/>
    <col min="8184" max="8184" width="33.85546875" style="1" bestFit="1" customWidth="1"/>
    <col min="8185" max="8185" width="9.5703125" style="1" bestFit="1" customWidth="1"/>
    <col min="8186" max="8186" width="35.85546875" style="1" bestFit="1" customWidth="1"/>
    <col min="8187" max="8187" width="33.85546875" style="1" bestFit="1" customWidth="1"/>
    <col min="8188" max="8188" width="9.5703125" style="1" bestFit="1" customWidth="1"/>
    <col min="8189" max="8189" width="35.85546875" style="1" bestFit="1" customWidth="1"/>
    <col min="8190" max="8190" width="33.85546875" style="1" bestFit="1" customWidth="1"/>
    <col min="8191" max="8191" width="9.5703125" style="1" bestFit="1" customWidth="1"/>
    <col min="8192" max="8192" width="35.85546875" style="1" bestFit="1" customWidth="1"/>
    <col min="8193" max="8193" width="33.85546875" style="1" bestFit="1" customWidth="1"/>
    <col min="8194" max="8194" width="9.5703125" style="1" bestFit="1" customWidth="1"/>
    <col min="8195" max="8195" width="35.85546875" style="1" bestFit="1" customWidth="1"/>
    <col min="8196" max="8196" width="33.85546875" style="1" bestFit="1" customWidth="1"/>
    <col min="8197" max="8197" width="9.5703125" style="1" bestFit="1" customWidth="1"/>
    <col min="8198" max="8198" width="35.85546875" style="1" bestFit="1" customWidth="1"/>
    <col min="8199" max="8199" width="33.85546875" style="1" bestFit="1" customWidth="1"/>
    <col min="8200" max="8200" width="9.5703125" style="1" bestFit="1" customWidth="1"/>
    <col min="8201" max="8201" width="35.85546875" style="1" bestFit="1" customWidth="1"/>
    <col min="8202" max="8202" width="33.85546875" style="1" bestFit="1" customWidth="1"/>
    <col min="8203" max="8203" width="9.5703125" style="1" bestFit="1" customWidth="1"/>
    <col min="8204" max="8204" width="35.85546875" style="1" bestFit="1" customWidth="1"/>
    <col min="8205" max="8205" width="33.85546875" style="1" bestFit="1" customWidth="1"/>
    <col min="8206" max="8206" width="9.5703125" style="1" bestFit="1" customWidth="1"/>
    <col min="8207" max="8207" width="35.85546875" style="1" bestFit="1" customWidth="1"/>
    <col min="8208" max="8208" width="33.85546875" style="1" bestFit="1" customWidth="1"/>
    <col min="8209" max="8209" width="9.5703125" style="1" bestFit="1" customWidth="1"/>
    <col min="8210" max="8210" width="35.85546875" style="1" bestFit="1" customWidth="1"/>
    <col min="8211" max="8211" width="33.85546875" style="1" bestFit="1" customWidth="1"/>
    <col min="8212" max="8212" width="9.5703125" style="1" bestFit="1" customWidth="1"/>
    <col min="8213" max="8213" width="35.85546875" style="1" bestFit="1" customWidth="1"/>
    <col min="8214" max="8214" width="33.85546875" style="1" bestFit="1" customWidth="1"/>
    <col min="8215" max="8215" width="9.5703125" style="1" bestFit="1" customWidth="1"/>
    <col min="8216" max="8278" width="22.140625" style="1"/>
    <col min="8279" max="8279" width="40.42578125" style="1" customWidth="1"/>
    <col min="8280" max="8280" width="25.42578125" style="1" bestFit="1" customWidth="1"/>
    <col min="8281" max="8281" width="23.85546875" style="1" bestFit="1" customWidth="1"/>
    <col min="8282" max="8282" width="41.85546875" style="1" customWidth="1"/>
    <col min="8283" max="8283" width="26.42578125" style="1" bestFit="1" customWidth="1"/>
    <col min="8284" max="8285" width="16.42578125" style="1" customWidth="1"/>
    <col min="8286" max="8286" width="19.42578125" style="1" customWidth="1"/>
    <col min="8287" max="8287" width="16" style="1" customWidth="1"/>
    <col min="8288" max="8288" width="16.5703125" style="1" customWidth="1"/>
    <col min="8289" max="8289" width="7.5703125" style="1" bestFit="1" customWidth="1"/>
    <col min="8290" max="8290" width="16.5703125" style="1" customWidth="1"/>
    <col min="8291" max="8291" width="17.140625" style="1" customWidth="1"/>
    <col min="8292" max="8315" width="0" style="1" hidden="1" customWidth="1"/>
    <col min="8316" max="8316" width="35.85546875" style="1" bestFit="1" customWidth="1"/>
    <col min="8317" max="8317" width="33.85546875" style="1" bestFit="1" customWidth="1"/>
    <col min="8318" max="8318" width="9.5703125" style="1" bestFit="1" customWidth="1"/>
    <col min="8319" max="8319" width="35.85546875" style="1" bestFit="1" customWidth="1"/>
    <col min="8320" max="8320" width="33.85546875" style="1" bestFit="1" customWidth="1"/>
    <col min="8321" max="8321" width="9.5703125" style="1" bestFit="1" customWidth="1"/>
    <col min="8322" max="8322" width="35.85546875" style="1" bestFit="1" customWidth="1"/>
    <col min="8323" max="8323" width="33.85546875" style="1" bestFit="1" customWidth="1"/>
    <col min="8324" max="8324" width="9.5703125" style="1" bestFit="1" customWidth="1"/>
    <col min="8325" max="8325" width="35.85546875" style="1" bestFit="1" customWidth="1"/>
    <col min="8326" max="8326" width="33.85546875" style="1" bestFit="1" customWidth="1"/>
    <col min="8327" max="8327" width="9.5703125" style="1" bestFit="1" customWidth="1"/>
    <col min="8328" max="8328" width="35.85546875" style="1" bestFit="1" customWidth="1"/>
    <col min="8329" max="8329" width="33.85546875" style="1" bestFit="1" customWidth="1"/>
    <col min="8330" max="8330" width="9.5703125" style="1" bestFit="1" customWidth="1"/>
    <col min="8331" max="8331" width="35.85546875" style="1" bestFit="1" customWidth="1"/>
    <col min="8332" max="8332" width="33.85546875" style="1" bestFit="1" customWidth="1"/>
    <col min="8333" max="8333" width="9.5703125" style="1" bestFit="1" customWidth="1"/>
    <col min="8334" max="8334" width="35.85546875" style="1" bestFit="1" customWidth="1"/>
    <col min="8335" max="8335" width="33.85546875" style="1" bestFit="1" customWidth="1"/>
    <col min="8336" max="8336" width="9.5703125" style="1" bestFit="1" customWidth="1"/>
    <col min="8337" max="8337" width="35.85546875" style="1" bestFit="1" customWidth="1"/>
    <col min="8338" max="8338" width="33.85546875" style="1" bestFit="1" customWidth="1"/>
    <col min="8339" max="8339" width="9.5703125" style="1" bestFit="1" customWidth="1"/>
    <col min="8340" max="8340" width="35.85546875" style="1" bestFit="1" customWidth="1"/>
    <col min="8341" max="8341" width="33.85546875" style="1" bestFit="1" customWidth="1"/>
    <col min="8342" max="8342" width="9.5703125" style="1" bestFit="1" customWidth="1"/>
    <col min="8343" max="8343" width="35.85546875" style="1" bestFit="1" customWidth="1"/>
    <col min="8344" max="8344" width="33.85546875" style="1" bestFit="1" customWidth="1"/>
    <col min="8345" max="8345" width="9.5703125" style="1" bestFit="1" customWidth="1"/>
    <col min="8346" max="8346" width="35.85546875" style="1" bestFit="1" customWidth="1"/>
    <col min="8347" max="8347" width="33.85546875" style="1" bestFit="1" customWidth="1"/>
    <col min="8348" max="8348" width="9.5703125" style="1" bestFit="1" customWidth="1"/>
    <col min="8349" max="8349" width="35.85546875" style="1" bestFit="1" customWidth="1"/>
    <col min="8350" max="8350" width="33.85546875" style="1" bestFit="1" customWidth="1"/>
    <col min="8351" max="8351" width="9.5703125" style="1" bestFit="1" customWidth="1"/>
    <col min="8352" max="8352" width="35.85546875" style="1" bestFit="1" customWidth="1"/>
    <col min="8353" max="8353" width="33.85546875" style="1" bestFit="1" customWidth="1"/>
    <col min="8354" max="8354" width="9.5703125" style="1" bestFit="1" customWidth="1"/>
    <col min="8355" max="8355" width="35.85546875" style="1" bestFit="1" customWidth="1"/>
    <col min="8356" max="8356" width="33.85546875" style="1" bestFit="1" customWidth="1"/>
    <col min="8357" max="8357" width="9.5703125" style="1" bestFit="1" customWidth="1"/>
    <col min="8358" max="8358" width="35.85546875" style="1" bestFit="1" customWidth="1"/>
    <col min="8359" max="8359" width="33.85546875" style="1" bestFit="1" customWidth="1"/>
    <col min="8360" max="8360" width="9.5703125" style="1" bestFit="1" customWidth="1"/>
    <col min="8361" max="8361" width="35.85546875" style="1" bestFit="1" customWidth="1"/>
    <col min="8362" max="8362" width="33.85546875" style="1" bestFit="1" customWidth="1"/>
    <col min="8363" max="8363" width="9.5703125" style="1" bestFit="1" customWidth="1"/>
    <col min="8364" max="8364" width="35.85546875" style="1" bestFit="1" customWidth="1"/>
    <col min="8365" max="8365" width="33.85546875" style="1" bestFit="1" customWidth="1"/>
    <col min="8366" max="8366" width="9.5703125" style="1" bestFit="1" customWidth="1"/>
    <col min="8367" max="8367" width="35.85546875" style="1" bestFit="1" customWidth="1"/>
    <col min="8368" max="8368" width="33.85546875" style="1" bestFit="1" customWidth="1"/>
    <col min="8369" max="8369" width="9.5703125" style="1" bestFit="1" customWidth="1"/>
    <col min="8370" max="8370" width="35.85546875" style="1" bestFit="1" customWidth="1"/>
    <col min="8371" max="8371" width="33.85546875" style="1" bestFit="1" customWidth="1"/>
    <col min="8372" max="8372" width="9.5703125" style="1" bestFit="1" customWidth="1"/>
    <col min="8373" max="8373" width="35.85546875" style="1" bestFit="1" customWidth="1"/>
    <col min="8374" max="8374" width="33.85546875" style="1" bestFit="1" customWidth="1"/>
    <col min="8375" max="8375" width="9.5703125" style="1" bestFit="1" customWidth="1"/>
    <col min="8376" max="8376" width="35.85546875" style="1" bestFit="1" customWidth="1"/>
    <col min="8377" max="8377" width="33.85546875" style="1" bestFit="1" customWidth="1"/>
    <col min="8378" max="8378" width="9.5703125" style="1" bestFit="1" customWidth="1"/>
    <col min="8379" max="8379" width="35.85546875" style="1" bestFit="1" customWidth="1"/>
    <col min="8380" max="8380" width="33.85546875" style="1" bestFit="1" customWidth="1"/>
    <col min="8381" max="8381" width="9.5703125" style="1" bestFit="1" customWidth="1"/>
    <col min="8382" max="8382" width="35.85546875" style="1" bestFit="1" customWidth="1"/>
    <col min="8383" max="8383" width="33.85546875" style="1" bestFit="1" customWidth="1"/>
    <col min="8384" max="8384" width="9.5703125" style="1" bestFit="1" customWidth="1"/>
    <col min="8385" max="8385" width="35.85546875" style="1" bestFit="1" customWidth="1"/>
    <col min="8386" max="8386" width="33.85546875" style="1" bestFit="1" customWidth="1"/>
    <col min="8387" max="8387" width="9.5703125" style="1" bestFit="1" customWidth="1"/>
    <col min="8388" max="8388" width="35.85546875" style="1" bestFit="1" customWidth="1"/>
    <col min="8389" max="8389" width="33.85546875" style="1" bestFit="1" customWidth="1"/>
    <col min="8390" max="8390" width="9.5703125" style="1" bestFit="1" customWidth="1"/>
    <col min="8391" max="8391" width="35.85546875" style="1" bestFit="1" customWidth="1"/>
    <col min="8392" max="8392" width="33.85546875" style="1" bestFit="1" customWidth="1"/>
    <col min="8393" max="8393" width="9.5703125" style="1" bestFit="1" customWidth="1"/>
    <col min="8394" max="8394" width="35.85546875" style="1" bestFit="1" customWidth="1"/>
    <col min="8395" max="8395" width="33.85546875" style="1" bestFit="1" customWidth="1"/>
    <col min="8396" max="8396" width="9.5703125" style="1" bestFit="1" customWidth="1"/>
    <col min="8397" max="8397" width="35.85546875" style="1" bestFit="1" customWidth="1"/>
    <col min="8398" max="8398" width="33.85546875" style="1" bestFit="1" customWidth="1"/>
    <col min="8399" max="8399" width="9.5703125" style="1" bestFit="1" customWidth="1"/>
    <col min="8400" max="8400" width="35.85546875" style="1" bestFit="1" customWidth="1"/>
    <col min="8401" max="8401" width="33.85546875" style="1" bestFit="1" customWidth="1"/>
    <col min="8402" max="8402" width="9.5703125" style="1" bestFit="1" customWidth="1"/>
    <col min="8403" max="8403" width="35.85546875" style="1" bestFit="1" customWidth="1"/>
    <col min="8404" max="8404" width="33.85546875" style="1" bestFit="1" customWidth="1"/>
    <col min="8405" max="8405" width="9.5703125" style="1" bestFit="1" customWidth="1"/>
    <col min="8406" max="8406" width="35.85546875" style="1" bestFit="1" customWidth="1"/>
    <col min="8407" max="8407" width="33.85546875" style="1" bestFit="1" customWidth="1"/>
    <col min="8408" max="8408" width="9.5703125" style="1" bestFit="1" customWidth="1"/>
    <col min="8409" max="8409" width="35.85546875" style="1" bestFit="1" customWidth="1"/>
    <col min="8410" max="8410" width="33.85546875" style="1" bestFit="1" customWidth="1"/>
    <col min="8411" max="8411" width="9.5703125" style="1" bestFit="1" customWidth="1"/>
    <col min="8412" max="8412" width="35.85546875" style="1" bestFit="1" customWidth="1"/>
    <col min="8413" max="8413" width="33.85546875" style="1" bestFit="1" customWidth="1"/>
    <col min="8414" max="8414" width="9.5703125" style="1" bestFit="1" customWidth="1"/>
    <col min="8415" max="8415" width="35.85546875" style="1" bestFit="1" customWidth="1"/>
    <col min="8416" max="8416" width="33.85546875" style="1" bestFit="1" customWidth="1"/>
    <col min="8417" max="8417" width="9.5703125" style="1" bestFit="1" customWidth="1"/>
    <col min="8418" max="8418" width="35.85546875" style="1" bestFit="1" customWidth="1"/>
    <col min="8419" max="8419" width="33.85546875" style="1" bestFit="1" customWidth="1"/>
    <col min="8420" max="8420" width="9.5703125" style="1" bestFit="1" customWidth="1"/>
    <col min="8421" max="8421" width="35.85546875" style="1" bestFit="1" customWidth="1"/>
    <col min="8422" max="8422" width="33.85546875" style="1" bestFit="1" customWidth="1"/>
    <col min="8423" max="8423" width="9.5703125" style="1" bestFit="1" customWidth="1"/>
    <col min="8424" max="8424" width="35.85546875" style="1" bestFit="1" customWidth="1"/>
    <col min="8425" max="8425" width="33.85546875" style="1" bestFit="1" customWidth="1"/>
    <col min="8426" max="8426" width="9.5703125" style="1" bestFit="1" customWidth="1"/>
    <col min="8427" max="8427" width="35.85546875" style="1" bestFit="1" customWidth="1"/>
    <col min="8428" max="8428" width="33.85546875" style="1" bestFit="1" customWidth="1"/>
    <col min="8429" max="8429" width="9.5703125" style="1" bestFit="1" customWidth="1"/>
    <col min="8430" max="8430" width="35.85546875" style="1" bestFit="1" customWidth="1"/>
    <col min="8431" max="8431" width="33.85546875" style="1" bestFit="1" customWidth="1"/>
    <col min="8432" max="8432" width="9.5703125" style="1" bestFit="1" customWidth="1"/>
    <col min="8433" max="8433" width="35.85546875" style="1" bestFit="1" customWidth="1"/>
    <col min="8434" max="8434" width="33.85546875" style="1" bestFit="1" customWidth="1"/>
    <col min="8435" max="8435" width="9.5703125" style="1" bestFit="1" customWidth="1"/>
    <col min="8436" max="8436" width="35.85546875" style="1" bestFit="1" customWidth="1"/>
    <col min="8437" max="8437" width="33.85546875" style="1" bestFit="1" customWidth="1"/>
    <col min="8438" max="8438" width="9.5703125" style="1" bestFit="1" customWidth="1"/>
    <col min="8439" max="8439" width="35.85546875" style="1" bestFit="1" customWidth="1"/>
    <col min="8440" max="8440" width="33.85546875" style="1" bestFit="1" customWidth="1"/>
    <col min="8441" max="8441" width="9.5703125" style="1" bestFit="1" customWidth="1"/>
    <col min="8442" max="8442" width="35.85546875" style="1" bestFit="1" customWidth="1"/>
    <col min="8443" max="8443" width="33.85546875" style="1" bestFit="1" customWidth="1"/>
    <col min="8444" max="8444" width="9.5703125" style="1" bestFit="1" customWidth="1"/>
    <col min="8445" max="8445" width="35.85546875" style="1" bestFit="1" customWidth="1"/>
    <col min="8446" max="8446" width="33.85546875" style="1" bestFit="1" customWidth="1"/>
    <col min="8447" max="8447" width="9.5703125" style="1" bestFit="1" customWidth="1"/>
    <col min="8448" max="8448" width="35.85546875" style="1" bestFit="1" customWidth="1"/>
    <col min="8449" max="8449" width="33.85546875" style="1" bestFit="1" customWidth="1"/>
    <col min="8450" max="8450" width="9.5703125" style="1" bestFit="1" customWidth="1"/>
    <col min="8451" max="8451" width="35.85546875" style="1" bestFit="1" customWidth="1"/>
    <col min="8452" max="8452" width="33.85546875" style="1" bestFit="1" customWidth="1"/>
    <col min="8453" max="8453" width="9.5703125" style="1" bestFit="1" customWidth="1"/>
    <col min="8454" max="8454" width="35.85546875" style="1" bestFit="1" customWidth="1"/>
    <col min="8455" max="8455" width="33.85546875" style="1" bestFit="1" customWidth="1"/>
    <col min="8456" max="8456" width="9.5703125" style="1" bestFit="1" customWidth="1"/>
    <col min="8457" max="8457" width="35.85546875" style="1" bestFit="1" customWidth="1"/>
    <col min="8458" max="8458" width="33.85546875" style="1" bestFit="1" customWidth="1"/>
    <col min="8459" max="8459" width="9.5703125" style="1" bestFit="1" customWidth="1"/>
    <col min="8460" max="8460" width="35.85546875" style="1" bestFit="1" customWidth="1"/>
    <col min="8461" max="8461" width="33.85546875" style="1" bestFit="1" customWidth="1"/>
    <col min="8462" max="8462" width="9.5703125" style="1" bestFit="1" customWidth="1"/>
    <col min="8463" max="8463" width="35.85546875" style="1" bestFit="1" customWidth="1"/>
    <col min="8464" max="8464" width="33.85546875" style="1" bestFit="1" customWidth="1"/>
    <col min="8465" max="8465" width="9.5703125" style="1" bestFit="1" customWidth="1"/>
    <col min="8466" max="8466" width="35.85546875" style="1" bestFit="1" customWidth="1"/>
    <col min="8467" max="8467" width="33.85546875" style="1" bestFit="1" customWidth="1"/>
    <col min="8468" max="8468" width="9.5703125" style="1" bestFit="1" customWidth="1"/>
    <col min="8469" max="8469" width="35.85546875" style="1" bestFit="1" customWidth="1"/>
    <col min="8470" max="8470" width="33.85546875" style="1" bestFit="1" customWidth="1"/>
    <col min="8471" max="8471" width="9.5703125" style="1" bestFit="1" customWidth="1"/>
    <col min="8472" max="8534" width="22.140625" style="1"/>
    <col min="8535" max="8535" width="40.42578125" style="1" customWidth="1"/>
    <col min="8536" max="8536" width="25.42578125" style="1" bestFit="1" customWidth="1"/>
    <col min="8537" max="8537" width="23.85546875" style="1" bestFit="1" customWidth="1"/>
    <col min="8538" max="8538" width="41.85546875" style="1" customWidth="1"/>
    <col min="8539" max="8539" width="26.42578125" style="1" bestFit="1" customWidth="1"/>
    <col min="8540" max="8541" width="16.42578125" style="1" customWidth="1"/>
    <col min="8542" max="8542" width="19.42578125" style="1" customWidth="1"/>
    <col min="8543" max="8543" width="16" style="1" customWidth="1"/>
    <col min="8544" max="8544" width="16.5703125" style="1" customWidth="1"/>
    <col min="8545" max="8545" width="7.5703125" style="1" bestFit="1" customWidth="1"/>
    <col min="8546" max="8546" width="16.5703125" style="1" customWidth="1"/>
    <col min="8547" max="8547" width="17.140625" style="1" customWidth="1"/>
    <col min="8548" max="8571" width="0" style="1" hidden="1" customWidth="1"/>
    <col min="8572" max="8572" width="35.85546875" style="1" bestFit="1" customWidth="1"/>
    <col min="8573" max="8573" width="33.85546875" style="1" bestFit="1" customWidth="1"/>
    <col min="8574" max="8574" width="9.5703125" style="1" bestFit="1" customWidth="1"/>
    <col min="8575" max="8575" width="35.85546875" style="1" bestFit="1" customWidth="1"/>
    <col min="8576" max="8576" width="33.85546875" style="1" bestFit="1" customWidth="1"/>
    <col min="8577" max="8577" width="9.5703125" style="1" bestFit="1" customWidth="1"/>
    <col min="8578" max="8578" width="35.85546875" style="1" bestFit="1" customWidth="1"/>
    <col min="8579" max="8579" width="33.85546875" style="1" bestFit="1" customWidth="1"/>
    <col min="8580" max="8580" width="9.5703125" style="1" bestFit="1" customWidth="1"/>
    <col min="8581" max="8581" width="35.85546875" style="1" bestFit="1" customWidth="1"/>
    <col min="8582" max="8582" width="33.85546875" style="1" bestFit="1" customWidth="1"/>
    <col min="8583" max="8583" width="9.5703125" style="1" bestFit="1" customWidth="1"/>
    <col min="8584" max="8584" width="35.85546875" style="1" bestFit="1" customWidth="1"/>
    <col min="8585" max="8585" width="33.85546875" style="1" bestFit="1" customWidth="1"/>
    <col min="8586" max="8586" width="9.5703125" style="1" bestFit="1" customWidth="1"/>
    <col min="8587" max="8587" width="35.85546875" style="1" bestFit="1" customWidth="1"/>
    <col min="8588" max="8588" width="33.85546875" style="1" bestFit="1" customWidth="1"/>
    <col min="8589" max="8589" width="9.5703125" style="1" bestFit="1" customWidth="1"/>
    <col min="8590" max="8590" width="35.85546875" style="1" bestFit="1" customWidth="1"/>
    <col min="8591" max="8591" width="33.85546875" style="1" bestFit="1" customWidth="1"/>
    <col min="8592" max="8592" width="9.5703125" style="1" bestFit="1" customWidth="1"/>
    <col min="8593" max="8593" width="35.85546875" style="1" bestFit="1" customWidth="1"/>
    <col min="8594" max="8594" width="33.85546875" style="1" bestFit="1" customWidth="1"/>
    <col min="8595" max="8595" width="9.5703125" style="1" bestFit="1" customWidth="1"/>
    <col min="8596" max="8596" width="35.85546875" style="1" bestFit="1" customWidth="1"/>
    <col min="8597" max="8597" width="33.85546875" style="1" bestFit="1" customWidth="1"/>
    <col min="8598" max="8598" width="9.5703125" style="1" bestFit="1" customWidth="1"/>
    <col min="8599" max="8599" width="35.85546875" style="1" bestFit="1" customWidth="1"/>
    <col min="8600" max="8600" width="33.85546875" style="1" bestFit="1" customWidth="1"/>
    <col min="8601" max="8601" width="9.5703125" style="1" bestFit="1" customWidth="1"/>
    <col min="8602" max="8602" width="35.85546875" style="1" bestFit="1" customWidth="1"/>
    <col min="8603" max="8603" width="33.85546875" style="1" bestFit="1" customWidth="1"/>
    <col min="8604" max="8604" width="9.5703125" style="1" bestFit="1" customWidth="1"/>
    <col min="8605" max="8605" width="35.85546875" style="1" bestFit="1" customWidth="1"/>
    <col min="8606" max="8606" width="33.85546875" style="1" bestFit="1" customWidth="1"/>
    <col min="8607" max="8607" width="9.5703125" style="1" bestFit="1" customWidth="1"/>
    <col min="8608" max="8608" width="35.85546875" style="1" bestFit="1" customWidth="1"/>
    <col min="8609" max="8609" width="33.85546875" style="1" bestFit="1" customWidth="1"/>
    <col min="8610" max="8610" width="9.5703125" style="1" bestFit="1" customWidth="1"/>
    <col min="8611" max="8611" width="35.85546875" style="1" bestFit="1" customWidth="1"/>
    <col min="8612" max="8612" width="33.85546875" style="1" bestFit="1" customWidth="1"/>
    <col min="8613" max="8613" width="9.5703125" style="1" bestFit="1" customWidth="1"/>
    <col min="8614" max="8614" width="35.85546875" style="1" bestFit="1" customWidth="1"/>
    <col min="8615" max="8615" width="33.85546875" style="1" bestFit="1" customWidth="1"/>
    <col min="8616" max="8616" width="9.5703125" style="1" bestFit="1" customWidth="1"/>
    <col min="8617" max="8617" width="35.85546875" style="1" bestFit="1" customWidth="1"/>
    <col min="8618" max="8618" width="33.85546875" style="1" bestFit="1" customWidth="1"/>
    <col min="8619" max="8619" width="9.5703125" style="1" bestFit="1" customWidth="1"/>
    <col min="8620" max="8620" width="35.85546875" style="1" bestFit="1" customWidth="1"/>
    <col min="8621" max="8621" width="33.85546875" style="1" bestFit="1" customWidth="1"/>
    <col min="8622" max="8622" width="9.5703125" style="1" bestFit="1" customWidth="1"/>
    <col min="8623" max="8623" width="35.85546875" style="1" bestFit="1" customWidth="1"/>
    <col min="8624" max="8624" width="33.85546875" style="1" bestFit="1" customWidth="1"/>
    <col min="8625" max="8625" width="9.5703125" style="1" bestFit="1" customWidth="1"/>
    <col min="8626" max="8626" width="35.85546875" style="1" bestFit="1" customWidth="1"/>
    <col min="8627" max="8627" width="33.85546875" style="1" bestFit="1" customWidth="1"/>
    <col min="8628" max="8628" width="9.5703125" style="1" bestFit="1" customWidth="1"/>
    <col min="8629" max="8629" width="35.85546875" style="1" bestFit="1" customWidth="1"/>
    <col min="8630" max="8630" width="33.85546875" style="1" bestFit="1" customWidth="1"/>
    <col min="8631" max="8631" width="9.5703125" style="1" bestFit="1" customWidth="1"/>
    <col min="8632" max="8632" width="35.85546875" style="1" bestFit="1" customWidth="1"/>
    <col min="8633" max="8633" width="33.85546875" style="1" bestFit="1" customWidth="1"/>
    <col min="8634" max="8634" width="9.5703125" style="1" bestFit="1" customWidth="1"/>
    <col min="8635" max="8635" width="35.85546875" style="1" bestFit="1" customWidth="1"/>
    <col min="8636" max="8636" width="33.85546875" style="1" bestFit="1" customWidth="1"/>
    <col min="8637" max="8637" width="9.5703125" style="1" bestFit="1" customWidth="1"/>
    <col min="8638" max="8638" width="35.85546875" style="1" bestFit="1" customWidth="1"/>
    <col min="8639" max="8639" width="33.85546875" style="1" bestFit="1" customWidth="1"/>
    <col min="8640" max="8640" width="9.5703125" style="1" bestFit="1" customWidth="1"/>
    <col min="8641" max="8641" width="35.85546875" style="1" bestFit="1" customWidth="1"/>
    <col min="8642" max="8642" width="33.85546875" style="1" bestFit="1" customWidth="1"/>
    <col min="8643" max="8643" width="9.5703125" style="1" bestFit="1" customWidth="1"/>
    <col min="8644" max="8644" width="35.85546875" style="1" bestFit="1" customWidth="1"/>
    <col min="8645" max="8645" width="33.85546875" style="1" bestFit="1" customWidth="1"/>
    <col min="8646" max="8646" width="9.5703125" style="1" bestFit="1" customWidth="1"/>
    <col min="8647" max="8647" width="35.85546875" style="1" bestFit="1" customWidth="1"/>
    <col min="8648" max="8648" width="33.85546875" style="1" bestFit="1" customWidth="1"/>
    <col min="8649" max="8649" width="9.5703125" style="1" bestFit="1" customWidth="1"/>
    <col min="8650" max="8650" width="35.85546875" style="1" bestFit="1" customWidth="1"/>
    <col min="8651" max="8651" width="33.85546875" style="1" bestFit="1" customWidth="1"/>
    <col min="8652" max="8652" width="9.5703125" style="1" bestFit="1" customWidth="1"/>
    <col min="8653" max="8653" width="35.85546875" style="1" bestFit="1" customWidth="1"/>
    <col min="8654" max="8654" width="33.85546875" style="1" bestFit="1" customWidth="1"/>
    <col min="8655" max="8655" width="9.5703125" style="1" bestFit="1" customWidth="1"/>
    <col min="8656" max="8656" width="35.85546875" style="1" bestFit="1" customWidth="1"/>
    <col min="8657" max="8657" width="33.85546875" style="1" bestFit="1" customWidth="1"/>
    <col min="8658" max="8658" width="9.5703125" style="1" bestFit="1" customWidth="1"/>
    <col min="8659" max="8659" width="35.85546875" style="1" bestFit="1" customWidth="1"/>
    <col min="8660" max="8660" width="33.85546875" style="1" bestFit="1" customWidth="1"/>
    <col min="8661" max="8661" width="9.5703125" style="1" bestFit="1" customWidth="1"/>
    <col min="8662" max="8662" width="35.85546875" style="1" bestFit="1" customWidth="1"/>
    <col min="8663" max="8663" width="33.85546875" style="1" bestFit="1" customWidth="1"/>
    <col min="8664" max="8664" width="9.5703125" style="1" bestFit="1" customWidth="1"/>
    <col min="8665" max="8665" width="35.85546875" style="1" bestFit="1" customWidth="1"/>
    <col min="8666" max="8666" width="33.85546875" style="1" bestFit="1" customWidth="1"/>
    <col min="8667" max="8667" width="9.5703125" style="1" bestFit="1" customWidth="1"/>
    <col min="8668" max="8668" width="35.85546875" style="1" bestFit="1" customWidth="1"/>
    <col min="8669" max="8669" width="33.85546875" style="1" bestFit="1" customWidth="1"/>
    <col min="8670" max="8670" width="9.5703125" style="1" bestFit="1" customWidth="1"/>
    <col min="8671" max="8671" width="35.85546875" style="1" bestFit="1" customWidth="1"/>
    <col min="8672" max="8672" width="33.85546875" style="1" bestFit="1" customWidth="1"/>
    <col min="8673" max="8673" width="9.5703125" style="1" bestFit="1" customWidth="1"/>
    <col min="8674" max="8674" width="35.85546875" style="1" bestFit="1" customWidth="1"/>
    <col min="8675" max="8675" width="33.85546875" style="1" bestFit="1" customWidth="1"/>
    <col min="8676" max="8676" width="9.5703125" style="1" bestFit="1" customWidth="1"/>
    <col min="8677" max="8677" width="35.85546875" style="1" bestFit="1" customWidth="1"/>
    <col min="8678" max="8678" width="33.85546875" style="1" bestFit="1" customWidth="1"/>
    <col min="8679" max="8679" width="9.5703125" style="1" bestFit="1" customWidth="1"/>
    <col min="8680" max="8680" width="35.85546875" style="1" bestFit="1" customWidth="1"/>
    <col min="8681" max="8681" width="33.85546875" style="1" bestFit="1" customWidth="1"/>
    <col min="8682" max="8682" width="9.5703125" style="1" bestFit="1" customWidth="1"/>
    <col min="8683" max="8683" width="35.85546875" style="1" bestFit="1" customWidth="1"/>
    <col min="8684" max="8684" width="33.85546875" style="1" bestFit="1" customWidth="1"/>
    <col min="8685" max="8685" width="9.5703125" style="1" bestFit="1" customWidth="1"/>
    <col min="8686" max="8686" width="35.85546875" style="1" bestFit="1" customWidth="1"/>
    <col min="8687" max="8687" width="33.85546875" style="1" bestFit="1" customWidth="1"/>
    <col min="8688" max="8688" width="9.5703125" style="1" bestFit="1" customWidth="1"/>
    <col min="8689" max="8689" width="35.85546875" style="1" bestFit="1" customWidth="1"/>
    <col min="8690" max="8690" width="33.85546875" style="1" bestFit="1" customWidth="1"/>
    <col min="8691" max="8691" width="9.5703125" style="1" bestFit="1" customWidth="1"/>
    <col min="8692" max="8692" width="35.85546875" style="1" bestFit="1" customWidth="1"/>
    <col min="8693" max="8693" width="33.85546875" style="1" bestFit="1" customWidth="1"/>
    <col min="8694" max="8694" width="9.5703125" style="1" bestFit="1" customWidth="1"/>
    <col min="8695" max="8695" width="35.85546875" style="1" bestFit="1" customWidth="1"/>
    <col min="8696" max="8696" width="33.85546875" style="1" bestFit="1" customWidth="1"/>
    <col min="8697" max="8697" width="9.5703125" style="1" bestFit="1" customWidth="1"/>
    <col min="8698" max="8698" width="35.85546875" style="1" bestFit="1" customWidth="1"/>
    <col min="8699" max="8699" width="33.85546875" style="1" bestFit="1" customWidth="1"/>
    <col min="8700" max="8700" width="9.5703125" style="1" bestFit="1" customWidth="1"/>
    <col min="8701" max="8701" width="35.85546875" style="1" bestFit="1" customWidth="1"/>
    <col min="8702" max="8702" width="33.85546875" style="1" bestFit="1" customWidth="1"/>
    <col min="8703" max="8703" width="9.5703125" style="1" bestFit="1" customWidth="1"/>
    <col min="8704" max="8704" width="35.85546875" style="1" bestFit="1" customWidth="1"/>
    <col min="8705" max="8705" width="33.85546875" style="1" bestFit="1" customWidth="1"/>
    <col min="8706" max="8706" width="9.5703125" style="1" bestFit="1" customWidth="1"/>
    <col min="8707" max="8707" width="35.85546875" style="1" bestFit="1" customWidth="1"/>
    <col min="8708" max="8708" width="33.85546875" style="1" bestFit="1" customWidth="1"/>
    <col min="8709" max="8709" width="9.5703125" style="1" bestFit="1" customWidth="1"/>
    <col min="8710" max="8710" width="35.85546875" style="1" bestFit="1" customWidth="1"/>
    <col min="8711" max="8711" width="33.85546875" style="1" bestFit="1" customWidth="1"/>
    <col min="8712" max="8712" width="9.5703125" style="1" bestFit="1" customWidth="1"/>
    <col min="8713" max="8713" width="35.85546875" style="1" bestFit="1" customWidth="1"/>
    <col min="8714" max="8714" width="33.85546875" style="1" bestFit="1" customWidth="1"/>
    <col min="8715" max="8715" width="9.5703125" style="1" bestFit="1" customWidth="1"/>
    <col min="8716" max="8716" width="35.85546875" style="1" bestFit="1" customWidth="1"/>
    <col min="8717" max="8717" width="33.85546875" style="1" bestFit="1" customWidth="1"/>
    <col min="8718" max="8718" width="9.5703125" style="1" bestFit="1" customWidth="1"/>
    <col min="8719" max="8719" width="35.85546875" style="1" bestFit="1" customWidth="1"/>
    <col min="8720" max="8720" width="33.85546875" style="1" bestFit="1" customWidth="1"/>
    <col min="8721" max="8721" width="9.5703125" style="1" bestFit="1" customWidth="1"/>
    <col min="8722" max="8722" width="35.85546875" style="1" bestFit="1" customWidth="1"/>
    <col min="8723" max="8723" width="33.85546875" style="1" bestFit="1" customWidth="1"/>
    <col min="8724" max="8724" width="9.5703125" style="1" bestFit="1" customWidth="1"/>
    <col min="8725" max="8725" width="35.85546875" style="1" bestFit="1" customWidth="1"/>
    <col min="8726" max="8726" width="33.85546875" style="1" bestFit="1" customWidth="1"/>
    <col min="8727" max="8727" width="9.5703125" style="1" bestFit="1" customWidth="1"/>
    <col min="8728" max="8790" width="22.140625" style="1"/>
    <col min="8791" max="8791" width="40.42578125" style="1" customWidth="1"/>
    <col min="8792" max="8792" width="25.42578125" style="1" bestFit="1" customWidth="1"/>
    <col min="8793" max="8793" width="23.85546875" style="1" bestFit="1" customWidth="1"/>
    <col min="8794" max="8794" width="41.85546875" style="1" customWidth="1"/>
    <col min="8795" max="8795" width="26.42578125" style="1" bestFit="1" customWidth="1"/>
    <col min="8796" max="8797" width="16.42578125" style="1" customWidth="1"/>
    <col min="8798" max="8798" width="19.42578125" style="1" customWidth="1"/>
    <col min="8799" max="8799" width="16" style="1" customWidth="1"/>
    <col min="8800" max="8800" width="16.5703125" style="1" customWidth="1"/>
    <col min="8801" max="8801" width="7.5703125" style="1" bestFit="1" customWidth="1"/>
    <col min="8802" max="8802" width="16.5703125" style="1" customWidth="1"/>
    <col min="8803" max="8803" width="17.140625" style="1" customWidth="1"/>
    <col min="8804" max="8827" width="0" style="1" hidden="1" customWidth="1"/>
    <col min="8828" max="8828" width="35.85546875" style="1" bestFit="1" customWidth="1"/>
    <col min="8829" max="8829" width="33.85546875" style="1" bestFit="1" customWidth="1"/>
    <col min="8830" max="8830" width="9.5703125" style="1" bestFit="1" customWidth="1"/>
    <col min="8831" max="8831" width="35.85546875" style="1" bestFit="1" customWidth="1"/>
    <col min="8832" max="8832" width="33.85546875" style="1" bestFit="1" customWidth="1"/>
    <col min="8833" max="8833" width="9.5703125" style="1" bestFit="1" customWidth="1"/>
    <col min="8834" max="8834" width="35.85546875" style="1" bestFit="1" customWidth="1"/>
    <col min="8835" max="8835" width="33.85546875" style="1" bestFit="1" customWidth="1"/>
    <col min="8836" max="8836" width="9.5703125" style="1" bestFit="1" customWidth="1"/>
    <col min="8837" max="8837" width="35.85546875" style="1" bestFit="1" customWidth="1"/>
    <col min="8838" max="8838" width="33.85546875" style="1" bestFit="1" customWidth="1"/>
    <col min="8839" max="8839" width="9.5703125" style="1" bestFit="1" customWidth="1"/>
    <col min="8840" max="8840" width="35.85546875" style="1" bestFit="1" customWidth="1"/>
    <col min="8841" max="8841" width="33.85546875" style="1" bestFit="1" customWidth="1"/>
    <col min="8842" max="8842" width="9.5703125" style="1" bestFit="1" customWidth="1"/>
    <col min="8843" max="8843" width="35.85546875" style="1" bestFit="1" customWidth="1"/>
    <col min="8844" max="8844" width="33.85546875" style="1" bestFit="1" customWidth="1"/>
    <col min="8845" max="8845" width="9.5703125" style="1" bestFit="1" customWidth="1"/>
    <col min="8846" max="8846" width="35.85546875" style="1" bestFit="1" customWidth="1"/>
    <col min="8847" max="8847" width="33.85546875" style="1" bestFit="1" customWidth="1"/>
    <col min="8848" max="8848" width="9.5703125" style="1" bestFit="1" customWidth="1"/>
    <col min="8849" max="8849" width="35.85546875" style="1" bestFit="1" customWidth="1"/>
    <col min="8850" max="8850" width="33.85546875" style="1" bestFit="1" customWidth="1"/>
    <col min="8851" max="8851" width="9.5703125" style="1" bestFit="1" customWidth="1"/>
    <col min="8852" max="8852" width="35.85546875" style="1" bestFit="1" customWidth="1"/>
    <col min="8853" max="8853" width="33.85546875" style="1" bestFit="1" customWidth="1"/>
    <col min="8854" max="8854" width="9.5703125" style="1" bestFit="1" customWidth="1"/>
    <col min="8855" max="8855" width="35.85546875" style="1" bestFit="1" customWidth="1"/>
    <col min="8856" max="8856" width="33.85546875" style="1" bestFit="1" customWidth="1"/>
    <col min="8857" max="8857" width="9.5703125" style="1" bestFit="1" customWidth="1"/>
    <col min="8858" max="8858" width="35.85546875" style="1" bestFit="1" customWidth="1"/>
    <col min="8859" max="8859" width="33.85546875" style="1" bestFit="1" customWidth="1"/>
    <col min="8860" max="8860" width="9.5703125" style="1" bestFit="1" customWidth="1"/>
    <col min="8861" max="8861" width="35.85546875" style="1" bestFit="1" customWidth="1"/>
    <col min="8862" max="8862" width="33.85546875" style="1" bestFit="1" customWidth="1"/>
    <col min="8863" max="8863" width="9.5703125" style="1" bestFit="1" customWidth="1"/>
    <col min="8864" max="8864" width="35.85546875" style="1" bestFit="1" customWidth="1"/>
    <col min="8865" max="8865" width="33.85546875" style="1" bestFit="1" customWidth="1"/>
    <col min="8866" max="8866" width="9.5703125" style="1" bestFit="1" customWidth="1"/>
    <col min="8867" max="8867" width="35.85546875" style="1" bestFit="1" customWidth="1"/>
    <col min="8868" max="8868" width="33.85546875" style="1" bestFit="1" customWidth="1"/>
    <col min="8869" max="8869" width="9.5703125" style="1" bestFit="1" customWidth="1"/>
    <col min="8870" max="8870" width="35.85546875" style="1" bestFit="1" customWidth="1"/>
    <col min="8871" max="8871" width="33.85546875" style="1" bestFit="1" customWidth="1"/>
    <col min="8872" max="8872" width="9.5703125" style="1" bestFit="1" customWidth="1"/>
    <col min="8873" max="8873" width="35.85546875" style="1" bestFit="1" customWidth="1"/>
    <col min="8874" max="8874" width="33.85546875" style="1" bestFit="1" customWidth="1"/>
    <col min="8875" max="8875" width="9.5703125" style="1" bestFit="1" customWidth="1"/>
    <col min="8876" max="8876" width="35.85546875" style="1" bestFit="1" customWidth="1"/>
    <col min="8877" max="8877" width="33.85546875" style="1" bestFit="1" customWidth="1"/>
    <col min="8878" max="8878" width="9.5703125" style="1" bestFit="1" customWidth="1"/>
    <col min="8879" max="8879" width="35.85546875" style="1" bestFit="1" customWidth="1"/>
    <col min="8880" max="8880" width="33.85546875" style="1" bestFit="1" customWidth="1"/>
    <col min="8881" max="8881" width="9.5703125" style="1" bestFit="1" customWidth="1"/>
    <col min="8882" max="8882" width="35.85546875" style="1" bestFit="1" customWidth="1"/>
    <col min="8883" max="8883" width="33.85546875" style="1" bestFit="1" customWidth="1"/>
    <col min="8884" max="8884" width="9.5703125" style="1" bestFit="1" customWidth="1"/>
    <col min="8885" max="8885" width="35.85546875" style="1" bestFit="1" customWidth="1"/>
    <col min="8886" max="8886" width="33.85546875" style="1" bestFit="1" customWidth="1"/>
    <col min="8887" max="8887" width="9.5703125" style="1" bestFit="1" customWidth="1"/>
    <col min="8888" max="8888" width="35.85546875" style="1" bestFit="1" customWidth="1"/>
    <col min="8889" max="8889" width="33.85546875" style="1" bestFit="1" customWidth="1"/>
    <col min="8890" max="8890" width="9.5703125" style="1" bestFit="1" customWidth="1"/>
    <col min="8891" max="8891" width="35.85546875" style="1" bestFit="1" customWidth="1"/>
    <col min="8892" max="8892" width="33.85546875" style="1" bestFit="1" customWidth="1"/>
    <col min="8893" max="8893" width="9.5703125" style="1" bestFit="1" customWidth="1"/>
    <col min="8894" max="8894" width="35.85546875" style="1" bestFit="1" customWidth="1"/>
    <col min="8895" max="8895" width="33.85546875" style="1" bestFit="1" customWidth="1"/>
    <col min="8896" max="8896" width="9.5703125" style="1" bestFit="1" customWidth="1"/>
    <col min="8897" max="8897" width="35.85546875" style="1" bestFit="1" customWidth="1"/>
    <col min="8898" max="8898" width="33.85546875" style="1" bestFit="1" customWidth="1"/>
    <col min="8899" max="8899" width="9.5703125" style="1" bestFit="1" customWidth="1"/>
    <col min="8900" max="8900" width="35.85546875" style="1" bestFit="1" customWidth="1"/>
    <col min="8901" max="8901" width="33.85546875" style="1" bestFit="1" customWidth="1"/>
    <col min="8902" max="8902" width="9.5703125" style="1" bestFit="1" customWidth="1"/>
    <col min="8903" max="8903" width="35.85546875" style="1" bestFit="1" customWidth="1"/>
    <col min="8904" max="8904" width="33.85546875" style="1" bestFit="1" customWidth="1"/>
    <col min="8905" max="8905" width="9.5703125" style="1" bestFit="1" customWidth="1"/>
    <col min="8906" max="8906" width="35.85546875" style="1" bestFit="1" customWidth="1"/>
    <col min="8907" max="8907" width="33.85546875" style="1" bestFit="1" customWidth="1"/>
    <col min="8908" max="8908" width="9.5703125" style="1" bestFit="1" customWidth="1"/>
    <col min="8909" max="8909" width="35.85546875" style="1" bestFit="1" customWidth="1"/>
    <col min="8910" max="8910" width="33.85546875" style="1" bestFit="1" customWidth="1"/>
    <col min="8911" max="8911" width="9.5703125" style="1" bestFit="1" customWidth="1"/>
    <col min="8912" max="8912" width="35.85546875" style="1" bestFit="1" customWidth="1"/>
    <col min="8913" max="8913" width="33.85546875" style="1" bestFit="1" customWidth="1"/>
    <col min="8914" max="8914" width="9.5703125" style="1" bestFit="1" customWidth="1"/>
    <col min="8915" max="8915" width="35.85546875" style="1" bestFit="1" customWidth="1"/>
    <col min="8916" max="8916" width="33.85546875" style="1" bestFit="1" customWidth="1"/>
    <col min="8917" max="8917" width="9.5703125" style="1" bestFit="1" customWidth="1"/>
    <col min="8918" max="8918" width="35.85546875" style="1" bestFit="1" customWidth="1"/>
    <col min="8919" max="8919" width="33.85546875" style="1" bestFit="1" customWidth="1"/>
    <col min="8920" max="8920" width="9.5703125" style="1" bestFit="1" customWidth="1"/>
    <col min="8921" max="8921" width="35.85546875" style="1" bestFit="1" customWidth="1"/>
    <col min="8922" max="8922" width="33.85546875" style="1" bestFit="1" customWidth="1"/>
    <col min="8923" max="8923" width="9.5703125" style="1" bestFit="1" customWidth="1"/>
    <col min="8924" max="8924" width="35.85546875" style="1" bestFit="1" customWidth="1"/>
    <col min="8925" max="8925" width="33.85546875" style="1" bestFit="1" customWidth="1"/>
    <col min="8926" max="8926" width="9.5703125" style="1" bestFit="1" customWidth="1"/>
    <col min="8927" max="8927" width="35.85546875" style="1" bestFit="1" customWidth="1"/>
    <col min="8928" max="8928" width="33.85546875" style="1" bestFit="1" customWidth="1"/>
    <col min="8929" max="8929" width="9.5703125" style="1" bestFit="1" customWidth="1"/>
    <col min="8930" max="8930" width="35.85546875" style="1" bestFit="1" customWidth="1"/>
    <col min="8931" max="8931" width="33.85546875" style="1" bestFit="1" customWidth="1"/>
    <col min="8932" max="8932" width="9.5703125" style="1" bestFit="1" customWidth="1"/>
    <col min="8933" max="8933" width="35.85546875" style="1" bestFit="1" customWidth="1"/>
    <col min="8934" max="8934" width="33.85546875" style="1" bestFit="1" customWidth="1"/>
    <col min="8935" max="8935" width="9.5703125" style="1" bestFit="1" customWidth="1"/>
    <col min="8936" max="8936" width="35.85546875" style="1" bestFit="1" customWidth="1"/>
    <col min="8937" max="8937" width="33.85546875" style="1" bestFit="1" customWidth="1"/>
    <col min="8938" max="8938" width="9.5703125" style="1" bestFit="1" customWidth="1"/>
    <col min="8939" max="8939" width="35.85546875" style="1" bestFit="1" customWidth="1"/>
    <col min="8940" max="8940" width="33.85546875" style="1" bestFit="1" customWidth="1"/>
    <col min="8941" max="8941" width="9.5703125" style="1" bestFit="1" customWidth="1"/>
    <col min="8942" max="8942" width="35.85546875" style="1" bestFit="1" customWidth="1"/>
    <col min="8943" max="8943" width="33.85546875" style="1" bestFit="1" customWidth="1"/>
    <col min="8944" max="8944" width="9.5703125" style="1" bestFit="1" customWidth="1"/>
    <col min="8945" max="8945" width="35.85546875" style="1" bestFit="1" customWidth="1"/>
    <col min="8946" max="8946" width="33.85546875" style="1" bestFit="1" customWidth="1"/>
    <col min="8947" max="8947" width="9.5703125" style="1" bestFit="1" customWidth="1"/>
    <col min="8948" max="8948" width="35.85546875" style="1" bestFit="1" customWidth="1"/>
    <col min="8949" max="8949" width="33.85546875" style="1" bestFit="1" customWidth="1"/>
    <col min="8950" max="8950" width="9.5703125" style="1" bestFit="1" customWidth="1"/>
    <col min="8951" max="8951" width="35.85546875" style="1" bestFit="1" customWidth="1"/>
    <col min="8952" max="8952" width="33.85546875" style="1" bestFit="1" customWidth="1"/>
    <col min="8953" max="8953" width="9.5703125" style="1" bestFit="1" customWidth="1"/>
    <col min="8954" max="8954" width="35.85546875" style="1" bestFit="1" customWidth="1"/>
    <col min="8955" max="8955" width="33.85546875" style="1" bestFit="1" customWidth="1"/>
    <col min="8956" max="8956" width="9.5703125" style="1" bestFit="1" customWidth="1"/>
    <col min="8957" max="8957" width="35.85546875" style="1" bestFit="1" customWidth="1"/>
    <col min="8958" max="8958" width="33.85546875" style="1" bestFit="1" customWidth="1"/>
    <col min="8959" max="8959" width="9.5703125" style="1" bestFit="1" customWidth="1"/>
    <col min="8960" max="8960" width="35.85546875" style="1" bestFit="1" customWidth="1"/>
    <col min="8961" max="8961" width="33.85546875" style="1" bestFit="1" customWidth="1"/>
    <col min="8962" max="8962" width="9.5703125" style="1" bestFit="1" customWidth="1"/>
    <col min="8963" max="8963" width="35.85546875" style="1" bestFit="1" customWidth="1"/>
    <col min="8964" max="8964" width="33.85546875" style="1" bestFit="1" customWidth="1"/>
    <col min="8965" max="8965" width="9.5703125" style="1" bestFit="1" customWidth="1"/>
    <col min="8966" max="8966" width="35.85546875" style="1" bestFit="1" customWidth="1"/>
    <col min="8967" max="8967" width="33.85546875" style="1" bestFit="1" customWidth="1"/>
    <col min="8968" max="8968" width="9.5703125" style="1" bestFit="1" customWidth="1"/>
    <col min="8969" max="8969" width="35.85546875" style="1" bestFit="1" customWidth="1"/>
    <col min="8970" max="8970" width="33.85546875" style="1" bestFit="1" customWidth="1"/>
    <col min="8971" max="8971" width="9.5703125" style="1" bestFit="1" customWidth="1"/>
    <col min="8972" max="8972" width="35.85546875" style="1" bestFit="1" customWidth="1"/>
    <col min="8973" max="8973" width="33.85546875" style="1" bestFit="1" customWidth="1"/>
    <col min="8974" max="8974" width="9.5703125" style="1" bestFit="1" customWidth="1"/>
    <col min="8975" max="8975" width="35.85546875" style="1" bestFit="1" customWidth="1"/>
    <col min="8976" max="8976" width="33.85546875" style="1" bestFit="1" customWidth="1"/>
    <col min="8977" max="8977" width="9.5703125" style="1" bestFit="1" customWidth="1"/>
    <col min="8978" max="8978" width="35.85546875" style="1" bestFit="1" customWidth="1"/>
    <col min="8979" max="8979" width="33.85546875" style="1" bestFit="1" customWidth="1"/>
    <col min="8980" max="8980" width="9.5703125" style="1" bestFit="1" customWidth="1"/>
    <col min="8981" max="8981" width="35.85546875" style="1" bestFit="1" customWidth="1"/>
    <col min="8982" max="8982" width="33.85546875" style="1" bestFit="1" customWidth="1"/>
    <col min="8983" max="8983" width="9.5703125" style="1" bestFit="1" customWidth="1"/>
    <col min="8984" max="9046" width="22.140625" style="1"/>
    <col min="9047" max="9047" width="40.42578125" style="1" customWidth="1"/>
    <col min="9048" max="9048" width="25.42578125" style="1" bestFit="1" customWidth="1"/>
    <col min="9049" max="9049" width="23.85546875" style="1" bestFit="1" customWidth="1"/>
    <col min="9050" max="9050" width="41.85546875" style="1" customWidth="1"/>
    <col min="9051" max="9051" width="26.42578125" style="1" bestFit="1" customWidth="1"/>
    <col min="9052" max="9053" width="16.42578125" style="1" customWidth="1"/>
    <col min="9054" max="9054" width="19.42578125" style="1" customWidth="1"/>
    <col min="9055" max="9055" width="16" style="1" customWidth="1"/>
    <col min="9056" max="9056" width="16.5703125" style="1" customWidth="1"/>
    <col min="9057" max="9057" width="7.5703125" style="1" bestFit="1" customWidth="1"/>
    <col min="9058" max="9058" width="16.5703125" style="1" customWidth="1"/>
    <col min="9059" max="9059" width="17.140625" style="1" customWidth="1"/>
    <col min="9060" max="9083" width="0" style="1" hidden="1" customWidth="1"/>
    <col min="9084" max="9084" width="35.85546875" style="1" bestFit="1" customWidth="1"/>
    <col min="9085" max="9085" width="33.85546875" style="1" bestFit="1" customWidth="1"/>
    <col min="9086" max="9086" width="9.5703125" style="1" bestFit="1" customWidth="1"/>
    <col min="9087" max="9087" width="35.85546875" style="1" bestFit="1" customWidth="1"/>
    <col min="9088" max="9088" width="33.85546875" style="1" bestFit="1" customWidth="1"/>
    <col min="9089" max="9089" width="9.5703125" style="1" bestFit="1" customWidth="1"/>
    <col min="9090" max="9090" width="35.85546875" style="1" bestFit="1" customWidth="1"/>
    <col min="9091" max="9091" width="33.85546875" style="1" bestFit="1" customWidth="1"/>
    <col min="9092" max="9092" width="9.5703125" style="1" bestFit="1" customWidth="1"/>
    <col min="9093" max="9093" width="35.85546875" style="1" bestFit="1" customWidth="1"/>
    <col min="9094" max="9094" width="33.85546875" style="1" bestFit="1" customWidth="1"/>
    <col min="9095" max="9095" width="9.5703125" style="1" bestFit="1" customWidth="1"/>
    <col min="9096" max="9096" width="35.85546875" style="1" bestFit="1" customWidth="1"/>
    <col min="9097" max="9097" width="33.85546875" style="1" bestFit="1" customWidth="1"/>
    <col min="9098" max="9098" width="9.5703125" style="1" bestFit="1" customWidth="1"/>
    <col min="9099" max="9099" width="35.85546875" style="1" bestFit="1" customWidth="1"/>
    <col min="9100" max="9100" width="33.85546875" style="1" bestFit="1" customWidth="1"/>
    <col min="9101" max="9101" width="9.5703125" style="1" bestFit="1" customWidth="1"/>
    <col min="9102" max="9102" width="35.85546875" style="1" bestFit="1" customWidth="1"/>
    <col min="9103" max="9103" width="33.85546875" style="1" bestFit="1" customWidth="1"/>
    <col min="9104" max="9104" width="9.5703125" style="1" bestFit="1" customWidth="1"/>
    <col min="9105" max="9105" width="35.85546875" style="1" bestFit="1" customWidth="1"/>
    <col min="9106" max="9106" width="33.85546875" style="1" bestFit="1" customWidth="1"/>
    <col min="9107" max="9107" width="9.5703125" style="1" bestFit="1" customWidth="1"/>
    <col min="9108" max="9108" width="35.85546875" style="1" bestFit="1" customWidth="1"/>
    <col min="9109" max="9109" width="33.85546875" style="1" bestFit="1" customWidth="1"/>
    <col min="9110" max="9110" width="9.5703125" style="1" bestFit="1" customWidth="1"/>
    <col min="9111" max="9111" width="35.85546875" style="1" bestFit="1" customWidth="1"/>
    <col min="9112" max="9112" width="33.85546875" style="1" bestFit="1" customWidth="1"/>
    <col min="9113" max="9113" width="9.5703125" style="1" bestFit="1" customWidth="1"/>
    <col min="9114" max="9114" width="35.85546875" style="1" bestFit="1" customWidth="1"/>
    <col min="9115" max="9115" width="33.85546875" style="1" bestFit="1" customWidth="1"/>
    <col min="9116" max="9116" width="9.5703125" style="1" bestFit="1" customWidth="1"/>
    <col min="9117" max="9117" width="35.85546875" style="1" bestFit="1" customWidth="1"/>
    <col min="9118" max="9118" width="33.85546875" style="1" bestFit="1" customWidth="1"/>
    <col min="9119" max="9119" width="9.5703125" style="1" bestFit="1" customWidth="1"/>
    <col min="9120" max="9120" width="35.85546875" style="1" bestFit="1" customWidth="1"/>
    <col min="9121" max="9121" width="33.85546875" style="1" bestFit="1" customWidth="1"/>
    <col min="9122" max="9122" width="9.5703125" style="1" bestFit="1" customWidth="1"/>
    <col min="9123" max="9123" width="35.85546875" style="1" bestFit="1" customWidth="1"/>
    <col min="9124" max="9124" width="33.85546875" style="1" bestFit="1" customWidth="1"/>
    <col min="9125" max="9125" width="9.5703125" style="1" bestFit="1" customWidth="1"/>
    <col min="9126" max="9126" width="35.85546875" style="1" bestFit="1" customWidth="1"/>
    <col min="9127" max="9127" width="33.85546875" style="1" bestFit="1" customWidth="1"/>
    <col min="9128" max="9128" width="9.5703125" style="1" bestFit="1" customWidth="1"/>
    <col min="9129" max="9129" width="35.85546875" style="1" bestFit="1" customWidth="1"/>
    <col min="9130" max="9130" width="33.85546875" style="1" bestFit="1" customWidth="1"/>
    <col min="9131" max="9131" width="9.5703125" style="1" bestFit="1" customWidth="1"/>
    <col min="9132" max="9132" width="35.85546875" style="1" bestFit="1" customWidth="1"/>
    <col min="9133" max="9133" width="33.85546875" style="1" bestFit="1" customWidth="1"/>
    <col min="9134" max="9134" width="9.5703125" style="1" bestFit="1" customWidth="1"/>
    <col min="9135" max="9135" width="35.85546875" style="1" bestFit="1" customWidth="1"/>
    <col min="9136" max="9136" width="33.85546875" style="1" bestFit="1" customWidth="1"/>
    <col min="9137" max="9137" width="9.5703125" style="1" bestFit="1" customWidth="1"/>
    <col min="9138" max="9138" width="35.85546875" style="1" bestFit="1" customWidth="1"/>
    <col min="9139" max="9139" width="33.85546875" style="1" bestFit="1" customWidth="1"/>
    <col min="9140" max="9140" width="9.5703125" style="1" bestFit="1" customWidth="1"/>
    <col min="9141" max="9141" width="35.85546875" style="1" bestFit="1" customWidth="1"/>
    <col min="9142" max="9142" width="33.85546875" style="1" bestFit="1" customWidth="1"/>
    <col min="9143" max="9143" width="9.5703125" style="1" bestFit="1" customWidth="1"/>
    <col min="9144" max="9144" width="35.85546875" style="1" bestFit="1" customWidth="1"/>
    <col min="9145" max="9145" width="33.85546875" style="1" bestFit="1" customWidth="1"/>
    <col min="9146" max="9146" width="9.5703125" style="1" bestFit="1" customWidth="1"/>
    <col min="9147" max="9147" width="35.85546875" style="1" bestFit="1" customWidth="1"/>
    <col min="9148" max="9148" width="33.85546875" style="1" bestFit="1" customWidth="1"/>
    <col min="9149" max="9149" width="9.5703125" style="1" bestFit="1" customWidth="1"/>
    <col min="9150" max="9150" width="35.85546875" style="1" bestFit="1" customWidth="1"/>
    <col min="9151" max="9151" width="33.85546875" style="1" bestFit="1" customWidth="1"/>
    <col min="9152" max="9152" width="9.5703125" style="1" bestFit="1" customWidth="1"/>
    <col min="9153" max="9153" width="35.85546875" style="1" bestFit="1" customWidth="1"/>
    <col min="9154" max="9154" width="33.85546875" style="1" bestFit="1" customWidth="1"/>
    <col min="9155" max="9155" width="9.5703125" style="1" bestFit="1" customWidth="1"/>
    <col min="9156" max="9156" width="35.85546875" style="1" bestFit="1" customWidth="1"/>
    <col min="9157" max="9157" width="33.85546875" style="1" bestFit="1" customWidth="1"/>
    <col min="9158" max="9158" width="9.5703125" style="1" bestFit="1" customWidth="1"/>
    <col min="9159" max="9159" width="35.85546875" style="1" bestFit="1" customWidth="1"/>
    <col min="9160" max="9160" width="33.85546875" style="1" bestFit="1" customWidth="1"/>
    <col min="9161" max="9161" width="9.5703125" style="1" bestFit="1" customWidth="1"/>
    <col min="9162" max="9162" width="35.85546875" style="1" bestFit="1" customWidth="1"/>
    <col min="9163" max="9163" width="33.85546875" style="1" bestFit="1" customWidth="1"/>
    <col min="9164" max="9164" width="9.5703125" style="1" bestFit="1" customWidth="1"/>
    <col min="9165" max="9165" width="35.85546875" style="1" bestFit="1" customWidth="1"/>
    <col min="9166" max="9166" width="33.85546875" style="1" bestFit="1" customWidth="1"/>
    <col min="9167" max="9167" width="9.5703125" style="1" bestFit="1" customWidth="1"/>
    <col min="9168" max="9168" width="35.85546875" style="1" bestFit="1" customWidth="1"/>
    <col min="9169" max="9169" width="33.85546875" style="1" bestFit="1" customWidth="1"/>
    <col min="9170" max="9170" width="9.5703125" style="1" bestFit="1" customWidth="1"/>
    <col min="9171" max="9171" width="35.85546875" style="1" bestFit="1" customWidth="1"/>
    <col min="9172" max="9172" width="33.85546875" style="1" bestFit="1" customWidth="1"/>
    <col min="9173" max="9173" width="9.5703125" style="1" bestFit="1" customWidth="1"/>
    <col min="9174" max="9174" width="35.85546875" style="1" bestFit="1" customWidth="1"/>
    <col min="9175" max="9175" width="33.85546875" style="1" bestFit="1" customWidth="1"/>
    <col min="9176" max="9176" width="9.5703125" style="1" bestFit="1" customWidth="1"/>
    <col min="9177" max="9177" width="35.85546875" style="1" bestFit="1" customWidth="1"/>
    <col min="9178" max="9178" width="33.85546875" style="1" bestFit="1" customWidth="1"/>
    <col min="9179" max="9179" width="9.5703125" style="1" bestFit="1" customWidth="1"/>
    <col min="9180" max="9180" width="35.85546875" style="1" bestFit="1" customWidth="1"/>
    <col min="9181" max="9181" width="33.85546875" style="1" bestFit="1" customWidth="1"/>
    <col min="9182" max="9182" width="9.5703125" style="1" bestFit="1" customWidth="1"/>
    <col min="9183" max="9183" width="35.85546875" style="1" bestFit="1" customWidth="1"/>
    <col min="9184" max="9184" width="33.85546875" style="1" bestFit="1" customWidth="1"/>
    <col min="9185" max="9185" width="9.5703125" style="1" bestFit="1" customWidth="1"/>
    <col min="9186" max="9186" width="35.85546875" style="1" bestFit="1" customWidth="1"/>
    <col min="9187" max="9187" width="33.85546875" style="1" bestFit="1" customWidth="1"/>
    <col min="9188" max="9188" width="9.5703125" style="1" bestFit="1" customWidth="1"/>
    <col min="9189" max="9189" width="35.85546875" style="1" bestFit="1" customWidth="1"/>
    <col min="9190" max="9190" width="33.85546875" style="1" bestFit="1" customWidth="1"/>
    <col min="9191" max="9191" width="9.5703125" style="1" bestFit="1" customWidth="1"/>
    <col min="9192" max="9192" width="35.85546875" style="1" bestFit="1" customWidth="1"/>
    <col min="9193" max="9193" width="33.85546875" style="1" bestFit="1" customWidth="1"/>
    <col min="9194" max="9194" width="9.5703125" style="1" bestFit="1" customWidth="1"/>
    <col min="9195" max="9195" width="35.85546875" style="1" bestFit="1" customWidth="1"/>
    <col min="9196" max="9196" width="33.85546875" style="1" bestFit="1" customWidth="1"/>
    <col min="9197" max="9197" width="9.5703125" style="1" bestFit="1" customWidth="1"/>
    <col min="9198" max="9198" width="35.85546875" style="1" bestFit="1" customWidth="1"/>
    <col min="9199" max="9199" width="33.85546875" style="1" bestFit="1" customWidth="1"/>
    <col min="9200" max="9200" width="9.5703125" style="1" bestFit="1" customWidth="1"/>
    <col min="9201" max="9201" width="35.85546875" style="1" bestFit="1" customWidth="1"/>
    <col min="9202" max="9202" width="33.85546875" style="1" bestFit="1" customWidth="1"/>
    <col min="9203" max="9203" width="9.5703125" style="1" bestFit="1" customWidth="1"/>
    <col min="9204" max="9204" width="35.85546875" style="1" bestFit="1" customWidth="1"/>
    <col min="9205" max="9205" width="33.85546875" style="1" bestFit="1" customWidth="1"/>
    <col min="9206" max="9206" width="9.5703125" style="1" bestFit="1" customWidth="1"/>
    <col min="9207" max="9207" width="35.85546875" style="1" bestFit="1" customWidth="1"/>
    <col min="9208" max="9208" width="33.85546875" style="1" bestFit="1" customWidth="1"/>
    <col min="9209" max="9209" width="9.5703125" style="1" bestFit="1" customWidth="1"/>
    <col min="9210" max="9210" width="35.85546875" style="1" bestFit="1" customWidth="1"/>
    <col min="9211" max="9211" width="33.85546875" style="1" bestFit="1" customWidth="1"/>
    <col min="9212" max="9212" width="9.5703125" style="1" bestFit="1" customWidth="1"/>
    <col min="9213" max="9213" width="35.85546875" style="1" bestFit="1" customWidth="1"/>
    <col min="9214" max="9214" width="33.85546875" style="1" bestFit="1" customWidth="1"/>
    <col min="9215" max="9215" width="9.5703125" style="1" bestFit="1" customWidth="1"/>
    <col min="9216" max="9216" width="35.85546875" style="1" bestFit="1" customWidth="1"/>
    <col min="9217" max="9217" width="33.85546875" style="1" bestFit="1" customWidth="1"/>
    <col min="9218" max="9218" width="9.5703125" style="1" bestFit="1" customWidth="1"/>
    <col min="9219" max="9219" width="35.85546875" style="1" bestFit="1" customWidth="1"/>
    <col min="9220" max="9220" width="33.85546875" style="1" bestFit="1" customWidth="1"/>
    <col min="9221" max="9221" width="9.5703125" style="1" bestFit="1" customWidth="1"/>
    <col min="9222" max="9222" width="35.85546875" style="1" bestFit="1" customWidth="1"/>
    <col min="9223" max="9223" width="33.85546875" style="1" bestFit="1" customWidth="1"/>
    <col min="9224" max="9224" width="9.5703125" style="1" bestFit="1" customWidth="1"/>
    <col min="9225" max="9225" width="35.85546875" style="1" bestFit="1" customWidth="1"/>
    <col min="9226" max="9226" width="33.85546875" style="1" bestFit="1" customWidth="1"/>
    <col min="9227" max="9227" width="9.5703125" style="1" bestFit="1" customWidth="1"/>
    <col min="9228" max="9228" width="35.85546875" style="1" bestFit="1" customWidth="1"/>
    <col min="9229" max="9229" width="33.85546875" style="1" bestFit="1" customWidth="1"/>
    <col min="9230" max="9230" width="9.5703125" style="1" bestFit="1" customWidth="1"/>
    <col min="9231" max="9231" width="35.85546875" style="1" bestFit="1" customWidth="1"/>
    <col min="9232" max="9232" width="33.85546875" style="1" bestFit="1" customWidth="1"/>
    <col min="9233" max="9233" width="9.5703125" style="1" bestFit="1" customWidth="1"/>
    <col min="9234" max="9234" width="35.85546875" style="1" bestFit="1" customWidth="1"/>
    <col min="9235" max="9235" width="33.85546875" style="1" bestFit="1" customWidth="1"/>
    <col min="9236" max="9236" width="9.5703125" style="1" bestFit="1" customWidth="1"/>
    <col min="9237" max="9237" width="35.85546875" style="1" bestFit="1" customWidth="1"/>
    <col min="9238" max="9238" width="33.85546875" style="1" bestFit="1" customWidth="1"/>
    <col min="9239" max="9239" width="9.5703125" style="1" bestFit="1" customWidth="1"/>
    <col min="9240" max="9302" width="22.140625" style="1"/>
    <col min="9303" max="9303" width="40.42578125" style="1" customWidth="1"/>
    <col min="9304" max="9304" width="25.42578125" style="1" bestFit="1" customWidth="1"/>
    <col min="9305" max="9305" width="23.85546875" style="1" bestFit="1" customWidth="1"/>
    <col min="9306" max="9306" width="41.85546875" style="1" customWidth="1"/>
    <col min="9307" max="9307" width="26.42578125" style="1" bestFit="1" customWidth="1"/>
    <col min="9308" max="9309" width="16.42578125" style="1" customWidth="1"/>
    <col min="9310" max="9310" width="19.42578125" style="1" customWidth="1"/>
    <col min="9311" max="9311" width="16" style="1" customWidth="1"/>
    <col min="9312" max="9312" width="16.5703125" style="1" customWidth="1"/>
    <col min="9313" max="9313" width="7.5703125" style="1" bestFit="1" customWidth="1"/>
    <col min="9314" max="9314" width="16.5703125" style="1" customWidth="1"/>
    <col min="9315" max="9315" width="17.140625" style="1" customWidth="1"/>
    <col min="9316" max="9339" width="0" style="1" hidden="1" customWidth="1"/>
    <col min="9340" max="9340" width="35.85546875" style="1" bestFit="1" customWidth="1"/>
    <col min="9341" max="9341" width="33.85546875" style="1" bestFit="1" customWidth="1"/>
    <col min="9342" max="9342" width="9.5703125" style="1" bestFit="1" customWidth="1"/>
    <col min="9343" max="9343" width="35.85546875" style="1" bestFit="1" customWidth="1"/>
    <col min="9344" max="9344" width="33.85546875" style="1" bestFit="1" customWidth="1"/>
    <col min="9345" max="9345" width="9.5703125" style="1" bestFit="1" customWidth="1"/>
    <col min="9346" max="9346" width="35.85546875" style="1" bestFit="1" customWidth="1"/>
    <col min="9347" max="9347" width="33.85546875" style="1" bestFit="1" customWidth="1"/>
    <col min="9348" max="9348" width="9.5703125" style="1" bestFit="1" customWidth="1"/>
    <col min="9349" max="9349" width="35.85546875" style="1" bestFit="1" customWidth="1"/>
    <col min="9350" max="9350" width="33.85546875" style="1" bestFit="1" customWidth="1"/>
    <col min="9351" max="9351" width="9.5703125" style="1" bestFit="1" customWidth="1"/>
    <col min="9352" max="9352" width="35.85546875" style="1" bestFit="1" customWidth="1"/>
    <col min="9353" max="9353" width="33.85546875" style="1" bestFit="1" customWidth="1"/>
    <col min="9354" max="9354" width="9.5703125" style="1" bestFit="1" customWidth="1"/>
    <col min="9355" max="9355" width="35.85546875" style="1" bestFit="1" customWidth="1"/>
    <col min="9356" max="9356" width="33.85546875" style="1" bestFit="1" customWidth="1"/>
    <col min="9357" max="9357" width="9.5703125" style="1" bestFit="1" customWidth="1"/>
    <col min="9358" max="9358" width="35.85546875" style="1" bestFit="1" customWidth="1"/>
    <col min="9359" max="9359" width="33.85546875" style="1" bestFit="1" customWidth="1"/>
    <col min="9360" max="9360" width="9.5703125" style="1" bestFit="1" customWidth="1"/>
    <col min="9361" max="9361" width="35.85546875" style="1" bestFit="1" customWidth="1"/>
    <col min="9362" max="9362" width="33.85546875" style="1" bestFit="1" customWidth="1"/>
    <col min="9363" max="9363" width="9.5703125" style="1" bestFit="1" customWidth="1"/>
    <col min="9364" max="9364" width="35.85546875" style="1" bestFit="1" customWidth="1"/>
    <col min="9365" max="9365" width="33.85546875" style="1" bestFit="1" customWidth="1"/>
    <col min="9366" max="9366" width="9.5703125" style="1" bestFit="1" customWidth="1"/>
    <col min="9367" max="9367" width="35.85546875" style="1" bestFit="1" customWidth="1"/>
    <col min="9368" max="9368" width="33.85546875" style="1" bestFit="1" customWidth="1"/>
    <col min="9369" max="9369" width="9.5703125" style="1" bestFit="1" customWidth="1"/>
    <col min="9370" max="9370" width="35.85546875" style="1" bestFit="1" customWidth="1"/>
    <col min="9371" max="9371" width="33.85546875" style="1" bestFit="1" customWidth="1"/>
    <col min="9372" max="9372" width="9.5703125" style="1" bestFit="1" customWidth="1"/>
    <col min="9373" max="9373" width="35.85546875" style="1" bestFit="1" customWidth="1"/>
    <col min="9374" max="9374" width="33.85546875" style="1" bestFit="1" customWidth="1"/>
    <col min="9375" max="9375" width="9.5703125" style="1" bestFit="1" customWidth="1"/>
    <col min="9376" max="9376" width="35.85546875" style="1" bestFit="1" customWidth="1"/>
    <col min="9377" max="9377" width="33.85546875" style="1" bestFit="1" customWidth="1"/>
    <col min="9378" max="9378" width="9.5703125" style="1" bestFit="1" customWidth="1"/>
    <col min="9379" max="9379" width="35.85546875" style="1" bestFit="1" customWidth="1"/>
    <col min="9380" max="9380" width="33.85546875" style="1" bestFit="1" customWidth="1"/>
    <col min="9381" max="9381" width="9.5703125" style="1" bestFit="1" customWidth="1"/>
    <col min="9382" max="9382" width="35.85546875" style="1" bestFit="1" customWidth="1"/>
    <col min="9383" max="9383" width="33.85546875" style="1" bestFit="1" customWidth="1"/>
    <col min="9384" max="9384" width="9.5703125" style="1" bestFit="1" customWidth="1"/>
    <col min="9385" max="9385" width="35.85546875" style="1" bestFit="1" customWidth="1"/>
    <col min="9386" max="9386" width="33.85546875" style="1" bestFit="1" customWidth="1"/>
    <col min="9387" max="9387" width="9.5703125" style="1" bestFit="1" customWidth="1"/>
    <col min="9388" max="9388" width="35.85546875" style="1" bestFit="1" customWidth="1"/>
    <col min="9389" max="9389" width="33.85546875" style="1" bestFit="1" customWidth="1"/>
    <col min="9390" max="9390" width="9.5703125" style="1" bestFit="1" customWidth="1"/>
    <col min="9391" max="9391" width="35.85546875" style="1" bestFit="1" customWidth="1"/>
    <col min="9392" max="9392" width="33.85546875" style="1" bestFit="1" customWidth="1"/>
    <col min="9393" max="9393" width="9.5703125" style="1" bestFit="1" customWidth="1"/>
    <col min="9394" max="9394" width="35.85546875" style="1" bestFit="1" customWidth="1"/>
    <col min="9395" max="9395" width="33.85546875" style="1" bestFit="1" customWidth="1"/>
    <col min="9396" max="9396" width="9.5703125" style="1" bestFit="1" customWidth="1"/>
    <col min="9397" max="9397" width="35.85546875" style="1" bestFit="1" customWidth="1"/>
    <col min="9398" max="9398" width="33.85546875" style="1" bestFit="1" customWidth="1"/>
    <col min="9399" max="9399" width="9.5703125" style="1" bestFit="1" customWidth="1"/>
    <col min="9400" max="9400" width="35.85546875" style="1" bestFit="1" customWidth="1"/>
    <col min="9401" max="9401" width="33.85546875" style="1" bestFit="1" customWidth="1"/>
    <col min="9402" max="9402" width="9.5703125" style="1" bestFit="1" customWidth="1"/>
    <col min="9403" max="9403" width="35.85546875" style="1" bestFit="1" customWidth="1"/>
    <col min="9404" max="9404" width="33.85546875" style="1" bestFit="1" customWidth="1"/>
    <col min="9405" max="9405" width="9.5703125" style="1" bestFit="1" customWidth="1"/>
    <col min="9406" max="9406" width="35.85546875" style="1" bestFit="1" customWidth="1"/>
    <col min="9407" max="9407" width="33.85546875" style="1" bestFit="1" customWidth="1"/>
    <col min="9408" max="9408" width="9.5703125" style="1" bestFit="1" customWidth="1"/>
    <col min="9409" max="9409" width="35.85546875" style="1" bestFit="1" customWidth="1"/>
    <col min="9410" max="9410" width="33.85546875" style="1" bestFit="1" customWidth="1"/>
    <col min="9411" max="9411" width="9.5703125" style="1" bestFit="1" customWidth="1"/>
    <col min="9412" max="9412" width="35.85546875" style="1" bestFit="1" customWidth="1"/>
    <col min="9413" max="9413" width="33.85546875" style="1" bestFit="1" customWidth="1"/>
    <col min="9414" max="9414" width="9.5703125" style="1" bestFit="1" customWidth="1"/>
    <col min="9415" max="9415" width="35.85546875" style="1" bestFit="1" customWidth="1"/>
    <col min="9416" max="9416" width="33.85546875" style="1" bestFit="1" customWidth="1"/>
    <col min="9417" max="9417" width="9.5703125" style="1" bestFit="1" customWidth="1"/>
    <col min="9418" max="9418" width="35.85546875" style="1" bestFit="1" customWidth="1"/>
    <col min="9419" max="9419" width="33.85546875" style="1" bestFit="1" customWidth="1"/>
    <col min="9420" max="9420" width="9.5703125" style="1" bestFit="1" customWidth="1"/>
    <col min="9421" max="9421" width="35.85546875" style="1" bestFit="1" customWidth="1"/>
    <col min="9422" max="9422" width="33.85546875" style="1" bestFit="1" customWidth="1"/>
    <col min="9423" max="9423" width="9.5703125" style="1" bestFit="1" customWidth="1"/>
    <col min="9424" max="9424" width="35.85546875" style="1" bestFit="1" customWidth="1"/>
    <col min="9425" max="9425" width="33.85546875" style="1" bestFit="1" customWidth="1"/>
    <col min="9426" max="9426" width="9.5703125" style="1" bestFit="1" customWidth="1"/>
    <col min="9427" max="9427" width="35.85546875" style="1" bestFit="1" customWidth="1"/>
    <col min="9428" max="9428" width="33.85546875" style="1" bestFit="1" customWidth="1"/>
    <col min="9429" max="9429" width="9.5703125" style="1" bestFit="1" customWidth="1"/>
    <col min="9430" max="9430" width="35.85546875" style="1" bestFit="1" customWidth="1"/>
    <col min="9431" max="9431" width="33.85546875" style="1" bestFit="1" customWidth="1"/>
    <col min="9432" max="9432" width="9.5703125" style="1" bestFit="1" customWidth="1"/>
    <col min="9433" max="9433" width="35.85546875" style="1" bestFit="1" customWidth="1"/>
    <col min="9434" max="9434" width="33.85546875" style="1" bestFit="1" customWidth="1"/>
    <col min="9435" max="9435" width="9.5703125" style="1" bestFit="1" customWidth="1"/>
    <col min="9436" max="9436" width="35.85546875" style="1" bestFit="1" customWidth="1"/>
    <col min="9437" max="9437" width="33.85546875" style="1" bestFit="1" customWidth="1"/>
    <col min="9438" max="9438" width="9.5703125" style="1" bestFit="1" customWidth="1"/>
    <col min="9439" max="9439" width="35.85546875" style="1" bestFit="1" customWidth="1"/>
    <col min="9440" max="9440" width="33.85546875" style="1" bestFit="1" customWidth="1"/>
    <col min="9441" max="9441" width="9.5703125" style="1" bestFit="1" customWidth="1"/>
    <col min="9442" max="9442" width="35.85546875" style="1" bestFit="1" customWidth="1"/>
    <col min="9443" max="9443" width="33.85546875" style="1" bestFit="1" customWidth="1"/>
    <col min="9444" max="9444" width="9.5703125" style="1" bestFit="1" customWidth="1"/>
    <col min="9445" max="9445" width="35.85546875" style="1" bestFit="1" customWidth="1"/>
    <col min="9446" max="9446" width="33.85546875" style="1" bestFit="1" customWidth="1"/>
    <col min="9447" max="9447" width="9.5703125" style="1" bestFit="1" customWidth="1"/>
    <col min="9448" max="9448" width="35.85546875" style="1" bestFit="1" customWidth="1"/>
    <col min="9449" max="9449" width="33.85546875" style="1" bestFit="1" customWidth="1"/>
    <col min="9450" max="9450" width="9.5703125" style="1" bestFit="1" customWidth="1"/>
    <col min="9451" max="9451" width="35.85546875" style="1" bestFit="1" customWidth="1"/>
    <col min="9452" max="9452" width="33.85546875" style="1" bestFit="1" customWidth="1"/>
    <col min="9453" max="9453" width="9.5703125" style="1" bestFit="1" customWidth="1"/>
    <col min="9454" max="9454" width="35.85546875" style="1" bestFit="1" customWidth="1"/>
    <col min="9455" max="9455" width="33.85546875" style="1" bestFit="1" customWidth="1"/>
    <col min="9456" max="9456" width="9.5703125" style="1" bestFit="1" customWidth="1"/>
    <col min="9457" max="9457" width="35.85546875" style="1" bestFit="1" customWidth="1"/>
    <col min="9458" max="9458" width="33.85546875" style="1" bestFit="1" customWidth="1"/>
    <col min="9459" max="9459" width="9.5703125" style="1" bestFit="1" customWidth="1"/>
    <col min="9460" max="9460" width="35.85546875" style="1" bestFit="1" customWidth="1"/>
    <col min="9461" max="9461" width="33.85546875" style="1" bestFit="1" customWidth="1"/>
    <col min="9462" max="9462" width="9.5703125" style="1" bestFit="1" customWidth="1"/>
    <col min="9463" max="9463" width="35.85546875" style="1" bestFit="1" customWidth="1"/>
    <col min="9464" max="9464" width="33.85546875" style="1" bestFit="1" customWidth="1"/>
    <col min="9465" max="9465" width="9.5703125" style="1" bestFit="1" customWidth="1"/>
    <col min="9466" max="9466" width="35.85546875" style="1" bestFit="1" customWidth="1"/>
    <col min="9467" max="9467" width="33.85546875" style="1" bestFit="1" customWidth="1"/>
    <col min="9468" max="9468" width="9.5703125" style="1" bestFit="1" customWidth="1"/>
    <col min="9469" max="9469" width="35.85546875" style="1" bestFit="1" customWidth="1"/>
    <col min="9470" max="9470" width="33.85546875" style="1" bestFit="1" customWidth="1"/>
    <col min="9471" max="9471" width="9.5703125" style="1" bestFit="1" customWidth="1"/>
    <col min="9472" max="9472" width="35.85546875" style="1" bestFit="1" customWidth="1"/>
    <col min="9473" max="9473" width="33.85546875" style="1" bestFit="1" customWidth="1"/>
    <col min="9474" max="9474" width="9.5703125" style="1" bestFit="1" customWidth="1"/>
    <col min="9475" max="9475" width="35.85546875" style="1" bestFit="1" customWidth="1"/>
    <col min="9476" max="9476" width="33.85546875" style="1" bestFit="1" customWidth="1"/>
    <col min="9477" max="9477" width="9.5703125" style="1" bestFit="1" customWidth="1"/>
    <col min="9478" max="9478" width="35.85546875" style="1" bestFit="1" customWidth="1"/>
    <col min="9479" max="9479" width="33.85546875" style="1" bestFit="1" customWidth="1"/>
    <col min="9480" max="9480" width="9.5703125" style="1" bestFit="1" customWidth="1"/>
    <col min="9481" max="9481" width="35.85546875" style="1" bestFit="1" customWidth="1"/>
    <col min="9482" max="9482" width="33.85546875" style="1" bestFit="1" customWidth="1"/>
    <col min="9483" max="9483" width="9.5703125" style="1" bestFit="1" customWidth="1"/>
    <col min="9484" max="9484" width="35.85546875" style="1" bestFit="1" customWidth="1"/>
    <col min="9485" max="9485" width="33.85546875" style="1" bestFit="1" customWidth="1"/>
    <col min="9486" max="9486" width="9.5703125" style="1" bestFit="1" customWidth="1"/>
    <col min="9487" max="9487" width="35.85546875" style="1" bestFit="1" customWidth="1"/>
    <col min="9488" max="9488" width="33.85546875" style="1" bestFit="1" customWidth="1"/>
    <col min="9489" max="9489" width="9.5703125" style="1" bestFit="1" customWidth="1"/>
    <col min="9490" max="9490" width="35.85546875" style="1" bestFit="1" customWidth="1"/>
    <col min="9491" max="9491" width="33.85546875" style="1" bestFit="1" customWidth="1"/>
    <col min="9492" max="9492" width="9.5703125" style="1" bestFit="1" customWidth="1"/>
    <col min="9493" max="9493" width="35.85546875" style="1" bestFit="1" customWidth="1"/>
    <col min="9494" max="9494" width="33.85546875" style="1" bestFit="1" customWidth="1"/>
    <col min="9495" max="9495" width="9.5703125" style="1" bestFit="1" customWidth="1"/>
    <col min="9496" max="9558" width="22.140625" style="1"/>
    <col min="9559" max="9559" width="40.42578125" style="1" customWidth="1"/>
    <col min="9560" max="9560" width="25.42578125" style="1" bestFit="1" customWidth="1"/>
    <col min="9561" max="9561" width="23.85546875" style="1" bestFit="1" customWidth="1"/>
    <col min="9562" max="9562" width="41.85546875" style="1" customWidth="1"/>
    <col min="9563" max="9563" width="26.42578125" style="1" bestFit="1" customWidth="1"/>
    <col min="9564" max="9565" width="16.42578125" style="1" customWidth="1"/>
    <col min="9566" max="9566" width="19.42578125" style="1" customWidth="1"/>
    <col min="9567" max="9567" width="16" style="1" customWidth="1"/>
    <col min="9568" max="9568" width="16.5703125" style="1" customWidth="1"/>
    <col min="9569" max="9569" width="7.5703125" style="1" bestFit="1" customWidth="1"/>
    <col min="9570" max="9570" width="16.5703125" style="1" customWidth="1"/>
    <col min="9571" max="9571" width="17.140625" style="1" customWidth="1"/>
    <col min="9572" max="9595" width="0" style="1" hidden="1" customWidth="1"/>
    <col min="9596" max="9596" width="35.85546875" style="1" bestFit="1" customWidth="1"/>
    <col min="9597" max="9597" width="33.85546875" style="1" bestFit="1" customWidth="1"/>
    <col min="9598" max="9598" width="9.5703125" style="1" bestFit="1" customWidth="1"/>
    <col min="9599" max="9599" width="35.85546875" style="1" bestFit="1" customWidth="1"/>
    <col min="9600" max="9600" width="33.85546875" style="1" bestFit="1" customWidth="1"/>
    <col min="9601" max="9601" width="9.5703125" style="1" bestFit="1" customWidth="1"/>
    <col min="9602" max="9602" width="35.85546875" style="1" bestFit="1" customWidth="1"/>
    <col min="9603" max="9603" width="33.85546875" style="1" bestFit="1" customWidth="1"/>
    <col min="9604" max="9604" width="9.5703125" style="1" bestFit="1" customWidth="1"/>
    <col min="9605" max="9605" width="35.85546875" style="1" bestFit="1" customWidth="1"/>
    <col min="9606" max="9606" width="33.85546875" style="1" bestFit="1" customWidth="1"/>
    <col min="9607" max="9607" width="9.5703125" style="1" bestFit="1" customWidth="1"/>
    <col min="9608" max="9608" width="35.85546875" style="1" bestFit="1" customWidth="1"/>
    <col min="9609" max="9609" width="33.85546875" style="1" bestFit="1" customWidth="1"/>
    <col min="9610" max="9610" width="9.5703125" style="1" bestFit="1" customWidth="1"/>
    <col min="9611" max="9611" width="35.85546875" style="1" bestFit="1" customWidth="1"/>
    <col min="9612" max="9612" width="33.85546875" style="1" bestFit="1" customWidth="1"/>
    <col min="9613" max="9613" width="9.5703125" style="1" bestFit="1" customWidth="1"/>
    <col min="9614" max="9614" width="35.85546875" style="1" bestFit="1" customWidth="1"/>
    <col min="9615" max="9615" width="33.85546875" style="1" bestFit="1" customWidth="1"/>
    <col min="9616" max="9616" width="9.5703125" style="1" bestFit="1" customWidth="1"/>
    <col min="9617" max="9617" width="35.85546875" style="1" bestFit="1" customWidth="1"/>
    <col min="9618" max="9618" width="33.85546875" style="1" bestFit="1" customWidth="1"/>
    <col min="9619" max="9619" width="9.5703125" style="1" bestFit="1" customWidth="1"/>
    <col min="9620" max="9620" width="35.85546875" style="1" bestFit="1" customWidth="1"/>
    <col min="9621" max="9621" width="33.85546875" style="1" bestFit="1" customWidth="1"/>
    <col min="9622" max="9622" width="9.5703125" style="1" bestFit="1" customWidth="1"/>
    <col min="9623" max="9623" width="35.85546875" style="1" bestFit="1" customWidth="1"/>
    <col min="9624" max="9624" width="33.85546875" style="1" bestFit="1" customWidth="1"/>
    <col min="9625" max="9625" width="9.5703125" style="1" bestFit="1" customWidth="1"/>
    <col min="9626" max="9626" width="35.85546875" style="1" bestFit="1" customWidth="1"/>
    <col min="9627" max="9627" width="33.85546875" style="1" bestFit="1" customWidth="1"/>
    <col min="9628" max="9628" width="9.5703125" style="1" bestFit="1" customWidth="1"/>
    <col min="9629" max="9629" width="35.85546875" style="1" bestFit="1" customWidth="1"/>
    <col min="9630" max="9630" width="33.85546875" style="1" bestFit="1" customWidth="1"/>
    <col min="9631" max="9631" width="9.5703125" style="1" bestFit="1" customWidth="1"/>
    <col min="9632" max="9632" width="35.85546875" style="1" bestFit="1" customWidth="1"/>
    <col min="9633" max="9633" width="33.85546875" style="1" bestFit="1" customWidth="1"/>
    <col min="9634" max="9634" width="9.5703125" style="1" bestFit="1" customWidth="1"/>
    <col min="9635" max="9635" width="35.85546875" style="1" bestFit="1" customWidth="1"/>
    <col min="9636" max="9636" width="33.85546875" style="1" bestFit="1" customWidth="1"/>
    <col min="9637" max="9637" width="9.5703125" style="1" bestFit="1" customWidth="1"/>
    <col min="9638" max="9638" width="35.85546875" style="1" bestFit="1" customWidth="1"/>
    <col min="9639" max="9639" width="33.85546875" style="1" bestFit="1" customWidth="1"/>
    <col min="9640" max="9640" width="9.5703125" style="1" bestFit="1" customWidth="1"/>
    <col min="9641" max="9641" width="35.85546875" style="1" bestFit="1" customWidth="1"/>
    <col min="9642" max="9642" width="33.85546875" style="1" bestFit="1" customWidth="1"/>
    <col min="9643" max="9643" width="9.5703125" style="1" bestFit="1" customWidth="1"/>
    <col min="9644" max="9644" width="35.85546875" style="1" bestFit="1" customWidth="1"/>
    <col min="9645" max="9645" width="33.85546875" style="1" bestFit="1" customWidth="1"/>
    <col min="9646" max="9646" width="9.5703125" style="1" bestFit="1" customWidth="1"/>
    <col min="9647" max="9647" width="35.85546875" style="1" bestFit="1" customWidth="1"/>
    <col min="9648" max="9648" width="33.85546875" style="1" bestFit="1" customWidth="1"/>
    <col min="9649" max="9649" width="9.5703125" style="1" bestFit="1" customWidth="1"/>
    <col min="9650" max="9650" width="35.85546875" style="1" bestFit="1" customWidth="1"/>
    <col min="9651" max="9651" width="33.85546875" style="1" bestFit="1" customWidth="1"/>
    <col min="9652" max="9652" width="9.5703125" style="1" bestFit="1" customWidth="1"/>
    <col min="9653" max="9653" width="35.85546875" style="1" bestFit="1" customWidth="1"/>
    <col min="9654" max="9654" width="33.85546875" style="1" bestFit="1" customWidth="1"/>
    <col min="9655" max="9655" width="9.5703125" style="1" bestFit="1" customWidth="1"/>
    <col min="9656" max="9656" width="35.85546875" style="1" bestFit="1" customWidth="1"/>
    <col min="9657" max="9657" width="33.85546875" style="1" bestFit="1" customWidth="1"/>
    <col min="9658" max="9658" width="9.5703125" style="1" bestFit="1" customWidth="1"/>
    <col min="9659" max="9659" width="35.85546875" style="1" bestFit="1" customWidth="1"/>
    <col min="9660" max="9660" width="33.85546875" style="1" bestFit="1" customWidth="1"/>
    <col min="9661" max="9661" width="9.5703125" style="1" bestFit="1" customWidth="1"/>
    <col min="9662" max="9662" width="35.85546875" style="1" bestFit="1" customWidth="1"/>
    <col min="9663" max="9663" width="33.85546875" style="1" bestFit="1" customWidth="1"/>
    <col min="9664" max="9664" width="9.5703125" style="1" bestFit="1" customWidth="1"/>
    <col min="9665" max="9665" width="35.85546875" style="1" bestFit="1" customWidth="1"/>
    <col min="9666" max="9666" width="33.85546875" style="1" bestFit="1" customWidth="1"/>
    <col min="9667" max="9667" width="9.5703125" style="1" bestFit="1" customWidth="1"/>
    <col min="9668" max="9668" width="35.85546875" style="1" bestFit="1" customWidth="1"/>
    <col min="9669" max="9669" width="33.85546875" style="1" bestFit="1" customWidth="1"/>
    <col min="9670" max="9670" width="9.5703125" style="1" bestFit="1" customWidth="1"/>
    <col min="9671" max="9671" width="35.85546875" style="1" bestFit="1" customWidth="1"/>
    <col min="9672" max="9672" width="33.85546875" style="1" bestFit="1" customWidth="1"/>
    <col min="9673" max="9673" width="9.5703125" style="1" bestFit="1" customWidth="1"/>
    <col min="9674" max="9674" width="35.85546875" style="1" bestFit="1" customWidth="1"/>
    <col min="9675" max="9675" width="33.85546875" style="1" bestFit="1" customWidth="1"/>
    <col min="9676" max="9676" width="9.5703125" style="1" bestFit="1" customWidth="1"/>
    <col min="9677" max="9677" width="35.85546875" style="1" bestFit="1" customWidth="1"/>
    <col min="9678" max="9678" width="33.85546875" style="1" bestFit="1" customWidth="1"/>
    <col min="9679" max="9679" width="9.5703125" style="1" bestFit="1" customWidth="1"/>
    <col min="9680" max="9680" width="35.85546875" style="1" bestFit="1" customWidth="1"/>
    <col min="9681" max="9681" width="33.85546875" style="1" bestFit="1" customWidth="1"/>
    <col min="9682" max="9682" width="9.5703125" style="1" bestFit="1" customWidth="1"/>
    <col min="9683" max="9683" width="35.85546875" style="1" bestFit="1" customWidth="1"/>
    <col min="9684" max="9684" width="33.85546875" style="1" bestFit="1" customWidth="1"/>
    <col min="9685" max="9685" width="9.5703125" style="1" bestFit="1" customWidth="1"/>
    <col min="9686" max="9686" width="35.85546875" style="1" bestFit="1" customWidth="1"/>
    <col min="9687" max="9687" width="33.85546875" style="1" bestFit="1" customWidth="1"/>
    <col min="9688" max="9688" width="9.5703125" style="1" bestFit="1" customWidth="1"/>
    <col min="9689" max="9689" width="35.85546875" style="1" bestFit="1" customWidth="1"/>
    <col min="9690" max="9690" width="33.85546875" style="1" bestFit="1" customWidth="1"/>
    <col min="9691" max="9691" width="9.5703125" style="1" bestFit="1" customWidth="1"/>
    <col min="9692" max="9692" width="35.85546875" style="1" bestFit="1" customWidth="1"/>
    <col min="9693" max="9693" width="33.85546875" style="1" bestFit="1" customWidth="1"/>
    <col min="9694" max="9694" width="9.5703125" style="1" bestFit="1" customWidth="1"/>
    <col min="9695" max="9695" width="35.85546875" style="1" bestFit="1" customWidth="1"/>
    <col min="9696" max="9696" width="33.85546875" style="1" bestFit="1" customWidth="1"/>
    <col min="9697" max="9697" width="9.5703125" style="1" bestFit="1" customWidth="1"/>
    <col min="9698" max="9698" width="35.85546875" style="1" bestFit="1" customWidth="1"/>
    <col min="9699" max="9699" width="33.85546875" style="1" bestFit="1" customWidth="1"/>
    <col min="9700" max="9700" width="9.5703125" style="1" bestFit="1" customWidth="1"/>
    <col min="9701" max="9701" width="35.85546875" style="1" bestFit="1" customWidth="1"/>
    <col min="9702" max="9702" width="33.85546875" style="1" bestFit="1" customWidth="1"/>
    <col min="9703" max="9703" width="9.5703125" style="1" bestFit="1" customWidth="1"/>
    <col min="9704" max="9704" width="35.85546875" style="1" bestFit="1" customWidth="1"/>
    <col min="9705" max="9705" width="33.85546875" style="1" bestFit="1" customWidth="1"/>
    <col min="9706" max="9706" width="9.5703125" style="1" bestFit="1" customWidth="1"/>
    <col min="9707" max="9707" width="35.85546875" style="1" bestFit="1" customWidth="1"/>
    <col min="9708" max="9708" width="33.85546875" style="1" bestFit="1" customWidth="1"/>
    <col min="9709" max="9709" width="9.5703125" style="1" bestFit="1" customWidth="1"/>
    <col min="9710" max="9710" width="35.85546875" style="1" bestFit="1" customWidth="1"/>
    <col min="9711" max="9711" width="33.85546875" style="1" bestFit="1" customWidth="1"/>
    <col min="9712" max="9712" width="9.5703125" style="1" bestFit="1" customWidth="1"/>
    <col min="9713" max="9713" width="35.85546875" style="1" bestFit="1" customWidth="1"/>
    <col min="9714" max="9714" width="33.85546875" style="1" bestFit="1" customWidth="1"/>
    <col min="9715" max="9715" width="9.5703125" style="1" bestFit="1" customWidth="1"/>
    <col min="9716" max="9716" width="35.85546875" style="1" bestFit="1" customWidth="1"/>
    <col min="9717" max="9717" width="33.85546875" style="1" bestFit="1" customWidth="1"/>
    <col min="9718" max="9718" width="9.5703125" style="1" bestFit="1" customWidth="1"/>
    <col min="9719" max="9719" width="35.85546875" style="1" bestFit="1" customWidth="1"/>
    <col min="9720" max="9720" width="33.85546875" style="1" bestFit="1" customWidth="1"/>
    <col min="9721" max="9721" width="9.5703125" style="1" bestFit="1" customWidth="1"/>
    <col min="9722" max="9722" width="35.85546875" style="1" bestFit="1" customWidth="1"/>
    <col min="9723" max="9723" width="33.85546875" style="1" bestFit="1" customWidth="1"/>
    <col min="9724" max="9724" width="9.5703125" style="1" bestFit="1" customWidth="1"/>
    <col min="9725" max="9725" width="35.85546875" style="1" bestFit="1" customWidth="1"/>
    <col min="9726" max="9726" width="33.85546875" style="1" bestFit="1" customWidth="1"/>
    <col min="9727" max="9727" width="9.5703125" style="1" bestFit="1" customWidth="1"/>
    <col min="9728" max="9728" width="35.85546875" style="1" bestFit="1" customWidth="1"/>
    <col min="9729" max="9729" width="33.85546875" style="1" bestFit="1" customWidth="1"/>
    <col min="9730" max="9730" width="9.5703125" style="1" bestFit="1" customWidth="1"/>
    <col min="9731" max="9731" width="35.85546875" style="1" bestFit="1" customWidth="1"/>
    <col min="9732" max="9732" width="33.85546875" style="1" bestFit="1" customWidth="1"/>
    <col min="9733" max="9733" width="9.5703125" style="1" bestFit="1" customWidth="1"/>
    <col min="9734" max="9734" width="35.85546875" style="1" bestFit="1" customWidth="1"/>
    <col min="9735" max="9735" width="33.85546875" style="1" bestFit="1" customWidth="1"/>
    <col min="9736" max="9736" width="9.5703125" style="1" bestFit="1" customWidth="1"/>
    <col min="9737" max="9737" width="35.85546875" style="1" bestFit="1" customWidth="1"/>
    <col min="9738" max="9738" width="33.85546875" style="1" bestFit="1" customWidth="1"/>
    <col min="9739" max="9739" width="9.5703125" style="1" bestFit="1" customWidth="1"/>
    <col min="9740" max="9740" width="35.85546875" style="1" bestFit="1" customWidth="1"/>
    <col min="9741" max="9741" width="33.85546875" style="1" bestFit="1" customWidth="1"/>
    <col min="9742" max="9742" width="9.5703125" style="1" bestFit="1" customWidth="1"/>
    <col min="9743" max="9743" width="35.85546875" style="1" bestFit="1" customWidth="1"/>
    <col min="9744" max="9744" width="33.85546875" style="1" bestFit="1" customWidth="1"/>
    <col min="9745" max="9745" width="9.5703125" style="1" bestFit="1" customWidth="1"/>
    <col min="9746" max="9746" width="35.85546875" style="1" bestFit="1" customWidth="1"/>
    <col min="9747" max="9747" width="33.85546875" style="1" bestFit="1" customWidth="1"/>
    <col min="9748" max="9748" width="9.5703125" style="1" bestFit="1" customWidth="1"/>
    <col min="9749" max="9749" width="35.85546875" style="1" bestFit="1" customWidth="1"/>
    <col min="9750" max="9750" width="33.85546875" style="1" bestFit="1" customWidth="1"/>
    <col min="9751" max="9751" width="9.5703125" style="1" bestFit="1" customWidth="1"/>
    <col min="9752" max="9814" width="22.140625" style="1"/>
    <col min="9815" max="9815" width="40.42578125" style="1" customWidth="1"/>
    <col min="9816" max="9816" width="25.42578125" style="1" bestFit="1" customWidth="1"/>
    <col min="9817" max="9817" width="23.85546875" style="1" bestFit="1" customWidth="1"/>
    <col min="9818" max="9818" width="41.85546875" style="1" customWidth="1"/>
    <col min="9819" max="9819" width="26.42578125" style="1" bestFit="1" customWidth="1"/>
    <col min="9820" max="9821" width="16.42578125" style="1" customWidth="1"/>
    <col min="9822" max="9822" width="19.42578125" style="1" customWidth="1"/>
    <col min="9823" max="9823" width="16" style="1" customWidth="1"/>
    <col min="9824" max="9824" width="16.5703125" style="1" customWidth="1"/>
    <col min="9825" max="9825" width="7.5703125" style="1" bestFit="1" customWidth="1"/>
    <col min="9826" max="9826" width="16.5703125" style="1" customWidth="1"/>
    <col min="9827" max="9827" width="17.140625" style="1" customWidth="1"/>
    <col min="9828" max="9851" width="0" style="1" hidden="1" customWidth="1"/>
    <col min="9852" max="9852" width="35.85546875" style="1" bestFit="1" customWidth="1"/>
    <col min="9853" max="9853" width="33.85546875" style="1" bestFit="1" customWidth="1"/>
    <col min="9854" max="9854" width="9.5703125" style="1" bestFit="1" customWidth="1"/>
    <col min="9855" max="9855" width="35.85546875" style="1" bestFit="1" customWidth="1"/>
    <col min="9856" max="9856" width="33.85546875" style="1" bestFit="1" customWidth="1"/>
    <col min="9857" max="9857" width="9.5703125" style="1" bestFit="1" customWidth="1"/>
    <col min="9858" max="9858" width="35.85546875" style="1" bestFit="1" customWidth="1"/>
    <col min="9859" max="9859" width="33.85546875" style="1" bestFit="1" customWidth="1"/>
    <col min="9860" max="9860" width="9.5703125" style="1" bestFit="1" customWidth="1"/>
    <col min="9861" max="9861" width="35.85546875" style="1" bestFit="1" customWidth="1"/>
    <col min="9862" max="9862" width="33.85546875" style="1" bestFit="1" customWidth="1"/>
    <col min="9863" max="9863" width="9.5703125" style="1" bestFit="1" customWidth="1"/>
    <col min="9864" max="9864" width="35.85546875" style="1" bestFit="1" customWidth="1"/>
    <col min="9865" max="9865" width="33.85546875" style="1" bestFit="1" customWidth="1"/>
    <col min="9866" max="9866" width="9.5703125" style="1" bestFit="1" customWidth="1"/>
    <col min="9867" max="9867" width="35.85546875" style="1" bestFit="1" customWidth="1"/>
    <col min="9868" max="9868" width="33.85546875" style="1" bestFit="1" customWidth="1"/>
    <col min="9869" max="9869" width="9.5703125" style="1" bestFit="1" customWidth="1"/>
    <col min="9870" max="9870" width="35.85546875" style="1" bestFit="1" customWidth="1"/>
    <col min="9871" max="9871" width="33.85546875" style="1" bestFit="1" customWidth="1"/>
    <col min="9872" max="9872" width="9.5703125" style="1" bestFit="1" customWidth="1"/>
    <col min="9873" max="9873" width="35.85546875" style="1" bestFit="1" customWidth="1"/>
    <col min="9874" max="9874" width="33.85546875" style="1" bestFit="1" customWidth="1"/>
    <col min="9875" max="9875" width="9.5703125" style="1" bestFit="1" customWidth="1"/>
    <col min="9876" max="9876" width="35.85546875" style="1" bestFit="1" customWidth="1"/>
    <col min="9877" max="9877" width="33.85546875" style="1" bestFit="1" customWidth="1"/>
    <col min="9878" max="9878" width="9.5703125" style="1" bestFit="1" customWidth="1"/>
    <col min="9879" max="9879" width="35.85546875" style="1" bestFit="1" customWidth="1"/>
    <col min="9880" max="9880" width="33.85546875" style="1" bestFit="1" customWidth="1"/>
    <col min="9881" max="9881" width="9.5703125" style="1" bestFit="1" customWidth="1"/>
    <col min="9882" max="9882" width="35.85546875" style="1" bestFit="1" customWidth="1"/>
    <col min="9883" max="9883" width="33.85546875" style="1" bestFit="1" customWidth="1"/>
    <col min="9884" max="9884" width="9.5703125" style="1" bestFit="1" customWidth="1"/>
    <col min="9885" max="9885" width="35.85546875" style="1" bestFit="1" customWidth="1"/>
    <col min="9886" max="9886" width="33.85546875" style="1" bestFit="1" customWidth="1"/>
    <col min="9887" max="9887" width="9.5703125" style="1" bestFit="1" customWidth="1"/>
    <col min="9888" max="9888" width="35.85546875" style="1" bestFit="1" customWidth="1"/>
    <col min="9889" max="9889" width="33.85546875" style="1" bestFit="1" customWidth="1"/>
    <col min="9890" max="9890" width="9.5703125" style="1" bestFit="1" customWidth="1"/>
    <col min="9891" max="9891" width="35.85546875" style="1" bestFit="1" customWidth="1"/>
    <col min="9892" max="9892" width="33.85546875" style="1" bestFit="1" customWidth="1"/>
    <col min="9893" max="9893" width="9.5703125" style="1" bestFit="1" customWidth="1"/>
    <col min="9894" max="9894" width="35.85546875" style="1" bestFit="1" customWidth="1"/>
    <col min="9895" max="9895" width="33.85546875" style="1" bestFit="1" customWidth="1"/>
    <col min="9896" max="9896" width="9.5703125" style="1" bestFit="1" customWidth="1"/>
    <col min="9897" max="9897" width="35.85546875" style="1" bestFit="1" customWidth="1"/>
    <col min="9898" max="9898" width="33.85546875" style="1" bestFit="1" customWidth="1"/>
    <col min="9899" max="9899" width="9.5703125" style="1" bestFit="1" customWidth="1"/>
    <col min="9900" max="9900" width="35.85546875" style="1" bestFit="1" customWidth="1"/>
    <col min="9901" max="9901" width="33.85546875" style="1" bestFit="1" customWidth="1"/>
    <col min="9902" max="9902" width="9.5703125" style="1" bestFit="1" customWidth="1"/>
    <col min="9903" max="9903" width="35.85546875" style="1" bestFit="1" customWidth="1"/>
    <col min="9904" max="9904" width="33.85546875" style="1" bestFit="1" customWidth="1"/>
    <col min="9905" max="9905" width="9.5703125" style="1" bestFit="1" customWidth="1"/>
    <col min="9906" max="9906" width="35.85546875" style="1" bestFit="1" customWidth="1"/>
    <col min="9907" max="9907" width="33.85546875" style="1" bestFit="1" customWidth="1"/>
    <col min="9908" max="9908" width="9.5703125" style="1" bestFit="1" customWidth="1"/>
    <col min="9909" max="9909" width="35.85546875" style="1" bestFit="1" customWidth="1"/>
    <col min="9910" max="9910" width="33.85546875" style="1" bestFit="1" customWidth="1"/>
    <col min="9911" max="9911" width="9.5703125" style="1" bestFit="1" customWidth="1"/>
    <col min="9912" max="9912" width="35.85546875" style="1" bestFit="1" customWidth="1"/>
    <col min="9913" max="9913" width="33.85546875" style="1" bestFit="1" customWidth="1"/>
    <col min="9914" max="9914" width="9.5703125" style="1" bestFit="1" customWidth="1"/>
    <col min="9915" max="9915" width="35.85546875" style="1" bestFit="1" customWidth="1"/>
    <col min="9916" max="9916" width="33.85546875" style="1" bestFit="1" customWidth="1"/>
    <col min="9917" max="9917" width="9.5703125" style="1" bestFit="1" customWidth="1"/>
    <col min="9918" max="9918" width="35.85546875" style="1" bestFit="1" customWidth="1"/>
    <col min="9919" max="9919" width="33.85546875" style="1" bestFit="1" customWidth="1"/>
    <col min="9920" max="9920" width="9.5703125" style="1" bestFit="1" customWidth="1"/>
    <col min="9921" max="9921" width="35.85546875" style="1" bestFit="1" customWidth="1"/>
    <col min="9922" max="9922" width="33.85546875" style="1" bestFit="1" customWidth="1"/>
    <col min="9923" max="9923" width="9.5703125" style="1" bestFit="1" customWidth="1"/>
    <col min="9924" max="9924" width="35.85546875" style="1" bestFit="1" customWidth="1"/>
    <col min="9925" max="9925" width="33.85546875" style="1" bestFit="1" customWidth="1"/>
    <col min="9926" max="9926" width="9.5703125" style="1" bestFit="1" customWidth="1"/>
    <col min="9927" max="9927" width="35.85546875" style="1" bestFit="1" customWidth="1"/>
    <col min="9928" max="9928" width="33.85546875" style="1" bestFit="1" customWidth="1"/>
    <col min="9929" max="9929" width="9.5703125" style="1" bestFit="1" customWidth="1"/>
    <col min="9930" max="9930" width="35.85546875" style="1" bestFit="1" customWidth="1"/>
    <col min="9931" max="9931" width="33.85546875" style="1" bestFit="1" customWidth="1"/>
    <col min="9932" max="9932" width="9.5703125" style="1" bestFit="1" customWidth="1"/>
    <col min="9933" max="9933" width="35.85546875" style="1" bestFit="1" customWidth="1"/>
    <col min="9934" max="9934" width="33.85546875" style="1" bestFit="1" customWidth="1"/>
    <col min="9935" max="9935" width="9.5703125" style="1" bestFit="1" customWidth="1"/>
    <col min="9936" max="9936" width="35.85546875" style="1" bestFit="1" customWidth="1"/>
    <col min="9937" max="9937" width="33.85546875" style="1" bestFit="1" customWidth="1"/>
    <col min="9938" max="9938" width="9.5703125" style="1" bestFit="1" customWidth="1"/>
    <col min="9939" max="9939" width="35.85546875" style="1" bestFit="1" customWidth="1"/>
    <col min="9940" max="9940" width="33.85546875" style="1" bestFit="1" customWidth="1"/>
    <col min="9941" max="9941" width="9.5703125" style="1" bestFit="1" customWidth="1"/>
    <col min="9942" max="9942" width="35.85546875" style="1" bestFit="1" customWidth="1"/>
    <col min="9943" max="9943" width="33.85546875" style="1" bestFit="1" customWidth="1"/>
    <col min="9944" max="9944" width="9.5703125" style="1" bestFit="1" customWidth="1"/>
    <col min="9945" max="9945" width="35.85546875" style="1" bestFit="1" customWidth="1"/>
    <col min="9946" max="9946" width="33.85546875" style="1" bestFit="1" customWidth="1"/>
    <col min="9947" max="9947" width="9.5703125" style="1" bestFit="1" customWidth="1"/>
    <col min="9948" max="9948" width="35.85546875" style="1" bestFit="1" customWidth="1"/>
    <col min="9949" max="9949" width="33.85546875" style="1" bestFit="1" customWidth="1"/>
    <col min="9950" max="9950" width="9.5703125" style="1" bestFit="1" customWidth="1"/>
    <col min="9951" max="9951" width="35.85546875" style="1" bestFit="1" customWidth="1"/>
    <col min="9952" max="9952" width="33.85546875" style="1" bestFit="1" customWidth="1"/>
    <col min="9953" max="9953" width="9.5703125" style="1" bestFit="1" customWidth="1"/>
    <col min="9954" max="9954" width="35.85546875" style="1" bestFit="1" customWidth="1"/>
    <col min="9955" max="9955" width="33.85546875" style="1" bestFit="1" customWidth="1"/>
    <col min="9956" max="9956" width="9.5703125" style="1" bestFit="1" customWidth="1"/>
    <col min="9957" max="9957" width="35.85546875" style="1" bestFit="1" customWidth="1"/>
    <col min="9958" max="9958" width="33.85546875" style="1" bestFit="1" customWidth="1"/>
    <col min="9959" max="9959" width="9.5703125" style="1" bestFit="1" customWidth="1"/>
    <col min="9960" max="9960" width="35.85546875" style="1" bestFit="1" customWidth="1"/>
    <col min="9961" max="9961" width="33.85546875" style="1" bestFit="1" customWidth="1"/>
    <col min="9962" max="9962" width="9.5703125" style="1" bestFit="1" customWidth="1"/>
    <col min="9963" max="9963" width="35.85546875" style="1" bestFit="1" customWidth="1"/>
    <col min="9964" max="9964" width="33.85546875" style="1" bestFit="1" customWidth="1"/>
    <col min="9965" max="9965" width="9.5703125" style="1" bestFit="1" customWidth="1"/>
    <col min="9966" max="9966" width="35.85546875" style="1" bestFit="1" customWidth="1"/>
    <col min="9967" max="9967" width="33.85546875" style="1" bestFit="1" customWidth="1"/>
    <col min="9968" max="9968" width="9.5703125" style="1" bestFit="1" customWidth="1"/>
    <col min="9969" max="9969" width="35.85546875" style="1" bestFit="1" customWidth="1"/>
    <col min="9970" max="9970" width="33.85546875" style="1" bestFit="1" customWidth="1"/>
    <col min="9971" max="9971" width="9.5703125" style="1" bestFit="1" customWidth="1"/>
    <col min="9972" max="9972" width="35.85546875" style="1" bestFit="1" customWidth="1"/>
    <col min="9973" max="9973" width="33.85546875" style="1" bestFit="1" customWidth="1"/>
    <col min="9974" max="9974" width="9.5703125" style="1" bestFit="1" customWidth="1"/>
    <col min="9975" max="9975" width="35.85546875" style="1" bestFit="1" customWidth="1"/>
    <col min="9976" max="9976" width="33.85546875" style="1" bestFit="1" customWidth="1"/>
    <col min="9977" max="9977" width="9.5703125" style="1" bestFit="1" customWidth="1"/>
    <col min="9978" max="9978" width="35.85546875" style="1" bestFit="1" customWidth="1"/>
    <col min="9979" max="9979" width="33.85546875" style="1" bestFit="1" customWidth="1"/>
    <col min="9980" max="9980" width="9.5703125" style="1" bestFit="1" customWidth="1"/>
    <col min="9981" max="9981" width="35.85546875" style="1" bestFit="1" customWidth="1"/>
    <col min="9982" max="9982" width="33.85546875" style="1" bestFit="1" customWidth="1"/>
    <col min="9983" max="9983" width="9.5703125" style="1" bestFit="1" customWidth="1"/>
    <col min="9984" max="9984" width="35.85546875" style="1" bestFit="1" customWidth="1"/>
    <col min="9985" max="9985" width="33.85546875" style="1" bestFit="1" customWidth="1"/>
    <col min="9986" max="9986" width="9.5703125" style="1" bestFit="1" customWidth="1"/>
    <col min="9987" max="9987" width="35.85546875" style="1" bestFit="1" customWidth="1"/>
    <col min="9988" max="9988" width="33.85546875" style="1" bestFit="1" customWidth="1"/>
    <col min="9989" max="9989" width="9.5703125" style="1" bestFit="1" customWidth="1"/>
    <col min="9990" max="9990" width="35.85546875" style="1" bestFit="1" customWidth="1"/>
    <col min="9991" max="9991" width="33.85546875" style="1" bestFit="1" customWidth="1"/>
    <col min="9992" max="9992" width="9.5703125" style="1" bestFit="1" customWidth="1"/>
    <col min="9993" max="9993" width="35.85546875" style="1" bestFit="1" customWidth="1"/>
    <col min="9994" max="9994" width="33.85546875" style="1" bestFit="1" customWidth="1"/>
    <col min="9995" max="9995" width="9.5703125" style="1" bestFit="1" customWidth="1"/>
    <col min="9996" max="9996" width="35.85546875" style="1" bestFit="1" customWidth="1"/>
    <col min="9997" max="9997" width="33.85546875" style="1" bestFit="1" customWidth="1"/>
    <col min="9998" max="9998" width="9.5703125" style="1" bestFit="1" customWidth="1"/>
    <col min="9999" max="9999" width="35.85546875" style="1" bestFit="1" customWidth="1"/>
    <col min="10000" max="10000" width="33.85546875" style="1" bestFit="1" customWidth="1"/>
    <col min="10001" max="10001" width="9.5703125" style="1" bestFit="1" customWidth="1"/>
    <col min="10002" max="10002" width="35.85546875" style="1" bestFit="1" customWidth="1"/>
    <col min="10003" max="10003" width="33.85546875" style="1" bestFit="1" customWidth="1"/>
    <col min="10004" max="10004" width="9.5703125" style="1" bestFit="1" customWidth="1"/>
    <col min="10005" max="10005" width="35.85546875" style="1" bestFit="1" customWidth="1"/>
    <col min="10006" max="10006" width="33.85546875" style="1" bestFit="1" customWidth="1"/>
    <col min="10007" max="10007" width="9.5703125" style="1" bestFit="1" customWidth="1"/>
    <col min="10008" max="10070" width="22.140625" style="1"/>
    <col min="10071" max="10071" width="40.42578125" style="1" customWidth="1"/>
    <col min="10072" max="10072" width="25.42578125" style="1" bestFit="1" customWidth="1"/>
    <col min="10073" max="10073" width="23.85546875" style="1" bestFit="1" customWidth="1"/>
    <col min="10074" max="10074" width="41.85546875" style="1" customWidth="1"/>
    <col min="10075" max="10075" width="26.42578125" style="1" bestFit="1" customWidth="1"/>
    <col min="10076" max="10077" width="16.42578125" style="1" customWidth="1"/>
    <col min="10078" max="10078" width="19.42578125" style="1" customWidth="1"/>
    <col min="10079" max="10079" width="16" style="1" customWidth="1"/>
    <col min="10080" max="10080" width="16.5703125" style="1" customWidth="1"/>
    <col min="10081" max="10081" width="7.5703125" style="1" bestFit="1" customWidth="1"/>
    <col min="10082" max="10082" width="16.5703125" style="1" customWidth="1"/>
    <col min="10083" max="10083" width="17.140625" style="1" customWidth="1"/>
    <col min="10084" max="10107" width="0" style="1" hidden="1" customWidth="1"/>
    <col min="10108" max="10108" width="35.85546875" style="1" bestFit="1" customWidth="1"/>
    <col min="10109" max="10109" width="33.85546875" style="1" bestFit="1" customWidth="1"/>
    <col min="10110" max="10110" width="9.5703125" style="1" bestFit="1" customWidth="1"/>
    <col min="10111" max="10111" width="35.85546875" style="1" bestFit="1" customWidth="1"/>
    <col min="10112" max="10112" width="33.85546875" style="1" bestFit="1" customWidth="1"/>
    <col min="10113" max="10113" width="9.5703125" style="1" bestFit="1" customWidth="1"/>
    <col min="10114" max="10114" width="35.85546875" style="1" bestFit="1" customWidth="1"/>
    <col min="10115" max="10115" width="33.85546875" style="1" bestFit="1" customWidth="1"/>
    <col min="10116" max="10116" width="9.5703125" style="1" bestFit="1" customWidth="1"/>
    <col min="10117" max="10117" width="35.85546875" style="1" bestFit="1" customWidth="1"/>
    <col min="10118" max="10118" width="33.85546875" style="1" bestFit="1" customWidth="1"/>
    <col min="10119" max="10119" width="9.5703125" style="1" bestFit="1" customWidth="1"/>
    <col min="10120" max="10120" width="35.85546875" style="1" bestFit="1" customWidth="1"/>
    <col min="10121" max="10121" width="33.85546875" style="1" bestFit="1" customWidth="1"/>
    <col min="10122" max="10122" width="9.5703125" style="1" bestFit="1" customWidth="1"/>
    <col min="10123" max="10123" width="35.85546875" style="1" bestFit="1" customWidth="1"/>
    <col min="10124" max="10124" width="33.85546875" style="1" bestFit="1" customWidth="1"/>
    <col min="10125" max="10125" width="9.5703125" style="1" bestFit="1" customWidth="1"/>
    <col min="10126" max="10126" width="35.85546875" style="1" bestFit="1" customWidth="1"/>
    <col min="10127" max="10127" width="33.85546875" style="1" bestFit="1" customWidth="1"/>
    <col min="10128" max="10128" width="9.5703125" style="1" bestFit="1" customWidth="1"/>
    <col min="10129" max="10129" width="35.85546875" style="1" bestFit="1" customWidth="1"/>
    <col min="10130" max="10130" width="33.85546875" style="1" bestFit="1" customWidth="1"/>
    <col min="10131" max="10131" width="9.5703125" style="1" bestFit="1" customWidth="1"/>
    <col min="10132" max="10132" width="35.85546875" style="1" bestFit="1" customWidth="1"/>
    <col min="10133" max="10133" width="33.85546875" style="1" bestFit="1" customWidth="1"/>
    <col min="10134" max="10134" width="9.5703125" style="1" bestFit="1" customWidth="1"/>
    <col min="10135" max="10135" width="35.85546875" style="1" bestFit="1" customWidth="1"/>
    <col min="10136" max="10136" width="33.85546875" style="1" bestFit="1" customWidth="1"/>
    <col min="10137" max="10137" width="9.5703125" style="1" bestFit="1" customWidth="1"/>
    <col min="10138" max="10138" width="35.85546875" style="1" bestFit="1" customWidth="1"/>
    <col min="10139" max="10139" width="33.85546875" style="1" bestFit="1" customWidth="1"/>
    <col min="10140" max="10140" width="9.5703125" style="1" bestFit="1" customWidth="1"/>
    <col min="10141" max="10141" width="35.85546875" style="1" bestFit="1" customWidth="1"/>
    <col min="10142" max="10142" width="33.85546875" style="1" bestFit="1" customWidth="1"/>
    <col min="10143" max="10143" width="9.5703125" style="1" bestFit="1" customWidth="1"/>
    <col min="10144" max="10144" width="35.85546875" style="1" bestFit="1" customWidth="1"/>
    <col min="10145" max="10145" width="33.85546875" style="1" bestFit="1" customWidth="1"/>
    <col min="10146" max="10146" width="9.5703125" style="1" bestFit="1" customWidth="1"/>
    <col min="10147" max="10147" width="35.85546875" style="1" bestFit="1" customWidth="1"/>
    <col min="10148" max="10148" width="33.85546875" style="1" bestFit="1" customWidth="1"/>
    <col min="10149" max="10149" width="9.5703125" style="1" bestFit="1" customWidth="1"/>
    <col min="10150" max="10150" width="35.85546875" style="1" bestFit="1" customWidth="1"/>
    <col min="10151" max="10151" width="33.85546875" style="1" bestFit="1" customWidth="1"/>
    <col min="10152" max="10152" width="9.5703125" style="1" bestFit="1" customWidth="1"/>
    <col min="10153" max="10153" width="35.85546875" style="1" bestFit="1" customWidth="1"/>
    <col min="10154" max="10154" width="33.85546875" style="1" bestFit="1" customWidth="1"/>
    <col min="10155" max="10155" width="9.5703125" style="1" bestFit="1" customWidth="1"/>
    <col min="10156" max="10156" width="35.85546875" style="1" bestFit="1" customWidth="1"/>
    <col min="10157" max="10157" width="33.85546875" style="1" bestFit="1" customWidth="1"/>
    <col min="10158" max="10158" width="9.5703125" style="1" bestFit="1" customWidth="1"/>
    <col min="10159" max="10159" width="35.85546875" style="1" bestFit="1" customWidth="1"/>
    <col min="10160" max="10160" width="33.85546875" style="1" bestFit="1" customWidth="1"/>
    <col min="10161" max="10161" width="9.5703125" style="1" bestFit="1" customWidth="1"/>
    <col min="10162" max="10162" width="35.85546875" style="1" bestFit="1" customWidth="1"/>
    <col min="10163" max="10163" width="33.85546875" style="1" bestFit="1" customWidth="1"/>
    <col min="10164" max="10164" width="9.5703125" style="1" bestFit="1" customWidth="1"/>
    <col min="10165" max="10165" width="35.85546875" style="1" bestFit="1" customWidth="1"/>
    <col min="10166" max="10166" width="33.85546875" style="1" bestFit="1" customWidth="1"/>
    <col min="10167" max="10167" width="9.5703125" style="1" bestFit="1" customWidth="1"/>
    <col min="10168" max="10168" width="35.85546875" style="1" bestFit="1" customWidth="1"/>
    <col min="10169" max="10169" width="33.85546875" style="1" bestFit="1" customWidth="1"/>
    <col min="10170" max="10170" width="9.5703125" style="1" bestFit="1" customWidth="1"/>
    <col min="10171" max="10171" width="35.85546875" style="1" bestFit="1" customWidth="1"/>
    <col min="10172" max="10172" width="33.85546875" style="1" bestFit="1" customWidth="1"/>
    <col min="10173" max="10173" width="9.5703125" style="1" bestFit="1" customWidth="1"/>
    <col min="10174" max="10174" width="35.85546875" style="1" bestFit="1" customWidth="1"/>
    <col min="10175" max="10175" width="33.85546875" style="1" bestFit="1" customWidth="1"/>
    <col min="10176" max="10176" width="9.5703125" style="1" bestFit="1" customWidth="1"/>
    <col min="10177" max="10177" width="35.85546875" style="1" bestFit="1" customWidth="1"/>
    <col min="10178" max="10178" width="33.85546875" style="1" bestFit="1" customWidth="1"/>
    <col min="10179" max="10179" width="9.5703125" style="1" bestFit="1" customWidth="1"/>
    <col min="10180" max="10180" width="35.85546875" style="1" bestFit="1" customWidth="1"/>
    <col min="10181" max="10181" width="33.85546875" style="1" bestFit="1" customWidth="1"/>
    <col min="10182" max="10182" width="9.5703125" style="1" bestFit="1" customWidth="1"/>
    <col min="10183" max="10183" width="35.85546875" style="1" bestFit="1" customWidth="1"/>
    <col min="10184" max="10184" width="33.85546875" style="1" bestFit="1" customWidth="1"/>
    <col min="10185" max="10185" width="9.5703125" style="1" bestFit="1" customWidth="1"/>
    <col min="10186" max="10186" width="35.85546875" style="1" bestFit="1" customWidth="1"/>
    <col min="10187" max="10187" width="33.85546875" style="1" bestFit="1" customWidth="1"/>
    <col min="10188" max="10188" width="9.5703125" style="1" bestFit="1" customWidth="1"/>
    <col min="10189" max="10189" width="35.85546875" style="1" bestFit="1" customWidth="1"/>
    <col min="10190" max="10190" width="33.85546875" style="1" bestFit="1" customWidth="1"/>
    <col min="10191" max="10191" width="9.5703125" style="1" bestFit="1" customWidth="1"/>
    <col min="10192" max="10192" width="35.85546875" style="1" bestFit="1" customWidth="1"/>
    <col min="10193" max="10193" width="33.85546875" style="1" bestFit="1" customWidth="1"/>
    <col min="10194" max="10194" width="9.5703125" style="1" bestFit="1" customWidth="1"/>
    <col min="10195" max="10195" width="35.85546875" style="1" bestFit="1" customWidth="1"/>
    <col min="10196" max="10196" width="33.85546875" style="1" bestFit="1" customWidth="1"/>
    <col min="10197" max="10197" width="9.5703125" style="1" bestFit="1" customWidth="1"/>
    <col min="10198" max="10198" width="35.85546875" style="1" bestFit="1" customWidth="1"/>
    <col min="10199" max="10199" width="33.85546875" style="1" bestFit="1" customWidth="1"/>
    <col min="10200" max="10200" width="9.5703125" style="1" bestFit="1" customWidth="1"/>
    <col min="10201" max="10201" width="35.85546875" style="1" bestFit="1" customWidth="1"/>
    <col min="10202" max="10202" width="33.85546875" style="1" bestFit="1" customWidth="1"/>
    <col min="10203" max="10203" width="9.5703125" style="1" bestFit="1" customWidth="1"/>
    <col min="10204" max="10204" width="35.85546875" style="1" bestFit="1" customWidth="1"/>
    <col min="10205" max="10205" width="33.85546875" style="1" bestFit="1" customWidth="1"/>
    <col min="10206" max="10206" width="9.5703125" style="1" bestFit="1" customWidth="1"/>
    <col min="10207" max="10207" width="35.85546875" style="1" bestFit="1" customWidth="1"/>
    <col min="10208" max="10208" width="33.85546875" style="1" bestFit="1" customWidth="1"/>
    <col min="10209" max="10209" width="9.5703125" style="1" bestFit="1" customWidth="1"/>
    <col min="10210" max="10210" width="35.85546875" style="1" bestFit="1" customWidth="1"/>
    <col min="10211" max="10211" width="33.85546875" style="1" bestFit="1" customWidth="1"/>
    <col min="10212" max="10212" width="9.5703125" style="1" bestFit="1" customWidth="1"/>
    <col min="10213" max="10213" width="35.85546875" style="1" bestFit="1" customWidth="1"/>
    <col min="10214" max="10214" width="33.85546875" style="1" bestFit="1" customWidth="1"/>
    <col min="10215" max="10215" width="9.5703125" style="1" bestFit="1" customWidth="1"/>
    <col min="10216" max="10216" width="35.85546875" style="1" bestFit="1" customWidth="1"/>
    <col min="10217" max="10217" width="33.85546875" style="1" bestFit="1" customWidth="1"/>
    <col min="10218" max="10218" width="9.5703125" style="1" bestFit="1" customWidth="1"/>
    <col min="10219" max="10219" width="35.85546875" style="1" bestFit="1" customWidth="1"/>
    <col min="10220" max="10220" width="33.85546875" style="1" bestFit="1" customWidth="1"/>
    <col min="10221" max="10221" width="9.5703125" style="1" bestFit="1" customWidth="1"/>
    <col min="10222" max="10222" width="35.85546875" style="1" bestFit="1" customWidth="1"/>
    <col min="10223" max="10223" width="33.85546875" style="1" bestFit="1" customWidth="1"/>
    <col min="10224" max="10224" width="9.5703125" style="1" bestFit="1" customWidth="1"/>
    <col min="10225" max="10225" width="35.85546875" style="1" bestFit="1" customWidth="1"/>
    <col min="10226" max="10226" width="33.85546875" style="1" bestFit="1" customWidth="1"/>
    <col min="10227" max="10227" width="9.5703125" style="1" bestFit="1" customWidth="1"/>
    <col min="10228" max="10228" width="35.85546875" style="1" bestFit="1" customWidth="1"/>
    <col min="10229" max="10229" width="33.85546875" style="1" bestFit="1" customWidth="1"/>
    <col min="10230" max="10230" width="9.5703125" style="1" bestFit="1" customWidth="1"/>
    <col min="10231" max="10231" width="35.85546875" style="1" bestFit="1" customWidth="1"/>
    <col min="10232" max="10232" width="33.85546875" style="1" bestFit="1" customWidth="1"/>
    <col min="10233" max="10233" width="9.5703125" style="1" bestFit="1" customWidth="1"/>
    <col min="10234" max="10234" width="35.85546875" style="1" bestFit="1" customWidth="1"/>
    <col min="10235" max="10235" width="33.85546875" style="1" bestFit="1" customWidth="1"/>
    <col min="10236" max="10236" width="9.5703125" style="1" bestFit="1" customWidth="1"/>
    <col min="10237" max="10237" width="35.85546875" style="1" bestFit="1" customWidth="1"/>
    <col min="10238" max="10238" width="33.85546875" style="1" bestFit="1" customWidth="1"/>
    <col min="10239" max="10239" width="9.5703125" style="1" bestFit="1" customWidth="1"/>
    <col min="10240" max="10240" width="35.85546875" style="1" bestFit="1" customWidth="1"/>
    <col min="10241" max="10241" width="33.85546875" style="1" bestFit="1" customWidth="1"/>
    <col min="10242" max="10242" width="9.5703125" style="1" bestFit="1" customWidth="1"/>
    <col min="10243" max="10243" width="35.85546875" style="1" bestFit="1" customWidth="1"/>
    <col min="10244" max="10244" width="33.85546875" style="1" bestFit="1" customWidth="1"/>
    <col min="10245" max="10245" width="9.5703125" style="1" bestFit="1" customWidth="1"/>
    <col min="10246" max="10246" width="35.85546875" style="1" bestFit="1" customWidth="1"/>
    <col min="10247" max="10247" width="33.85546875" style="1" bestFit="1" customWidth="1"/>
    <col min="10248" max="10248" width="9.5703125" style="1" bestFit="1" customWidth="1"/>
    <col min="10249" max="10249" width="35.85546875" style="1" bestFit="1" customWidth="1"/>
    <col min="10250" max="10250" width="33.85546875" style="1" bestFit="1" customWidth="1"/>
    <col min="10251" max="10251" width="9.5703125" style="1" bestFit="1" customWidth="1"/>
    <col min="10252" max="10252" width="35.85546875" style="1" bestFit="1" customWidth="1"/>
    <col min="10253" max="10253" width="33.85546875" style="1" bestFit="1" customWidth="1"/>
    <col min="10254" max="10254" width="9.5703125" style="1" bestFit="1" customWidth="1"/>
    <col min="10255" max="10255" width="35.85546875" style="1" bestFit="1" customWidth="1"/>
    <col min="10256" max="10256" width="33.85546875" style="1" bestFit="1" customWidth="1"/>
    <col min="10257" max="10257" width="9.5703125" style="1" bestFit="1" customWidth="1"/>
    <col min="10258" max="10258" width="35.85546875" style="1" bestFit="1" customWidth="1"/>
    <col min="10259" max="10259" width="33.85546875" style="1" bestFit="1" customWidth="1"/>
    <col min="10260" max="10260" width="9.5703125" style="1" bestFit="1" customWidth="1"/>
    <col min="10261" max="10261" width="35.85546875" style="1" bestFit="1" customWidth="1"/>
    <col min="10262" max="10262" width="33.85546875" style="1" bestFit="1" customWidth="1"/>
    <col min="10263" max="10263" width="9.5703125" style="1" bestFit="1" customWidth="1"/>
    <col min="10264" max="10326" width="22.140625" style="1"/>
    <col min="10327" max="10327" width="40.42578125" style="1" customWidth="1"/>
    <col min="10328" max="10328" width="25.42578125" style="1" bestFit="1" customWidth="1"/>
    <col min="10329" max="10329" width="23.85546875" style="1" bestFit="1" customWidth="1"/>
    <col min="10330" max="10330" width="41.85546875" style="1" customWidth="1"/>
    <col min="10331" max="10331" width="26.42578125" style="1" bestFit="1" customWidth="1"/>
    <col min="10332" max="10333" width="16.42578125" style="1" customWidth="1"/>
    <col min="10334" max="10334" width="19.42578125" style="1" customWidth="1"/>
    <col min="10335" max="10335" width="16" style="1" customWidth="1"/>
    <col min="10336" max="10336" width="16.5703125" style="1" customWidth="1"/>
    <col min="10337" max="10337" width="7.5703125" style="1" bestFit="1" customWidth="1"/>
    <col min="10338" max="10338" width="16.5703125" style="1" customWidth="1"/>
    <col min="10339" max="10339" width="17.140625" style="1" customWidth="1"/>
    <col min="10340" max="10363" width="0" style="1" hidden="1" customWidth="1"/>
    <col min="10364" max="10364" width="35.85546875" style="1" bestFit="1" customWidth="1"/>
    <col min="10365" max="10365" width="33.85546875" style="1" bestFit="1" customWidth="1"/>
    <col min="10366" max="10366" width="9.5703125" style="1" bestFit="1" customWidth="1"/>
    <col min="10367" max="10367" width="35.85546875" style="1" bestFit="1" customWidth="1"/>
    <col min="10368" max="10368" width="33.85546875" style="1" bestFit="1" customWidth="1"/>
    <col min="10369" max="10369" width="9.5703125" style="1" bestFit="1" customWidth="1"/>
    <col min="10370" max="10370" width="35.85546875" style="1" bestFit="1" customWidth="1"/>
    <col min="10371" max="10371" width="33.85546875" style="1" bestFit="1" customWidth="1"/>
    <col min="10372" max="10372" width="9.5703125" style="1" bestFit="1" customWidth="1"/>
    <col min="10373" max="10373" width="35.85546875" style="1" bestFit="1" customWidth="1"/>
    <col min="10374" max="10374" width="33.85546875" style="1" bestFit="1" customWidth="1"/>
    <col min="10375" max="10375" width="9.5703125" style="1" bestFit="1" customWidth="1"/>
    <col min="10376" max="10376" width="35.85546875" style="1" bestFit="1" customWidth="1"/>
    <col min="10377" max="10377" width="33.85546875" style="1" bestFit="1" customWidth="1"/>
    <col min="10378" max="10378" width="9.5703125" style="1" bestFit="1" customWidth="1"/>
    <col min="10379" max="10379" width="35.85546875" style="1" bestFit="1" customWidth="1"/>
    <col min="10380" max="10380" width="33.85546875" style="1" bestFit="1" customWidth="1"/>
    <col min="10381" max="10381" width="9.5703125" style="1" bestFit="1" customWidth="1"/>
    <col min="10382" max="10382" width="35.85546875" style="1" bestFit="1" customWidth="1"/>
    <col min="10383" max="10383" width="33.85546875" style="1" bestFit="1" customWidth="1"/>
    <col min="10384" max="10384" width="9.5703125" style="1" bestFit="1" customWidth="1"/>
    <col min="10385" max="10385" width="35.85546875" style="1" bestFit="1" customWidth="1"/>
    <col min="10386" max="10386" width="33.85546875" style="1" bestFit="1" customWidth="1"/>
    <col min="10387" max="10387" width="9.5703125" style="1" bestFit="1" customWidth="1"/>
    <col min="10388" max="10388" width="35.85546875" style="1" bestFit="1" customWidth="1"/>
    <col min="10389" max="10389" width="33.85546875" style="1" bestFit="1" customWidth="1"/>
    <col min="10390" max="10390" width="9.5703125" style="1" bestFit="1" customWidth="1"/>
    <col min="10391" max="10391" width="35.85546875" style="1" bestFit="1" customWidth="1"/>
    <col min="10392" max="10392" width="33.85546875" style="1" bestFit="1" customWidth="1"/>
    <col min="10393" max="10393" width="9.5703125" style="1" bestFit="1" customWidth="1"/>
    <col min="10394" max="10394" width="35.85546875" style="1" bestFit="1" customWidth="1"/>
    <col min="10395" max="10395" width="33.85546875" style="1" bestFit="1" customWidth="1"/>
    <col min="10396" max="10396" width="9.5703125" style="1" bestFit="1" customWidth="1"/>
    <col min="10397" max="10397" width="35.85546875" style="1" bestFit="1" customWidth="1"/>
    <col min="10398" max="10398" width="33.85546875" style="1" bestFit="1" customWidth="1"/>
    <col min="10399" max="10399" width="9.5703125" style="1" bestFit="1" customWidth="1"/>
    <col min="10400" max="10400" width="35.85546875" style="1" bestFit="1" customWidth="1"/>
    <col min="10401" max="10401" width="33.85546875" style="1" bestFit="1" customWidth="1"/>
    <col min="10402" max="10402" width="9.5703125" style="1" bestFit="1" customWidth="1"/>
    <col min="10403" max="10403" width="35.85546875" style="1" bestFit="1" customWidth="1"/>
    <col min="10404" max="10404" width="33.85546875" style="1" bestFit="1" customWidth="1"/>
    <col min="10405" max="10405" width="9.5703125" style="1" bestFit="1" customWidth="1"/>
    <col min="10406" max="10406" width="35.85546875" style="1" bestFit="1" customWidth="1"/>
    <col min="10407" max="10407" width="33.85546875" style="1" bestFit="1" customWidth="1"/>
    <col min="10408" max="10408" width="9.5703125" style="1" bestFit="1" customWidth="1"/>
    <col min="10409" max="10409" width="35.85546875" style="1" bestFit="1" customWidth="1"/>
    <col min="10410" max="10410" width="33.85546875" style="1" bestFit="1" customWidth="1"/>
    <col min="10411" max="10411" width="9.5703125" style="1" bestFit="1" customWidth="1"/>
    <col min="10412" max="10412" width="35.85546875" style="1" bestFit="1" customWidth="1"/>
    <col min="10413" max="10413" width="33.85546875" style="1" bestFit="1" customWidth="1"/>
    <col min="10414" max="10414" width="9.5703125" style="1" bestFit="1" customWidth="1"/>
    <col min="10415" max="10415" width="35.85546875" style="1" bestFit="1" customWidth="1"/>
    <col min="10416" max="10416" width="33.85546875" style="1" bestFit="1" customWidth="1"/>
    <col min="10417" max="10417" width="9.5703125" style="1" bestFit="1" customWidth="1"/>
    <col min="10418" max="10418" width="35.85546875" style="1" bestFit="1" customWidth="1"/>
    <col min="10419" max="10419" width="33.85546875" style="1" bestFit="1" customWidth="1"/>
    <col min="10420" max="10420" width="9.5703125" style="1" bestFit="1" customWidth="1"/>
    <col min="10421" max="10421" width="35.85546875" style="1" bestFit="1" customWidth="1"/>
    <col min="10422" max="10422" width="33.85546875" style="1" bestFit="1" customWidth="1"/>
    <col min="10423" max="10423" width="9.5703125" style="1" bestFit="1" customWidth="1"/>
    <col min="10424" max="10424" width="35.85546875" style="1" bestFit="1" customWidth="1"/>
    <col min="10425" max="10425" width="33.85546875" style="1" bestFit="1" customWidth="1"/>
    <col min="10426" max="10426" width="9.5703125" style="1" bestFit="1" customWidth="1"/>
    <col min="10427" max="10427" width="35.85546875" style="1" bestFit="1" customWidth="1"/>
    <col min="10428" max="10428" width="33.85546875" style="1" bestFit="1" customWidth="1"/>
    <col min="10429" max="10429" width="9.5703125" style="1" bestFit="1" customWidth="1"/>
    <col min="10430" max="10430" width="35.85546875" style="1" bestFit="1" customWidth="1"/>
    <col min="10431" max="10431" width="33.85546875" style="1" bestFit="1" customWidth="1"/>
    <col min="10432" max="10432" width="9.5703125" style="1" bestFit="1" customWidth="1"/>
    <col min="10433" max="10433" width="35.85546875" style="1" bestFit="1" customWidth="1"/>
    <col min="10434" max="10434" width="33.85546875" style="1" bestFit="1" customWidth="1"/>
    <col min="10435" max="10435" width="9.5703125" style="1" bestFit="1" customWidth="1"/>
    <col min="10436" max="10436" width="35.85546875" style="1" bestFit="1" customWidth="1"/>
    <col min="10437" max="10437" width="33.85546875" style="1" bestFit="1" customWidth="1"/>
    <col min="10438" max="10438" width="9.5703125" style="1" bestFit="1" customWidth="1"/>
    <col min="10439" max="10439" width="35.85546875" style="1" bestFit="1" customWidth="1"/>
    <col min="10440" max="10440" width="33.85546875" style="1" bestFit="1" customWidth="1"/>
    <col min="10441" max="10441" width="9.5703125" style="1" bestFit="1" customWidth="1"/>
    <col min="10442" max="10442" width="35.85546875" style="1" bestFit="1" customWidth="1"/>
    <col min="10443" max="10443" width="33.85546875" style="1" bestFit="1" customWidth="1"/>
    <col min="10444" max="10444" width="9.5703125" style="1" bestFit="1" customWidth="1"/>
    <col min="10445" max="10445" width="35.85546875" style="1" bestFit="1" customWidth="1"/>
    <col min="10446" max="10446" width="33.85546875" style="1" bestFit="1" customWidth="1"/>
    <col min="10447" max="10447" width="9.5703125" style="1" bestFit="1" customWidth="1"/>
    <col min="10448" max="10448" width="35.85546875" style="1" bestFit="1" customWidth="1"/>
    <col min="10449" max="10449" width="33.85546875" style="1" bestFit="1" customWidth="1"/>
    <col min="10450" max="10450" width="9.5703125" style="1" bestFit="1" customWidth="1"/>
    <col min="10451" max="10451" width="35.85546875" style="1" bestFit="1" customWidth="1"/>
    <col min="10452" max="10452" width="33.85546875" style="1" bestFit="1" customWidth="1"/>
    <col min="10453" max="10453" width="9.5703125" style="1" bestFit="1" customWidth="1"/>
    <col min="10454" max="10454" width="35.85546875" style="1" bestFit="1" customWidth="1"/>
    <col min="10455" max="10455" width="33.85546875" style="1" bestFit="1" customWidth="1"/>
    <col min="10456" max="10456" width="9.5703125" style="1" bestFit="1" customWidth="1"/>
    <col min="10457" max="10457" width="35.85546875" style="1" bestFit="1" customWidth="1"/>
    <col min="10458" max="10458" width="33.85546875" style="1" bestFit="1" customWidth="1"/>
    <col min="10459" max="10459" width="9.5703125" style="1" bestFit="1" customWidth="1"/>
    <col min="10460" max="10460" width="35.85546875" style="1" bestFit="1" customWidth="1"/>
    <col min="10461" max="10461" width="33.85546875" style="1" bestFit="1" customWidth="1"/>
    <col min="10462" max="10462" width="9.5703125" style="1" bestFit="1" customWidth="1"/>
    <col min="10463" max="10463" width="35.85546875" style="1" bestFit="1" customWidth="1"/>
    <col min="10464" max="10464" width="33.85546875" style="1" bestFit="1" customWidth="1"/>
    <col min="10465" max="10465" width="9.5703125" style="1" bestFit="1" customWidth="1"/>
    <col min="10466" max="10466" width="35.85546875" style="1" bestFit="1" customWidth="1"/>
    <col min="10467" max="10467" width="33.85546875" style="1" bestFit="1" customWidth="1"/>
    <col min="10468" max="10468" width="9.5703125" style="1" bestFit="1" customWidth="1"/>
    <col min="10469" max="10469" width="35.85546875" style="1" bestFit="1" customWidth="1"/>
    <col min="10470" max="10470" width="33.85546875" style="1" bestFit="1" customWidth="1"/>
    <col min="10471" max="10471" width="9.5703125" style="1" bestFit="1" customWidth="1"/>
    <col min="10472" max="10472" width="35.85546875" style="1" bestFit="1" customWidth="1"/>
    <col min="10473" max="10473" width="33.85546875" style="1" bestFit="1" customWidth="1"/>
    <col min="10474" max="10474" width="9.5703125" style="1" bestFit="1" customWidth="1"/>
    <col min="10475" max="10475" width="35.85546875" style="1" bestFit="1" customWidth="1"/>
    <col min="10476" max="10476" width="33.85546875" style="1" bestFit="1" customWidth="1"/>
    <col min="10477" max="10477" width="9.5703125" style="1" bestFit="1" customWidth="1"/>
    <col min="10478" max="10478" width="35.85546875" style="1" bestFit="1" customWidth="1"/>
    <col min="10479" max="10479" width="33.85546875" style="1" bestFit="1" customWidth="1"/>
    <col min="10480" max="10480" width="9.5703125" style="1" bestFit="1" customWidth="1"/>
    <col min="10481" max="10481" width="35.85546875" style="1" bestFit="1" customWidth="1"/>
    <col min="10482" max="10482" width="33.85546875" style="1" bestFit="1" customWidth="1"/>
    <col min="10483" max="10483" width="9.5703125" style="1" bestFit="1" customWidth="1"/>
    <col min="10484" max="10484" width="35.85546875" style="1" bestFit="1" customWidth="1"/>
    <col min="10485" max="10485" width="33.85546875" style="1" bestFit="1" customWidth="1"/>
    <col min="10486" max="10486" width="9.5703125" style="1" bestFit="1" customWidth="1"/>
    <col min="10487" max="10487" width="35.85546875" style="1" bestFit="1" customWidth="1"/>
    <col min="10488" max="10488" width="33.85546875" style="1" bestFit="1" customWidth="1"/>
    <col min="10489" max="10489" width="9.5703125" style="1" bestFit="1" customWidth="1"/>
    <col min="10490" max="10490" width="35.85546875" style="1" bestFit="1" customWidth="1"/>
    <col min="10491" max="10491" width="33.85546875" style="1" bestFit="1" customWidth="1"/>
    <col min="10492" max="10492" width="9.5703125" style="1" bestFit="1" customWidth="1"/>
    <col min="10493" max="10493" width="35.85546875" style="1" bestFit="1" customWidth="1"/>
    <col min="10494" max="10494" width="33.85546875" style="1" bestFit="1" customWidth="1"/>
    <col min="10495" max="10495" width="9.5703125" style="1" bestFit="1" customWidth="1"/>
    <col min="10496" max="10496" width="35.85546875" style="1" bestFit="1" customWidth="1"/>
    <col min="10497" max="10497" width="33.85546875" style="1" bestFit="1" customWidth="1"/>
    <col min="10498" max="10498" width="9.5703125" style="1" bestFit="1" customWidth="1"/>
    <col min="10499" max="10499" width="35.85546875" style="1" bestFit="1" customWidth="1"/>
    <col min="10500" max="10500" width="33.85546875" style="1" bestFit="1" customWidth="1"/>
    <col min="10501" max="10501" width="9.5703125" style="1" bestFit="1" customWidth="1"/>
    <col min="10502" max="10502" width="35.85546875" style="1" bestFit="1" customWidth="1"/>
    <col min="10503" max="10503" width="33.85546875" style="1" bestFit="1" customWidth="1"/>
    <col min="10504" max="10504" width="9.5703125" style="1" bestFit="1" customWidth="1"/>
    <col min="10505" max="10505" width="35.85546875" style="1" bestFit="1" customWidth="1"/>
    <col min="10506" max="10506" width="33.85546875" style="1" bestFit="1" customWidth="1"/>
    <col min="10507" max="10507" width="9.5703125" style="1" bestFit="1" customWidth="1"/>
    <col min="10508" max="10508" width="35.85546875" style="1" bestFit="1" customWidth="1"/>
    <col min="10509" max="10509" width="33.85546875" style="1" bestFit="1" customWidth="1"/>
    <col min="10510" max="10510" width="9.5703125" style="1" bestFit="1" customWidth="1"/>
    <col min="10511" max="10511" width="35.85546875" style="1" bestFit="1" customWidth="1"/>
    <col min="10512" max="10512" width="33.85546875" style="1" bestFit="1" customWidth="1"/>
    <col min="10513" max="10513" width="9.5703125" style="1" bestFit="1" customWidth="1"/>
    <col min="10514" max="10514" width="35.85546875" style="1" bestFit="1" customWidth="1"/>
    <col min="10515" max="10515" width="33.85546875" style="1" bestFit="1" customWidth="1"/>
    <col min="10516" max="10516" width="9.5703125" style="1" bestFit="1" customWidth="1"/>
    <col min="10517" max="10517" width="35.85546875" style="1" bestFit="1" customWidth="1"/>
    <col min="10518" max="10518" width="33.85546875" style="1" bestFit="1" customWidth="1"/>
    <col min="10519" max="10519" width="9.5703125" style="1" bestFit="1" customWidth="1"/>
    <col min="10520" max="10582" width="22.140625" style="1"/>
    <col min="10583" max="10583" width="40.42578125" style="1" customWidth="1"/>
    <col min="10584" max="10584" width="25.42578125" style="1" bestFit="1" customWidth="1"/>
    <col min="10585" max="10585" width="23.85546875" style="1" bestFit="1" customWidth="1"/>
    <col min="10586" max="10586" width="41.85546875" style="1" customWidth="1"/>
    <col min="10587" max="10587" width="26.42578125" style="1" bestFit="1" customWidth="1"/>
    <col min="10588" max="10589" width="16.42578125" style="1" customWidth="1"/>
    <col min="10590" max="10590" width="19.42578125" style="1" customWidth="1"/>
    <col min="10591" max="10591" width="16" style="1" customWidth="1"/>
    <col min="10592" max="10592" width="16.5703125" style="1" customWidth="1"/>
    <col min="10593" max="10593" width="7.5703125" style="1" bestFit="1" customWidth="1"/>
    <col min="10594" max="10594" width="16.5703125" style="1" customWidth="1"/>
    <col min="10595" max="10595" width="17.140625" style="1" customWidth="1"/>
    <col min="10596" max="10619" width="0" style="1" hidden="1" customWidth="1"/>
    <col min="10620" max="10620" width="35.85546875" style="1" bestFit="1" customWidth="1"/>
    <col min="10621" max="10621" width="33.85546875" style="1" bestFit="1" customWidth="1"/>
    <col min="10622" max="10622" width="9.5703125" style="1" bestFit="1" customWidth="1"/>
    <col min="10623" max="10623" width="35.85546875" style="1" bestFit="1" customWidth="1"/>
    <col min="10624" max="10624" width="33.85546875" style="1" bestFit="1" customWidth="1"/>
    <col min="10625" max="10625" width="9.5703125" style="1" bestFit="1" customWidth="1"/>
    <col min="10626" max="10626" width="35.85546875" style="1" bestFit="1" customWidth="1"/>
    <col min="10627" max="10627" width="33.85546875" style="1" bestFit="1" customWidth="1"/>
    <col min="10628" max="10628" width="9.5703125" style="1" bestFit="1" customWidth="1"/>
    <col min="10629" max="10629" width="35.85546875" style="1" bestFit="1" customWidth="1"/>
    <col min="10630" max="10630" width="33.85546875" style="1" bestFit="1" customWidth="1"/>
    <col min="10631" max="10631" width="9.5703125" style="1" bestFit="1" customWidth="1"/>
    <col min="10632" max="10632" width="35.85546875" style="1" bestFit="1" customWidth="1"/>
    <col min="10633" max="10633" width="33.85546875" style="1" bestFit="1" customWidth="1"/>
    <col min="10634" max="10634" width="9.5703125" style="1" bestFit="1" customWidth="1"/>
    <col min="10635" max="10635" width="35.85546875" style="1" bestFit="1" customWidth="1"/>
    <col min="10636" max="10636" width="33.85546875" style="1" bestFit="1" customWidth="1"/>
    <col min="10637" max="10637" width="9.5703125" style="1" bestFit="1" customWidth="1"/>
    <col min="10638" max="10638" width="35.85546875" style="1" bestFit="1" customWidth="1"/>
    <col min="10639" max="10639" width="33.85546875" style="1" bestFit="1" customWidth="1"/>
    <col min="10640" max="10640" width="9.5703125" style="1" bestFit="1" customWidth="1"/>
    <col min="10641" max="10641" width="35.85546875" style="1" bestFit="1" customWidth="1"/>
    <col min="10642" max="10642" width="33.85546875" style="1" bestFit="1" customWidth="1"/>
    <col min="10643" max="10643" width="9.5703125" style="1" bestFit="1" customWidth="1"/>
    <col min="10644" max="10644" width="35.85546875" style="1" bestFit="1" customWidth="1"/>
    <col min="10645" max="10645" width="33.85546875" style="1" bestFit="1" customWidth="1"/>
    <col min="10646" max="10646" width="9.5703125" style="1" bestFit="1" customWidth="1"/>
    <col min="10647" max="10647" width="35.85546875" style="1" bestFit="1" customWidth="1"/>
    <col min="10648" max="10648" width="33.85546875" style="1" bestFit="1" customWidth="1"/>
    <col min="10649" max="10649" width="9.5703125" style="1" bestFit="1" customWidth="1"/>
    <col min="10650" max="10650" width="35.85546875" style="1" bestFit="1" customWidth="1"/>
    <col min="10651" max="10651" width="33.85546875" style="1" bestFit="1" customWidth="1"/>
    <col min="10652" max="10652" width="9.5703125" style="1" bestFit="1" customWidth="1"/>
    <col min="10653" max="10653" width="35.85546875" style="1" bestFit="1" customWidth="1"/>
    <col min="10654" max="10654" width="33.85546875" style="1" bestFit="1" customWidth="1"/>
    <col min="10655" max="10655" width="9.5703125" style="1" bestFit="1" customWidth="1"/>
    <col min="10656" max="10656" width="35.85546875" style="1" bestFit="1" customWidth="1"/>
    <col min="10657" max="10657" width="33.85546875" style="1" bestFit="1" customWidth="1"/>
    <col min="10658" max="10658" width="9.5703125" style="1" bestFit="1" customWidth="1"/>
    <col min="10659" max="10659" width="35.85546875" style="1" bestFit="1" customWidth="1"/>
    <col min="10660" max="10660" width="33.85546875" style="1" bestFit="1" customWidth="1"/>
    <col min="10661" max="10661" width="9.5703125" style="1" bestFit="1" customWidth="1"/>
    <col min="10662" max="10662" width="35.85546875" style="1" bestFit="1" customWidth="1"/>
    <col min="10663" max="10663" width="33.85546875" style="1" bestFit="1" customWidth="1"/>
    <col min="10664" max="10664" width="9.5703125" style="1" bestFit="1" customWidth="1"/>
    <col min="10665" max="10665" width="35.85546875" style="1" bestFit="1" customWidth="1"/>
    <col min="10666" max="10666" width="33.85546875" style="1" bestFit="1" customWidth="1"/>
    <col min="10667" max="10667" width="9.5703125" style="1" bestFit="1" customWidth="1"/>
    <col min="10668" max="10668" width="35.85546875" style="1" bestFit="1" customWidth="1"/>
    <col min="10669" max="10669" width="33.85546875" style="1" bestFit="1" customWidth="1"/>
    <col min="10670" max="10670" width="9.5703125" style="1" bestFit="1" customWidth="1"/>
    <col min="10671" max="10671" width="35.85546875" style="1" bestFit="1" customWidth="1"/>
    <col min="10672" max="10672" width="33.85546875" style="1" bestFit="1" customWidth="1"/>
    <col min="10673" max="10673" width="9.5703125" style="1" bestFit="1" customWidth="1"/>
    <col min="10674" max="10674" width="35.85546875" style="1" bestFit="1" customWidth="1"/>
    <col min="10675" max="10675" width="33.85546875" style="1" bestFit="1" customWidth="1"/>
    <col min="10676" max="10676" width="9.5703125" style="1" bestFit="1" customWidth="1"/>
    <col min="10677" max="10677" width="35.85546875" style="1" bestFit="1" customWidth="1"/>
    <col min="10678" max="10678" width="33.85546875" style="1" bestFit="1" customWidth="1"/>
    <col min="10679" max="10679" width="9.5703125" style="1" bestFit="1" customWidth="1"/>
    <col min="10680" max="10680" width="35.85546875" style="1" bestFit="1" customWidth="1"/>
    <col min="10681" max="10681" width="33.85546875" style="1" bestFit="1" customWidth="1"/>
    <col min="10682" max="10682" width="9.5703125" style="1" bestFit="1" customWidth="1"/>
    <col min="10683" max="10683" width="35.85546875" style="1" bestFit="1" customWidth="1"/>
    <col min="10684" max="10684" width="33.85546875" style="1" bestFit="1" customWidth="1"/>
    <col min="10685" max="10685" width="9.5703125" style="1" bestFit="1" customWidth="1"/>
    <col min="10686" max="10686" width="35.85546875" style="1" bestFit="1" customWidth="1"/>
    <col min="10687" max="10687" width="33.85546875" style="1" bestFit="1" customWidth="1"/>
    <col min="10688" max="10688" width="9.5703125" style="1" bestFit="1" customWidth="1"/>
    <col min="10689" max="10689" width="35.85546875" style="1" bestFit="1" customWidth="1"/>
    <col min="10690" max="10690" width="33.85546875" style="1" bestFit="1" customWidth="1"/>
    <col min="10691" max="10691" width="9.5703125" style="1" bestFit="1" customWidth="1"/>
    <col min="10692" max="10692" width="35.85546875" style="1" bestFit="1" customWidth="1"/>
    <col min="10693" max="10693" width="33.85546875" style="1" bestFit="1" customWidth="1"/>
    <col min="10694" max="10694" width="9.5703125" style="1" bestFit="1" customWidth="1"/>
    <col min="10695" max="10695" width="35.85546875" style="1" bestFit="1" customWidth="1"/>
    <col min="10696" max="10696" width="33.85546875" style="1" bestFit="1" customWidth="1"/>
    <col min="10697" max="10697" width="9.5703125" style="1" bestFit="1" customWidth="1"/>
    <col min="10698" max="10698" width="35.85546875" style="1" bestFit="1" customWidth="1"/>
    <col min="10699" max="10699" width="33.85546875" style="1" bestFit="1" customWidth="1"/>
    <col min="10700" max="10700" width="9.5703125" style="1" bestFit="1" customWidth="1"/>
    <col min="10701" max="10701" width="35.85546875" style="1" bestFit="1" customWidth="1"/>
    <col min="10702" max="10702" width="33.85546875" style="1" bestFit="1" customWidth="1"/>
    <col min="10703" max="10703" width="9.5703125" style="1" bestFit="1" customWidth="1"/>
    <col min="10704" max="10704" width="35.85546875" style="1" bestFit="1" customWidth="1"/>
    <col min="10705" max="10705" width="33.85546875" style="1" bestFit="1" customWidth="1"/>
    <col min="10706" max="10706" width="9.5703125" style="1" bestFit="1" customWidth="1"/>
    <col min="10707" max="10707" width="35.85546875" style="1" bestFit="1" customWidth="1"/>
    <col min="10708" max="10708" width="33.85546875" style="1" bestFit="1" customWidth="1"/>
    <col min="10709" max="10709" width="9.5703125" style="1" bestFit="1" customWidth="1"/>
    <col min="10710" max="10710" width="35.85546875" style="1" bestFit="1" customWidth="1"/>
    <col min="10711" max="10711" width="33.85546875" style="1" bestFit="1" customWidth="1"/>
    <col min="10712" max="10712" width="9.5703125" style="1" bestFit="1" customWidth="1"/>
    <col min="10713" max="10713" width="35.85546875" style="1" bestFit="1" customWidth="1"/>
    <col min="10714" max="10714" width="33.85546875" style="1" bestFit="1" customWidth="1"/>
    <col min="10715" max="10715" width="9.5703125" style="1" bestFit="1" customWidth="1"/>
    <col min="10716" max="10716" width="35.85546875" style="1" bestFit="1" customWidth="1"/>
    <col min="10717" max="10717" width="33.85546875" style="1" bestFit="1" customWidth="1"/>
    <col min="10718" max="10718" width="9.5703125" style="1" bestFit="1" customWidth="1"/>
    <col min="10719" max="10719" width="35.85546875" style="1" bestFit="1" customWidth="1"/>
    <col min="10720" max="10720" width="33.85546875" style="1" bestFit="1" customWidth="1"/>
    <col min="10721" max="10721" width="9.5703125" style="1" bestFit="1" customWidth="1"/>
    <col min="10722" max="10722" width="35.85546875" style="1" bestFit="1" customWidth="1"/>
    <col min="10723" max="10723" width="33.85546875" style="1" bestFit="1" customWidth="1"/>
    <col min="10724" max="10724" width="9.5703125" style="1" bestFit="1" customWidth="1"/>
    <col min="10725" max="10725" width="35.85546875" style="1" bestFit="1" customWidth="1"/>
    <col min="10726" max="10726" width="33.85546875" style="1" bestFit="1" customWidth="1"/>
    <col min="10727" max="10727" width="9.5703125" style="1" bestFit="1" customWidth="1"/>
    <col min="10728" max="10728" width="35.85546875" style="1" bestFit="1" customWidth="1"/>
    <col min="10729" max="10729" width="33.85546875" style="1" bestFit="1" customWidth="1"/>
    <col min="10730" max="10730" width="9.5703125" style="1" bestFit="1" customWidth="1"/>
    <col min="10731" max="10731" width="35.85546875" style="1" bestFit="1" customWidth="1"/>
    <col min="10732" max="10732" width="33.85546875" style="1" bestFit="1" customWidth="1"/>
    <col min="10733" max="10733" width="9.5703125" style="1" bestFit="1" customWidth="1"/>
    <col min="10734" max="10734" width="35.85546875" style="1" bestFit="1" customWidth="1"/>
    <col min="10735" max="10735" width="33.85546875" style="1" bestFit="1" customWidth="1"/>
    <col min="10736" max="10736" width="9.5703125" style="1" bestFit="1" customWidth="1"/>
    <col min="10737" max="10737" width="35.85546875" style="1" bestFit="1" customWidth="1"/>
    <col min="10738" max="10738" width="33.85546875" style="1" bestFit="1" customWidth="1"/>
    <col min="10739" max="10739" width="9.5703125" style="1" bestFit="1" customWidth="1"/>
    <col min="10740" max="10740" width="35.85546875" style="1" bestFit="1" customWidth="1"/>
    <col min="10741" max="10741" width="33.85546875" style="1" bestFit="1" customWidth="1"/>
    <col min="10742" max="10742" width="9.5703125" style="1" bestFit="1" customWidth="1"/>
    <col min="10743" max="10743" width="35.85546875" style="1" bestFit="1" customWidth="1"/>
    <col min="10744" max="10744" width="33.85546875" style="1" bestFit="1" customWidth="1"/>
    <col min="10745" max="10745" width="9.5703125" style="1" bestFit="1" customWidth="1"/>
    <col min="10746" max="10746" width="35.85546875" style="1" bestFit="1" customWidth="1"/>
    <col min="10747" max="10747" width="33.85546875" style="1" bestFit="1" customWidth="1"/>
    <col min="10748" max="10748" width="9.5703125" style="1" bestFit="1" customWidth="1"/>
    <col min="10749" max="10749" width="35.85546875" style="1" bestFit="1" customWidth="1"/>
    <col min="10750" max="10750" width="33.85546875" style="1" bestFit="1" customWidth="1"/>
    <col min="10751" max="10751" width="9.5703125" style="1" bestFit="1" customWidth="1"/>
    <col min="10752" max="10752" width="35.85546875" style="1" bestFit="1" customWidth="1"/>
    <col min="10753" max="10753" width="33.85546875" style="1" bestFit="1" customWidth="1"/>
    <col min="10754" max="10754" width="9.5703125" style="1" bestFit="1" customWidth="1"/>
    <col min="10755" max="10755" width="35.85546875" style="1" bestFit="1" customWidth="1"/>
    <col min="10756" max="10756" width="33.85546875" style="1" bestFit="1" customWidth="1"/>
    <col min="10757" max="10757" width="9.5703125" style="1" bestFit="1" customWidth="1"/>
    <col min="10758" max="10758" width="35.85546875" style="1" bestFit="1" customWidth="1"/>
    <col min="10759" max="10759" width="33.85546875" style="1" bestFit="1" customWidth="1"/>
    <col min="10760" max="10760" width="9.5703125" style="1" bestFit="1" customWidth="1"/>
    <col min="10761" max="10761" width="35.85546875" style="1" bestFit="1" customWidth="1"/>
    <col min="10762" max="10762" width="33.85546875" style="1" bestFit="1" customWidth="1"/>
    <col min="10763" max="10763" width="9.5703125" style="1" bestFit="1" customWidth="1"/>
    <col min="10764" max="10764" width="35.85546875" style="1" bestFit="1" customWidth="1"/>
    <col min="10765" max="10765" width="33.85546875" style="1" bestFit="1" customWidth="1"/>
    <col min="10766" max="10766" width="9.5703125" style="1" bestFit="1" customWidth="1"/>
    <col min="10767" max="10767" width="35.85546875" style="1" bestFit="1" customWidth="1"/>
    <col min="10768" max="10768" width="33.85546875" style="1" bestFit="1" customWidth="1"/>
    <col min="10769" max="10769" width="9.5703125" style="1" bestFit="1" customWidth="1"/>
    <col min="10770" max="10770" width="35.85546875" style="1" bestFit="1" customWidth="1"/>
    <col min="10771" max="10771" width="33.85546875" style="1" bestFit="1" customWidth="1"/>
    <col min="10772" max="10772" width="9.5703125" style="1" bestFit="1" customWidth="1"/>
    <col min="10773" max="10773" width="35.85546875" style="1" bestFit="1" customWidth="1"/>
    <col min="10774" max="10774" width="33.85546875" style="1" bestFit="1" customWidth="1"/>
    <col min="10775" max="10775" width="9.5703125" style="1" bestFit="1" customWidth="1"/>
    <col min="10776" max="10838" width="22.140625" style="1"/>
    <col min="10839" max="10839" width="40.42578125" style="1" customWidth="1"/>
    <col min="10840" max="10840" width="25.42578125" style="1" bestFit="1" customWidth="1"/>
    <col min="10841" max="10841" width="23.85546875" style="1" bestFit="1" customWidth="1"/>
    <col min="10842" max="10842" width="41.85546875" style="1" customWidth="1"/>
    <col min="10843" max="10843" width="26.42578125" style="1" bestFit="1" customWidth="1"/>
    <col min="10844" max="10845" width="16.42578125" style="1" customWidth="1"/>
    <col min="10846" max="10846" width="19.42578125" style="1" customWidth="1"/>
    <col min="10847" max="10847" width="16" style="1" customWidth="1"/>
    <col min="10848" max="10848" width="16.5703125" style="1" customWidth="1"/>
    <col min="10849" max="10849" width="7.5703125" style="1" bestFit="1" customWidth="1"/>
    <col min="10850" max="10850" width="16.5703125" style="1" customWidth="1"/>
    <col min="10851" max="10851" width="17.140625" style="1" customWidth="1"/>
    <col min="10852" max="10875" width="0" style="1" hidden="1" customWidth="1"/>
    <col min="10876" max="10876" width="35.85546875" style="1" bestFit="1" customWidth="1"/>
    <col min="10877" max="10877" width="33.85546875" style="1" bestFit="1" customWidth="1"/>
    <col min="10878" max="10878" width="9.5703125" style="1" bestFit="1" customWidth="1"/>
    <col min="10879" max="10879" width="35.85546875" style="1" bestFit="1" customWidth="1"/>
    <col min="10880" max="10880" width="33.85546875" style="1" bestFit="1" customWidth="1"/>
    <col min="10881" max="10881" width="9.5703125" style="1" bestFit="1" customWidth="1"/>
    <col min="10882" max="10882" width="35.85546875" style="1" bestFit="1" customWidth="1"/>
    <col min="10883" max="10883" width="33.85546875" style="1" bestFit="1" customWidth="1"/>
    <col min="10884" max="10884" width="9.5703125" style="1" bestFit="1" customWidth="1"/>
    <col min="10885" max="10885" width="35.85546875" style="1" bestFit="1" customWidth="1"/>
    <col min="10886" max="10886" width="33.85546875" style="1" bestFit="1" customWidth="1"/>
    <col min="10887" max="10887" width="9.5703125" style="1" bestFit="1" customWidth="1"/>
    <col min="10888" max="10888" width="35.85546875" style="1" bestFit="1" customWidth="1"/>
    <col min="10889" max="10889" width="33.85546875" style="1" bestFit="1" customWidth="1"/>
    <col min="10890" max="10890" width="9.5703125" style="1" bestFit="1" customWidth="1"/>
    <col min="10891" max="10891" width="35.85546875" style="1" bestFit="1" customWidth="1"/>
    <col min="10892" max="10892" width="33.85546875" style="1" bestFit="1" customWidth="1"/>
    <col min="10893" max="10893" width="9.5703125" style="1" bestFit="1" customWidth="1"/>
    <col min="10894" max="10894" width="35.85546875" style="1" bestFit="1" customWidth="1"/>
    <col min="10895" max="10895" width="33.85546875" style="1" bestFit="1" customWidth="1"/>
    <col min="10896" max="10896" width="9.5703125" style="1" bestFit="1" customWidth="1"/>
    <col min="10897" max="10897" width="35.85546875" style="1" bestFit="1" customWidth="1"/>
    <col min="10898" max="10898" width="33.85546875" style="1" bestFit="1" customWidth="1"/>
    <col min="10899" max="10899" width="9.5703125" style="1" bestFit="1" customWidth="1"/>
    <col min="10900" max="10900" width="35.85546875" style="1" bestFit="1" customWidth="1"/>
    <col min="10901" max="10901" width="33.85546875" style="1" bestFit="1" customWidth="1"/>
    <col min="10902" max="10902" width="9.5703125" style="1" bestFit="1" customWidth="1"/>
    <col min="10903" max="10903" width="35.85546875" style="1" bestFit="1" customWidth="1"/>
    <col min="10904" max="10904" width="33.85546875" style="1" bestFit="1" customWidth="1"/>
    <col min="10905" max="10905" width="9.5703125" style="1" bestFit="1" customWidth="1"/>
    <col min="10906" max="10906" width="35.85546875" style="1" bestFit="1" customWidth="1"/>
    <col min="10907" max="10907" width="33.85546875" style="1" bestFit="1" customWidth="1"/>
    <col min="10908" max="10908" width="9.5703125" style="1" bestFit="1" customWidth="1"/>
    <col min="10909" max="10909" width="35.85546875" style="1" bestFit="1" customWidth="1"/>
    <col min="10910" max="10910" width="33.85546875" style="1" bestFit="1" customWidth="1"/>
    <col min="10911" max="10911" width="9.5703125" style="1" bestFit="1" customWidth="1"/>
    <col min="10912" max="10912" width="35.85546875" style="1" bestFit="1" customWidth="1"/>
    <col min="10913" max="10913" width="33.85546875" style="1" bestFit="1" customWidth="1"/>
    <col min="10914" max="10914" width="9.5703125" style="1" bestFit="1" customWidth="1"/>
    <col min="10915" max="10915" width="35.85546875" style="1" bestFit="1" customWidth="1"/>
    <col min="10916" max="10916" width="33.85546875" style="1" bestFit="1" customWidth="1"/>
    <col min="10917" max="10917" width="9.5703125" style="1" bestFit="1" customWidth="1"/>
    <col min="10918" max="10918" width="35.85546875" style="1" bestFit="1" customWidth="1"/>
    <col min="10919" max="10919" width="33.85546875" style="1" bestFit="1" customWidth="1"/>
    <col min="10920" max="10920" width="9.5703125" style="1" bestFit="1" customWidth="1"/>
    <col min="10921" max="10921" width="35.85546875" style="1" bestFit="1" customWidth="1"/>
    <col min="10922" max="10922" width="33.85546875" style="1" bestFit="1" customWidth="1"/>
    <col min="10923" max="10923" width="9.5703125" style="1" bestFit="1" customWidth="1"/>
    <col min="10924" max="10924" width="35.85546875" style="1" bestFit="1" customWidth="1"/>
    <col min="10925" max="10925" width="33.85546875" style="1" bestFit="1" customWidth="1"/>
    <col min="10926" max="10926" width="9.5703125" style="1" bestFit="1" customWidth="1"/>
    <col min="10927" max="10927" width="35.85546875" style="1" bestFit="1" customWidth="1"/>
    <col min="10928" max="10928" width="33.85546875" style="1" bestFit="1" customWidth="1"/>
    <col min="10929" max="10929" width="9.5703125" style="1" bestFit="1" customWidth="1"/>
    <col min="10930" max="10930" width="35.85546875" style="1" bestFit="1" customWidth="1"/>
    <col min="10931" max="10931" width="33.85546875" style="1" bestFit="1" customWidth="1"/>
    <col min="10932" max="10932" width="9.5703125" style="1" bestFit="1" customWidth="1"/>
    <col min="10933" max="10933" width="35.85546875" style="1" bestFit="1" customWidth="1"/>
    <col min="10934" max="10934" width="33.85546875" style="1" bestFit="1" customWidth="1"/>
    <col min="10935" max="10935" width="9.5703125" style="1" bestFit="1" customWidth="1"/>
    <col min="10936" max="10936" width="35.85546875" style="1" bestFit="1" customWidth="1"/>
    <col min="10937" max="10937" width="33.85546875" style="1" bestFit="1" customWidth="1"/>
    <col min="10938" max="10938" width="9.5703125" style="1" bestFit="1" customWidth="1"/>
    <col min="10939" max="10939" width="35.85546875" style="1" bestFit="1" customWidth="1"/>
    <col min="10940" max="10940" width="33.85546875" style="1" bestFit="1" customWidth="1"/>
    <col min="10941" max="10941" width="9.5703125" style="1" bestFit="1" customWidth="1"/>
    <col min="10942" max="10942" width="35.85546875" style="1" bestFit="1" customWidth="1"/>
    <col min="10943" max="10943" width="33.85546875" style="1" bestFit="1" customWidth="1"/>
    <col min="10944" max="10944" width="9.5703125" style="1" bestFit="1" customWidth="1"/>
    <col min="10945" max="10945" width="35.85546875" style="1" bestFit="1" customWidth="1"/>
    <col min="10946" max="10946" width="33.85546875" style="1" bestFit="1" customWidth="1"/>
    <col min="10947" max="10947" width="9.5703125" style="1" bestFit="1" customWidth="1"/>
    <col min="10948" max="10948" width="35.85546875" style="1" bestFit="1" customWidth="1"/>
    <col min="10949" max="10949" width="33.85546875" style="1" bestFit="1" customWidth="1"/>
    <col min="10950" max="10950" width="9.5703125" style="1" bestFit="1" customWidth="1"/>
    <col min="10951" max="10951" width="35.85546875" style="1" bestFit="1" customWidth="1"/>
    <col min="10952" max="10952" width="33.85546875" style="1" bestFit="1" customWidth="1"/>
    <col min="10953" max="10953" width="9.5703125" style="1" bestFit="1" customWidth="1"/>
    <col min="10954" max="10954" width="35.85546875" style="1" bestFit="1" customWidth="1"/>
    <col min="10955" max="10955" width="33.85546875" style="1" bestFit="1" customWidth="1"/>
    <col min="10956" max="10956" width="9.5703125" style="1" bestFit="1" customWidth="1"/>
    <col min="10957" max="10957" width="35.85546875" style="1" bestFit="1" customWidth="1"/>
    <col min="10958" max="10958" width="33.85546875" style="1" bestFit="1" customWidth="1"/>
    <col min="10959" max="10959" width="9.5703125" style="1" bestFit="1" customWidth="1"/>
    <col min="10960" max="10960" width="35.85546875" style="1" bestFit="1" customWidth="1"/>
    <col min="10961" max="10961" width="33.85546875" style="1" bestFit="1" customWidth="1"/>
    <col min="10962" max="10962" width="9.5703125" style="1" bestFit="1" customWidth="1"/>
    <col min="10963" max="10963" width="35.85546875" style="1" bestFit="1" customWidth="1"/>
    <col min="10964" max="10964" width="33.85546875" style="1" bestFit="1" customWidth="1"/>
    <col min="10965" max="10965" width="9.5703125" style="1" bestFit="1" customWidth="1"/>
    <col min="10966" max="10966" width="35.85546875" style="1" bestFit="1" customWidth="1"/>
    <col min="10967" max="10967" width="33.85546875" style="1" bestFit="1" customWidth="1"/>
    <col min="10968" max="10968" width="9.5703125" style="1" bestFit="1" customWidth="1"/>
    <col min="10969" max="10969" width="35.85546875" style="1" bestFit="1" customWidth="1"/>
    <col min="10970" max="10970" width="33.85546875" style="1" bestFit="1" customWidth="1"/>
    <col min="10971" max="10971" width="9.5703125" style="1" bestFit="1" customWidth="1"/>
    <col min="10972" max="10972" width="35.85546875" style="1" bestFit="1" customWidth="1"/>
    <col min="10973" max="10973" width="33.85546875" style="1" bestFit="1" customWidth="1"/>
    <col min="10974" max="10974" width="9.5703125" style="1" bestFit="1" customWidth="1"/>
    <col min="10975" max="10975" width="35.85546875" style="1" bestFit="1" customWidth="1"/>
    <col min="10976" max="10976" width="33.85546875" style="1" bestFit="1" customWidth="1"/>
    <col min="10977" max="10977" width="9.5703125" style="1" bestFit="1" customWidth="1"/>
    <col min="10978" max="10978" width="35.85546875" style="1" bestFit="1" customWidth="1"/>
    <col min="10979" max="10979" width="33.85546875" style="1" bestFit="1" customWidth="1"/>
    <col min="10980" max="10980" width="9.5703125" style="1" bestFit="1" customWidth="1"/>
    <col min="10981" max="10981" width="35.85546875" style="1" bestFit="1" customWidth="1"/>
    <col min="10982" max="10982" width="33.85546875" style="1" bestFit="1" customWidth="1"/>
    <col min="10983" max="10983" width="9.5703125" style="1" bestFit="1" customWidth="1"/>
    <col min="10984" max="10984" width="35.85546875" style="1" bestFit="1" customWidth="1"/>
    <col min="10985" max="10985" width="33.85546875" style="1" bestFit="1" customWidth="1"/>
    <col min="10986" max="10986" width="9.5703125" style="1" bestFit="1" customWidth="1"/>
    <col min="10987" max="10987" width="35.85546875" style="1" bestFit="1" customWidth="1"/>
    <col min="10988" max="10988" width="33.85546875" style="1" bestFit="1" customWidth="1"/>
    <col min="10989" max="10989" width="9.5703125" style="1" bestFit="1" customWidth="1"/>
    <col min="10990" max="10990" width="35.85546875" style="1" bestFit="1" customWidth="1"/>
    <col min="10991" max="10991" width="33.85546875" style="1" bestFit="1" customWidth="1"/>
    <col min="10992" max="10992" width="9.5703125" style="1" bestFit="1" customWidth="1"/>
    <col min="10993" max="10993" width="35.85546875" style="1" bestFit="1" customWidth="1"/>
    <col min="10994" max="10994" width="33.85546875" style="1" bestFit="1" customWidth="1"/>
    <col min="10995" max="10995" width="9.5703125" style="1" bestFit="1" customWidth="1"/>
    <col min="10996" max="10996" width="35.85546875" style="1" bestFit="1" customWidth="1"/>
    <col min="10997" max="10997" width="33.85546875" style="1" bestFit="1" customWidth="1"/>
    <col min="10998" max="10998" width="9.5703125" style="1" bestFit="1" customWidth="1"/>
    <col min="10999" max="10999" width="35.85546875" style="1" bestFit="1" customWidth="1"/>
    <col min="11000" max="11000" width="33.85546875" style="1" bestFit="1" customWidth="1"/>
    <col min="11001" max="11001" width="9.5703125" style="1" bestFit="1" customWidth="1"/>
    <col min="11002" max="11002" width="35.85546875" style="1" bestFit="1" customWidth="1"/>
    <col min="11003" max="11003" width="33.85546875" style="1" bestFit="1" customWidth="1"/>
    <col min="11004" max="11004" width="9.5703125" style="1" bestFit="1" customWidth="1"/>
    <col min="11005" max="11005" width="35.85546875" style="1" bestFit="1" customWidth="1"/>
    <col min="11006" max="11006" width="33.85546875" style="1" bestFit="1" customWidth="1"/>
    <col min="11007" max="11007" width="9.5703125" style="1" bestFit="1" customWidth="1"/>
    <col min="11008" max="11008" width="35.85546875" style="1" bestFit="1" customWidth="1"/>
    <col min="11009" max="11009" width="33.85546875" style="1" bestFit="1" customWidth="1"/>
    <col min="11010" max="11010" width="9.5703125" style="1" bestFit="1" customWidth="1"/>
    <col min="11011" max="11011" width="35.85546875" style="1" bestFit="1" customWidth="1"/>
    <col min="11012" max="11012" width="33.85546875" style="1" bestFit="1" customWidth="1"/>
    <col min="11013" max="11013" width="9.5703125" style="1" bestFit="1" customWidth="1"/>
    <col min="11014" max="11014" width="35.85546875" style="1" bestFit="1" customWidth="1"/>
    <col min="11015" max="11015" width="33.85546875" style="1" bestFit="1" customWidth="1"/>
    <col min="11016" max="11016" width="9.5703125" style="1" bestFit="1" customWidth="1"/>
    <col min="11017" max="11017" width="35.85546875" style="1" bestFit="1" customWidth="1"/>
    <col min="11018" max="11018" width="33.85546875" style="1" bestFit="1" customWidth="1"/>
    <col min="11019" max="11019" width="9.5703125" style="1" bestFit="1" customWidth="1"/>
    <col min="11020" max="11020" width="35.85546875" style="1" bestFit="1" customWidth="1"/>
    <col min="11021" max="11021" width="33.85546875" style="1" bestFit="1" customWidth="1"/>
    <col min="11022" max="11022" width="9.5703125" style="1" bestFit="1" customWidth="1"/>
    <col min="11023" max="11023" width="35.85546875" style="1" bestFit="1" customWidth="1"/>
    <col min="11024" max="11024" width="33.85546875" style="1" bestFit="1" customWidth="1"/>
    <col min="11025" max="11025" width="9.5703125" style="1" bestFit="1" customWidth="1"/>
    <col min="11026" max="11026" width="35.85546875" style="1" bestFit="1" customWidth="1"/>
    <col min="11027" max="11027" width="33.85546875" style="1" bestFit="1" customWidth="1"/>
    <col min="11028" max="11028" width="9.5703125" style="1" bestFit="1" customWidth="1"/>
    <col min="11029" max="11029" width="35.85546875" style="1" bestFit="1" customWidth="1"/>
    <col min="11030" max="11030" width="33.85546875" style="1" bestFit="1" customWidth="1"/>
    <col min="11031" max="11031" width="9.5703125" style="1" bestFit="1" customWidth="1"/>
    <col min="11032" max="11094" width="22.140625" style="1"/>
    <col min="11095" max="11095" width="40.42578125" style="1" customWidth="1"/>
    <col min="11096" max="11096" width="25.42578125" style="1" bestFit="1" customWidth="1"/>
    <col min="11097" max="11097" width="23.85546875" style="1" bestFit="1" customWidth="1"/>
    <col min="11098" max="11098" width="41.85546875" style="1" customWidth="1"/>
    <col min="11099" max="11099" width="26.42578125" style="1" bestFit="1" customWidth="1"/>
    <col min="11100" max="11101" width="16.42578125" style="1" customWidth="1"/>
    <col min="11102" max="11102" width="19.42578125" style="1" customWidth="1"/>
    <col min="11103" max="11103" width="16" style="1" customWidth="1"/>
    <col min="11104" max="11104" width="16.5703125" style="1" customWidth="1"/>
    <col min="11105" max="11105" width="7.5703125" style="1" bestFit="1" customWidth="1"/>
    <col min="11106" max="11106" width="16.5703125" style="1" customWidth="1"/>
    <col min="11107" max="11107" width="17.140625" style="1" customWidth="1"/>
    <col min="11108" max="11131" width="0" style="1" hidden="1" customWidth="1"/>
    <col min="11132" max="11132" width="35.85546875" style="1" bestFit="1" customWidth="1"/>
    <col min="11133" max="11133" width="33.85546875" style="1" bestFit="1" customWidth="1"/>
    <col min="11134" max="11134" width="9.5703125" style="1" bestFit="1" customWidth="1"/>
    <col min="11135" max="11135" width="35.85546875" style="1" bestFit="1" customWidth="1"/>
    <col min="11136" max="11136" width="33.85546875" style="1" bestFit="1" customWidth="1"/>
    <col min="11137" max="11137" width="9.5703125" style="1" bestFit="1" customWidth="1"/>
    <col min="11138" max="11138" width="35.85546875" style="1" bestFit="1" customWidth="1"/>
    <col min="11139" max="11139" width="33.85546875" style="1" bestFit="1" customWidth="1"/>
    <col min="11140" max="11140" width="9.5703125" style="1" bestFit="1" customWidth="1"/>
    <col min="11141" max="11141" width="35.85546875" style="1" bestFit="1" customWidth="1"/>
    <col min="11142" max="11142" width="33.85546875" style="1" bestFit="1" customWidth="1"/>
    <col min="11143" max="11143" width="9.5703125" style="1" bestFit="1" customWidth="1"/>
    <col min="11144" max="11144" width="35.85546875" style="1" bestFit="1" customWidth="1"/>
    <col min="11145" max="11145" width="33.85546875" style="1" bestFit="1" customWidth="1"/>
    <col min="11146" max="11146" width="9.5703125" style="1" bestFit="1" customWidth="1"/>
    <col min="11147" max="11147" width="35.85546875" style="1" bestFit="1" customWidth="1"/>
    <col min="11148" max="11148" width="33.85546875" style="1" bestFit="1" customWidth="1"/>
    <col min="11149" max="11149" width="9.5703125" style="1" bestFit="1" customWidth="1"/>
    <col min="11150" max="11150" width="35.85546875" style="1" bestFit="1" customWidth="1"/>
    <col min="11151" max="11151" width="33.85546875" style="1" bestFit="1" customWidth="1"/>
    <col min="11152" max="11152" width="9.5703125" style="1" bestFit="1" customWidth="1"/>
    <col min="11153" max="11153" width="35.85546875" style="1" bestFit="1" customWidth="1"/>
    <col min="11154" max="11154" width="33.85546875" style="1" bestFit="1" customWidth="1"/>
    <col min="11155" max="11155" width="9.5703125" style="1" bestFit="1" customWidth="1"/>
    <col min="11156" max="11156" width="35.85546875" style="1" bestFit="1" customWidth="1"/>
    <col min="11157" max="11157" width="33.85546875" style="1" bestFit="1" customWidth="1"/>
    <col min="11158" max="11158" width="9.5703125" style="1" bestFit="1" customWidth="1"/>
    <col min="11159" max="11159" width="35.85546875" style="1" bestFit="1" customWidth="1"/>
    <col min="11160" max="11160" width="33.85546875" style="1" bestFit="1" customWidth="1"/>
    <col min="11161" max="11161" width="9.5703125" style="1" bestFit="1" customWidth="1"/>
    <col min="11162" max="11162" width="35.85546875" style="1" bestFit="1" customWidth="1"/>
    <col min="11163" max="11163" width="33.85546875" style="1" bestFit="1" customWidth="1"/>
    <col min="11164" max="11164" width="9.5703125" style="1" bestFit="1" customWidth="1"/>
    <col min="11165" max="11165" width="35.85546875" style="1" bestFit="1" customWidth="1"/>
    <col min="11166" max="11166" width="33.85546875" style="1" bestFit="1" customWidth="1"/>
    <col min="11167" max="11167" width="9.5703125" style="1" bestFit="1" customWidth="1"/>
    <col min="11168" max="11168" width="35.85546875" style="1" bestFit="1" customWidth="1"/>
    <col min="11169" max="11169" width="33.85546875" style="1" bestFit="1" customWidth="1"/>
    <col min="11170" max="11170" width="9.5703125" style="1" bestFit="1" customWidth="1"/>
    <col min="11171" max="11171" width="35.85546875" style="1" bestFit="1" customWidth="1"/>
    <col min="11172" max="11172" width="33.85546875" style="1" bestFit="1" customWidth="1"/>
    <col min="11173" max="11173" width="9.5703125" style="1" bestFit="1" customWidth="1"/>
    <col min="11174" max="11174" width="35.85546875" style="1" bestFit="1" customWidth="1"/>
    <col min="11175" max="11175" width="33.85546875" style="1" bestFit="1" customWidth="1"/>
    <col min="11176" max="11176" width="9.5703125" style="1" bestFit="1" customWidth="1"/>
    <col min="11177" max="11177" width="35.85546875" style="1" bestFit="1" customWidth="1"/>
    <col min="11178" max="11178" width="33.85546875" style="1" bestFit="1" customWidth="1"/>
    <col min="11179" max="11179" width="9.5703125" style="1" bestFit="1" customWidth="1"/>
    <col min="11180" max="11180" width="35.85546875" style="1" bestFit="1" customWidth="1"/>
    <col min="11181" max="11181" width="33.85546875" style="1" bestFit="1" customWidth="1"/>
    <col min="11182" max="11182" width="9.5703125" style="1" bestFit="1" customWidth="1"/>
    <col min="11183" max="11183" width="35.85546875" style="1" bestFit="1" customWidth="1"/>
    <col min="11184" max="11184" width="33.85546875" style="1" bestFit="1" customWidth="1"/>
    <col min="11185" max="11185" width="9.5703125" style="1" bestFit="1" customWidth="1"/>
    <col min="11186" max="11186" width="35.85546875" style="1" bestFit="1" customWidth="1"/>
    <col min="11187" max="11187" width="33.85546875" style="1" bestFit="1" customWidth="1"/>
    <col min="11188" max="11188" width="9.5703125" style="1" bestFit="1" customWidth="1"/>
    <col min="11189" max="11189" width="35.85546875" style="1" bestFit="1" customWidth="1"/>
    <col min="11190" max="11190" width="33.85546875" style="1" bestFit="1" customWidth="1"/>
    <col min="11191" max="11191" width="9.5703125" style="1" bestFit="1" customWidth="1"/>
    <col min="11192" max="11192" width="35.85546875" style="1" bestFit="1" customWidth="1"/>
    <col min="11193" max="11193" width="33.85546875" style="1" bestFit="1" customWidth="1"/>
    <col min="11194" max="11194" width="9.5703125" style="1" bestFit="1" customWidth="1"/>
    <col min="11195" max="11195" width="35.85546875" style="1" bestFit="1" customWidth="1"/>
    <col min="11196" max="11196" width="33.85546875" style="1" bestFit="1" customWidth="1"/>
    <col min="11197" max="11197" width="9.5703125" style="1" bestFit="1" customWidth="1"/>
    <col min="11198" max="11198" width="35.85546875" style="1" bestFit="1" customWidth="1"/>
    <col min="11199" max="11199" width="33.85546875" style="1" bestFit="1" customWidth="1"/>
    <col min="11200" max="11200" width="9.5703125" style="1" bestFit="1" customWidth="1"/>
    <col min="11201" max="11201" width="35.85546875" style="1" bestFit="1" customWidth="1"/>
    <col min="11202" max="11202" width="33.85546875" style="1" bestFit="1" customWidth="1"/>
    <col min="11203" max="11203" width="9.5703125" style="1" bestFit="1" customWidth="1"/>
    <col min="11204" max="11204" width="35.85546875" style="1" bestFit="1" customWidth="1"/>
    <col min="11205" max="11205" width="33.85546875" style="1" bestFit="1" customWidth="1"/>
    <col min="11206" max="11206" width="9.5703125" style="1" bestFit="1" customWidth="1"/>
    <col min="11207" max="11207" width="35.85546875" style="1" bestFit="1" customWidth="1"/>
    <col min="11208" max="11208" width="33.85546875" style="1" bestFit="1" customWidth="1"/>
    <col min="11209" max="11209" width="9.5703125" style="1" bestFit="1" customWidth="1"/>
    <col min="11210" max="11210" width="35.85546875" style="1" bestFit="1" customWidth="1"/>
    <col min="11211" max="11211" width="33.85546875" style="1" bestFit="1" customWidth="1"/>
    <col min="11212" max="11212" width="9.5703125" style="1" bestFit="1" customWidth="1"/>
    <col min="11213" max="11213" width="35.85546875" style="1" bestFit="1" customWidth="1"/>
    <col min="11214" max="11214" width="33.85546875" style="1" bestFit="1" customWidth="1"/>
    <col min="11215" max="11215" width="9.5703125" style="1" bestFit="1" customWidth="1"/>
    <col min="11216" max="11216" width="35.85546875" style="1" bestFit="1" customWidth="1"/>
    <col min="11217" max="11217" width="33.85546875" style="1" bestFit="1" customWidth="1"/>
    <col min="11218" max="11218" width="9.5703125" style="1" bestFit="1" customWidth="1"/>
    <col min="11219" max="11219" width="35.85546875" style="1" bestFit="1" customWidth="1"/>
    <col min="11220" max="11220" width="33.85546875" style="1" bestFit="1" customWidth="1"/>
    <col min="11221" max="11221" width="9.5703125" style="1" bestFit="1" customWidth="1"/>
    <col min="11222" max="11222" width="35.85546875" style="1" bestFit="1" customWidth="1"/>
    <col min="11223" max="11223" width="33.85546875" style="1" bestFit="1" customWidth="1"/>
    <col min="11224" max="11224" width="9.5703125" style="1" bestFit="1" customWidth="1"/>
    <col min="11225" max="11225" width="35.85546875" style="1" bestFit="1" customWidth="1"/>
    <col min="11226" max="11226" width="33.85546875" style="1" bestFit="1" customWidth="1"/>
    <col min="11227" max="11227" width="9.5703125" style="1" bestFit="1" customWidth="1"/>
    <col min="11228" max="11228" width="35.85546875" style="1" bestFit="1" customWidth="1"/>
    <col min="11229" max="11229" width="33.85546875" style="1" bestFit="1" customWidth="1"/>
    <col min="11230" max="11230" width="9.5703125" style="1" bestFit="1" customWidth="1"/>
    <col min="11231" max="11231" width="35.85546875" style="1" bestFit="1" customWidth="1"/>
    <col min="11232" max="11232" width="33.85546875" style="1" bestFit="1" customWidth="1"/>
    <col min="11233" max="11233" width="9.5703125" style="1" bestFit="1" customWidth="1"/>
    <col min="11234" max="11234" width="35.85546875" style="1" bestFit="1" customWidth="1"/>
    <col min="11235" max="11235" width="33.85546875" style="1" bestFit="1" customWidth="1"/>
    <col min="11236" max="11236" width="9.5703125" style="1" bestFit="1" customWidth="1"/>
    <col min="11237" max="11237" width="35.85546875" style="1" bestFit="1" customWidth="1"/>
    <col min="11238" max="11238" width="33.85546875" style="1" bestFit="1" customWidth="1"/>
    <col min="11239" max="11239" width="9.5703125" style="1" bestFit="1" customWidth="1"/>
    <col min="11240" max="11240" width="35.85546875" style="1" bestFit="1" customWidth="1"/>
    <col min="11241" max="11241" width="33.85546875" style="1" bestFit="1" customWidth="1"/>
    <col min="11242" max="11242" width="9.5703125" style="1" bestFit="1" customWidth="1"/>
    <col min="11243" max="11243" width="35.85546875" style="1" bestFit="1" customWidth="1"/>
    <col min="11244" max="11244" width="33.85546875" style="1" bestFit="1" customWidth="1"/>
    <col min="11245" max="11245" width="9.5703125" style="1" bestFit="1" customWidth="1"/>
    <col min="11246" max="11246" width="35.85546875" style="1" bestFit="1" customWidth="1"/>
    <col min="11247" max="11247" width="33.85546875" style="1" bestFit="1" customWidth="1"/>
    <col min="11248" max="11248" width="9.5703125" style="1" bestFit="1" customWidth="1"/>
    <col min="11249" max="11249" width="35.85546875" style="1" bestFit="1" customWidth="1"/>
    <col min="11250" max="11250" width="33.85546875" style="1" bestFit="1" customWidth="1"/>
    <col min="11251" max="11251" width="9.5703125" style="1" bestFit="1" customWidth="1"/>
    <col min="11252" max="11252" width="35.85546875" style="1" bestFit="1" customWidth="1"/>
    <col min="11253" max="11253" width="33.85546875" style="1" bestFit="1" customWidth="1"/>
    <col min="11254" max="11254" width="9.5703125" style="1" bestFit="1" customWidth="1"/>
    <col min="11255" max="11255" width="35.85546875" style="1" bestFit="1" customWidth="1"/>
    <col min="11256" max="11256" width="33.85546875" style="1" bestFit="1" customWidth="1"/>
    <col min="11257" max="11257" width="9.5703125" style="1" bestFit="1" customWidth="1"/>
    <col min="11258" max="11258" width="35.85546875" style="1" bestFit="1" customWidth="1"/>
    <col min="11259" max="11259" width="33.85546875" style="1" bestFit="1" customWidth="1"/>
    <col min="11260" max="11260" width="9.5703125" style="1" bestFit="1" customWidth="1"/>
    <col min="11261" max="11261" width="35.85546875" style="1" bestFit="1" customWidth="1"/>
    <col min="11262" max="11262" width="33.85546875" style="1" bestFit="1" customWidth="1"/>
    <col min="11263" max="11263" width="9.5703125" style="1" bestFit="1" customWidth="1"/>
    <col min="11264" max="11264" width="35.85546875" style="1" bestFit="1" customWidth="1"/>
    <col min="11265" max="11265" width="33.85546875" style="1" bestFit="1" customWidth="1"/>
    <col min="11266" max="11266" width="9.5703125" style="1" bestFit="1" customWidth="1"/>
    <col min="11267" max="11267" width="35.85546875" style="1" bestFit="1" customWidth="1"/>
    <col min="11268" max="11268" width="33.85546875" style="1" bestFit="1" customWidth="1"/>
    <col min="11269" max="11269" width="9.5703125" style="1" bestFit="1" customWidth="1"/>
    <col min="11270" max="11270" width="35.85546875" style="1" bestFit="1" customWidth="1"/>
    <col min="11271" max="11271" width="33.85546875" style="1" bestFit="1" customWidth="1"/>
    <col min="11272" max="11272" width="9.5703125" style="1" bestFit="1" customWidth="1"/>
    <col min="11273" max="11273" width="35.85546875" style="1" bestFit="1" customWidth="1"/>
    <col min="11274" max="11274" width="33.85546875" style="1" bestFit="1" customWidth="1"/>
    <col min="11275" max="11275" width="9.5703125" style="1" bestFit="1" customWidth="1"/>
    <col min="11276" max="11276" width="35.85546875" style="1" bestFit="1" customWidth="1"/>
    <col min="11277" max="11277" width="33.85546875" style="1" bestFit="1" customWidth="1"/>
    <col min="11278" max="11278" width="9.5703125" style="1" bestFit="1" customWidth="1"/>
    <col min="11279" max="11279" width="35.85546875" style="1" bestFit="1" customWidth="1"/>
    <col min="11280" max="11280" width="33.85546875" style="1" bestFit="1" customWidth="1"/>
    <col min="11281" max="11281" width="9.5703125" style="1" bestFit="1" customWidth="1"/>
    <col min="11282" max="11282" width="35.85546875" style="1" bestFit="1" customWidth="1"/>
    <col min="11283" max="11283" width="33.85546875" style="1" bestFit="1" customWidth="1"/>
    <col min="11284" max="11284" width="9.5703125" style="1" bestFit="1" customWidth="1"/>
    <col min="11285" max="11285" width="35.85546875" style="1" bestFit="1" customWidth="1"/>
    <col min="11286" max="11286" width="33.85546875" style="1" bestFit="1" customWidth="1"/>
    <col min="11287" max="11287" width="9.5703125" style="1" bestFit="1" customWidth="1"/>
    <col min="11288" max="11350" width="22.140625" style="1"/>
    <col min="11351" max="11351" width="40.42578125" style="1" customWidth="1"/>
    <col min="11352" max="11352" width="25.42578125" style="1" bestFit="1" customWidth="1"/>
    <col min="11353" max="11353" width="23.85546875" style="1" bestFit="1" customWidth="1"/>
    <col min="11354" max="11354" width="41.85546875" style="1" customWidth="1"/>
    <col min="11355" max="11355" width="26.42578125" style="1" bestFit="1" customWidth="1"/>
    <col min="11356" max="11357" width="16.42578125" style="1" customWidth="1"/>
    <col min="11358" max="11358" width="19.42578125" style="1" customWidth="1"/>
    <col min="11359" max="11359" width="16" style="1" customWidth="1"/>
    <col min="11360" max="11360" width="16.5703125" style="1" customWidth="1"/>
    <col min="11361" max="11361" width="7.5703125" style="1" bestFit="1" customWidth="1"/>
    <col min="11362" max="11362" width="16.5703125" style="1" customWidth="1"/>
    <col min="11363" max="11363" width="17.140625" style="1" customWidth="1"/>
    <col min="11364" max="11387" width="0" style="1" hidden="1" customWidth="1"/>
    <col min="11388" max="11388" width="35.85546875" style="1" bestFit="1" customWidth="1"/>
    <col min="11389" max="11389" width="33.85546875" style="1" bestFit="1" customWidth="1"/>
    <col min="11390" max="11390" width="9.5703125" style="1" bestFit="1" customWidth="1"/>
    <col min="11391" max="11391" width="35.85546875" style="1" bestFit="1" customWidth="1"/>
    <col min="11392" max="11392" width="33.85546875" style="1" bestFit="1" customWidth="1"/>
    <col min="11393" max="11393" width="9.5703125" style="1" bestFit="1" customWidth="1"/>
    <col min="11394" max="11394" width="35.85546875" style="1" bestFit="1" customWidth="1"/>
    <col min="11395" max="11395" width="33.85546875" style="1" bestFit="1" customWidth="1"/>
    <col min="11396" max="11396" width="9.5703125" style="1" bestFit="1" customWidth="1"/>
    <col min="11397" max="11397" width="35.85546875" style="1" bestFit="1" customWidth="1"/>
    <col min="11398" max="11398" width="33.85546875" style="1" bestFit="1" customWidth="1"/>
    <col min="11399" max="11399" width="9.5703125" style="1" bestFit="1" customWidth="1"/>
    <col min="11400" max="11400" width="35.85546875" style="1" bestFit="1" customWidth="1"/>
    <col min="11401" max="11401" width="33.85546875" style="1" bestFit="1" customWidth="1"/>
    <col min="11402" max="11402" width="9.5703125" style="1" bestFit="1" customWidth="1"/>
    <col min="11403" max="11403" width="35.85546875" style="1" bestFit="1" customWidth="1"/>
    <col min="11404" max="11404" width="33.85546875" style="1" bestFit="1" customWidth="1"/>
    <col min="11405" max="11405" width="9.5703125" style="1" bestFit="1" customWidth="1"/>
    <col min="11406" max="11406" width="35.85546875" style="1" bestFit="1" customWidth="1"/>
    <col min="11407" max="11407" width="33.85546875" style="1" bestFit="1" customWidth="1"/>
    <col min="11408" max="11408" width="9.5703125" style="1" bestFit="1" customWidth="1"/>
    <col min="11409" max="11409" width="35.85546875" style="1" bestFit="1" customWidth="1"/>
    <col min="11410" max="11410" width="33.85546875" style="1" bestFit="1" customWidth="1"/>
    <col min="11411" max="11411" width="9.5703125" style="1" bestFit="1" customWidth="1"/>
    <col min="11412" max="11412" width="35.85546875" style="1" bestFit="1" customWidth="1"/>
    <col min="11413" max="11413" width="33.85546875" style="1" bestFit="1" customWidth="1"/>
    <col min="11414" max="11414" width="9.5703125" style="1" bestFit="1" customWidth="1"/>
    <col min="11415" max="11415" width="35.85546875" style="1" bestFit="1" customWidth="1"/>
    <col min="11416" max="11416" width="33.85546875" style="1" bestFit="1" customWidth="1"/>
    <col min="11417" max="11417" width="9.5703125" style="1" bestFit="1" customWidth="1"/>
    <col min="11418" max="11418" width="35.85546875" style="1" bestFit="1" customWidth="1"/>
    <col min="11419" max="11419" width="33.85546875" style="1" bestFit="1" customWidth="1"/>
    <col min="11420" max="11420" width="9.5703125" style="1" bestFit="1" customWidth="1"/>
    <col min="11421" max="11421" width="35.85546875" style="1" bestFit="1" customWidth="1"/>
    <col min="11422" max="11422" width="33.85546875" style="1" bestFit="1" customWidth="1"/>
    <col min="11423" max="11423" width="9.5703125" style="1" bestFit="1" customWidth="1"/>
    <col min="11424" max="11424" width="35.85546875" style="1" bestFit="1" customWidth="1"/>
    <col min="11425" max="11425" width="33.85546875" style="1" bestFit="1" customWidth="1"/>
    <col min="11426" max="11426" width="9.5703125" style="1" bestFit="1" customWidth="1"/>
    <col min="11427" max="11427" width="35.85546875" style="1" bestFit="1" customWidth="1"/>
    <col min="11428" max="11428" width="33.85546875" style="1" bestFit="1" customWidth="1"/>
    <col min="11429" max="11429" width="9.5703125" style="1" bestFit="1" customWidth="1"/>
    <col min="11430" max="11430" width="35.85546875" style="1" bestFit="1" customWidth="1"/>
    <col min="11431" max="11431" width="33.85546875" style="1" bestFit="1" customWidth="1"/>
    <col min="11432" max="11432" width="9.5703125" style="1" bestFit="1" customWidth="1"/>
    <col min="11433" max="11433" width="35.85546875" style="1" bestFit="1" customWidth="1"/>
    <col min="11434" max="11434" width="33.85546875" style="1" bestFit="1" customWidth="1"/>
    <col min="11435" max="11435" width="9.5703125" style="1" bestFit="1" customWidth="1"/>
    <col min="11436" max="11436" width="35.85546875" style="1" bestFit="1" customWidth="1"/>
    <col min="11437" max="11437" width="33.85546875" style="1" bestFit="1" customWidth="1"/>
    <col min="11438" max="11438" width="9.5703125" style="1" bestFit="1" customWidth="1"/>
    <col min="11439" max="11439" width="35.85546875" style="1" bestFit="1" customWidth="1"/>
    <col min="11440" max="11440" width="33.85546875" style="1" bestFit="1" customWidth="1"/>
    <col min="11441" max="11441" width="9.5703125" style="1" bestFit="1" customWidth="1"/>
    <col min="11442" max="11442" width="35.85546875" style="1" bestFit="1" customWidth="1"/>
    <col min="11443" max="11443" width="33.85546875" style="1" bestFit="1" customWidth="1"/>
    <col min="11444" max="11444" width="9.5703125" style="1" bestFit="1" customWidth="1"/>
    <col min="11445" max="11445" width="35.85546875" style="1" bestFit="1" customWidth="1"/>
    <col min="11446" max="11446" width="33.85546875" style="1" bestFit="1" customWidth="1"/>
    <col min="11447" max="11447" width="9.5703125" style="1" bestFit="1" customWidth="1"/>
    <col min="11448" max="11448" width="35.85546875" style="1" bestFit="1" customWidth="1"/>
    <col min="11449" max="11449" width="33.85546875" style="1" bestFit="1" customWidth="1"/>
    <col min="11450" max="11450" width="9.5703125" style="1" bestFit="1" customWidth="1"/>
    <col min="11451" max="11451" width="35.85546875" style="1" bestFit="1" customWidth="1"/>
    <col min="11452" max="11452" width="33.85546875" style="1" bestFit="1" customWidth="1"/>
    <col min="11453" max="11453" width="9.5703125" style="1" bestFit="1" customWidth="1"/>
    <col min="11454" max="11454" width="35.85546875" style="1" bestFit="1" customWidth="1"/>
    <col min="11455" max="11455" width="33.85546875" style="1" bestFit="1" customWidth="1"/>
    <col min="11456" max="11456" width="9.5703125" style="1" bestFit="1" customWidth="1"/>
    <col min="11457" max="11457" width="35.85546875" style="1" bestFit="1" customWidth="1"/>
    <col min="11458" max="11458" width="33.85546875" style="1" bestFit="1" customWidth="1"/>
    <col min="11459" max="11459" width="9.5703125" style="1" bestFit="1" customWidth="1"/>
    <col min="11460" max="11460" width="35.85546875" style="1" bestFit="1" customWidth="1"/>
    <col min="11461" max="11461" width="33.85546875" style="1" bestFit="1" customWidth="1"/>
    <col min="11462" max="11462" width="9.5703125" style="1" bestFit="1" customWidth="1"/>
    <col min="11463" max="11463" width="35.85546875" style="1" bestFit="1" customWidth="1"/>
    <col min="11464" max="11464" width="33.85546875" style="1" bestFit="1" customWidth="1"/>
    <col min="11465" max="11465" width="9.5703125" style="1" bestFit="1" customWidth="1"/>
    <col min="11466" max="11466" width="35.85546875" style="1" bestFit="1" customWidth="1"/>
    <col min="11467" max="11467" width="33.85546875" style="1" bestFit="1" customWidth="1"/>
    <col min="11468" max="11468" width="9.5703125" style="1" bestFit="1" customWidth="1"/>
    <col min="11469" max="11469" width="35.85546875" style="1" bestFit="1" customWidth="1"/>
    <col min="11470" max="11470" width="33.85546875" style="1" bestFit="1" customWidth="1"/>
    <col min="11471" max="11471" width="9.5703125" style="1" bestFit="1" customWidth="1"/>
    <col min="11472" max="11472" width="35.85546875" style="1" bestFit="1" customWidth="1"/>
    <col min="11473" max="11473" width="33.85546875" style="1" bestFit="1" customWidth="1"/>
    <col min="11474" max="11474" width="9.5703125" style="1" bestFit="1" customWidth="1"/>
    <col min="11475" max="11475" width="35.85546875" style="1" bestFit="1" customWidth="1"/>
    <col min="11476" max="11476" width="33.85546875" style="1" bestFit="1" customWidth="1"/>
    <col min="11477" max="11477" width="9.5703125" style="1" bestFit="1" customWidth="1"/>
    <col min="11478" max="11478" width="35.85546875" style="1" bestFit="1" customWidth="1"/>
    <col min="11479" max="11479" width="33.85546875" style="1" bestFit="1" customWidth="1"/>
    <col min="11480" max="11480" width="9.5703125" style="1" bestFit="1" customWidth="1"/>
    <col min="11481" max="11481" width="35.85546875" style="1" bestFit="1" customWidth="1"/>
    <col min="11482" max="11482" width="33.85546875" style="1" bestFit="1" customWidth="1"/>
    <col min="11483" max="11483" width="9.5703125" style="1" bestFit="1" customWidth="1"/>
    <col min="11484" max="11484" width="35.85546875" style="1" bestFit="1" customWidth="1"/>
    <col min="11485" max="11485" width="33.85546875" style="1" bestFit="1" customWidth="1"/>
    <col min="11486" max="11486" width="9.5703125" style="1" bestFit="1" customWidth="1"/>
    <col min="11487" max="11487" width="35.85546875" style="1" bestFit="1" customWidth="1"/>
    <col min="11488" max="11488" width="33.85546875" style="1" bestFit="1" customWidth="1"/>
    <col min="11489" max="11489" width="9.5703125" style="1" bestFit="1" customWidth="1"/>
    <col min="11490" max="11490" width="35.85546875" style="1" bestFit="1" customWidth="1"/>
    <col min="11491" max="11491" width="33.85546875" style="1" bestFit="1" customWidth="1"/>
    <col min="11492" max="11492" width="9.5703125" style="1" bestFit="1" customWidth="1"/>
    <col min="11493" max="11493" width="35.85546875" style="1" bestFit="1" customWidth="1"/>
    <col min="11494" max="11494" width="33.85546875" style="1" bestFit="1" customWidth="1"/>
    <col min="11495" max="11495" width="9.5703125" style="1" bestFit="1" customWidth="1"/>
    <col min="11496" max="11496" width="35.85546875" style="1" bestFit="1" customWidth="1"/>
    <col min="11497" max="11497" width="33.85546875" style="1" bestFit="1" customWidth="1"/>
    <col min="11498" max="11498" width="9.5703125" style="1" bestFit="1" customWidth="1"/>
    <col min="11499" max="11499" width="35.85546875" style="1" bestFit="1" customWidth="1"/>
    <col min="11500" max="11500" width="33.85546875" style="1" bestFit="1" customWidth="1"/>
    <col min="11501" max="11501" width="9.5703125" style="1" bestFit="1" customWidth="1"/>
    <col min="11502" max="11502" width="35.85546875" style="1" bestFit="1" customWidth="1"/>
    <col min="11503" max="11503" width="33.85546875" style="1" bestFit="1" customWidth="1"/>
    <col min="11504" max="11504" width="9.5703125" style="1" bestFit="1" customWidth="1"/>
    <col min="11505" max="11505" width="35.85546875" style="1" bestFit="1" customWidth="1"/>
    <col min="11506" max="11506" width="33.85546875" style="1" bestFit="1" customWidth="1"/>
    <col min="11507" max="11507" width="9.5703125" style="1" bestFit="1" customWidth="1"/>
    <col min="11508" max="11508" width="35.85546875" style="1" bestFit="1" customWidth="1"/>
    <col min="11509" max="11509" width="33.85546875" style="1" bestFit="1" customWidth="1"/>
    <col min="11510" max="11510" width="9.5703125" style="1" bestFit="1" customWidth="1"/>
    <col min="11511" max="11511" width="35.85546875" style="1" bestFit="1" customWidth="1"/>
    <col min="11512" max="11512" width="33.85546875" style="1" bestFit="1" customWidth="1"/>
    <col min="11513" max="11513" width="9.5703125" style="1" bestFit="1" customWidth="1"/>
    <col min="11514" max="11514" width="35.85546875" style="1" bestFit="1" customWidth="1"/>
    <col min="11515" max="11515" width="33.85546875" style="1" bestFit="1" customWidth="1"/>
    <col min="11516" max="11516" width="9.5703125" style="1" bestFit="1" customWidth="1"/>
    <col min="11517" max="11517" width="35.85546875" style="1" bestFit="1" customWidth="1"/>
    <col min="11518" max="11518" width="33.85546875" style="1" bestFit="1" customWidth="1"/>
    <col min="11519" max="11519" width="9.5703125" style="1" bestFit="1" customWidth="1"/>
    <col min="11520" max="11520" width="35.85546875" style="1" bestFit="1" customWidth="1"/>
    <col min="11521" max="11521" width="33.85546875" style="1" bestFit="1" customWidth="1"/>
    <col min="11522" max="11522" width="9.5703125" style="1" bestFit="1" customWidth="1"/>
    <col min="11523" max="11523" width="35.85546875" style="1" bestFit="1" customWidth="1"/>
    <col min="11524" max="11524" width="33.85546875" style="1" bestFit="1" customWidth="1"/>
    <col min="11525" max="11525" width="9.5703125" style="1" bestFit="1" customWidth="1"/>
    <col min="11526" max="11526" width="35.85546875" style="1" bestFit="1" customWidth="1"/>
    <col min="11527" max="11527" width="33.85546875" style="1" bestFit="1" customWidth="1"/>
    <col min="11528" max="11528" width="9.5703125" style="1" bestFit="1" customWidth="1"/>
    <col min="11529" max="11529" width="35.85546875" style="1" bestFit="1" customWidth="1"/>
    <col min="11530" max="11530" width="33.85546875" style="1" bestFit="1" customWidth="1"/>
    <col min="11531" max="11531" width="9.5703125" style="1" bestFit="1" customWidth="1"/>
    <col min="11532" max="11532" width="35.85546875" style="1" bestFit="1" customWidth="1"/>
    <col min="11533" max="11533" width="33.85546875" style="1" bestFit="1" customWidth="1"/>
    <col min="11534" max="11534" width="9.5703125" style="1" bestFit="1" customWidth="1"/>
    <col min="11535" max="11535" width="35.85546875" style="1" bestFit="1" customWidth="1"/>
    <col min="11536" max="11536" width="33.85546875" style="1" bestFit="1" customWidth="1"/>
    <col min="11537" max="11537" width="9.5703125" style="1" bestFit="1" customWidth="1"/>
    <col min="11538" max="11538" width="35.85546875" style="1" bestFit="1" customWidth="1"/>
    <col min="11539" max="11539" width="33.85546875" style="1" bestFit="1" customWidth="1"/>
    <col min="11540" max="11540" width="9.5703125" style="1" bestFit="1" customWidth="1"/>
    <col min="11541" max="11541" width="35.85546875" style="1" bestFit="1" customWidth="1"/>
    <col min="11542" max="11542" width="33.85546875" style="1" bestFit="1" customWidth="1"/>
    <col min="11543" max="11543" width="9.5703125" style="1" bestFit="1" customWidth="1"/>
    <col min="11544" max="11606" width="22.140625" style="1"/>
    <col min="11607" max="11607" width="40.42578125" style="1" customWidth="1"/>
    <col min="11608" max="11608" width="25.42578125" style="1" bestFit="1" customWidth="1"/>
    <col min="11609" max="11609" width="23.85546875" style="1" bestFit="1" customWidth="1"/>
    <col min="11610" max="11610" width="41.85546875" style="1" customWidth="1"/>
    <col min="11611" max="11611" width="26.42578125" style="1" bestFit="1" customWidth="1"/>
    <col min="11612" max="11613" width="16.42578125" style="1" customWidth="1"/>
    <col min="11614" max="11614" width="19.42578125" style="1" customWidth="1"/>
    <col min="11615" max="11615" width="16" style="1" customWidth="1"/>
    <col min="11616" max="11616" width="16.5703125" style="1" customWidth="1"/>
    <col min="11617" max="11617" width="7.5703125" style="1" bestFit="1" customWidth="1"/>
    <col min="11618" max="11618" width="16.5703125" style="1" customWidth="1"/>
    <col min="11619" max="11619" width="17.140625" style="1" customWidth="1"/>
    <col min="11620" max="11643" width="0" style="1" hidden="1" customWidth="1"/>
    <col min="11644" max="11644" width="35.85546875" style="1" bestFit="1" customWidth="1"/>
    <col min="11645" max="11645" width="33.85546875" style="1" bestFit="1" customWidth="1"/>
    <col min="11646" max="11646" width="9.5703125" style="1" bestFit="1" customWidth="1"/>
    <col min="11647" max="11647" width="35.85546875" style="1" bestFit="1" customWidth="1"/>
    <col min="11648" max="11648" width="33.85546875" style="1" bestFit="1" customWidth="1"/>
    <col min="11649" max="11649" width="9.5703125" style="1" bestFit="1" customWidth="1"/>
    <col min="11650" max="11650" width="35.85546875" style="1" bestFit="1" customWidth="1"/>
    <col min="11651" max="11651" width="33.85546875" style="1" bestFit="1" customWidth="1"/>
    <col min="11652" max="11652" width="9.5703125" style="1" bestFit="1" customWidth="1"/>
    <col min="11653" max="11653" width="35.85546875" style="1" bestFit="1" customWidth="1"/>
    <col min="11654" max="11654" width="33.85546875" style="1" bestFit="1" customWidth="1"/>
    <col min="11655" max="11655" width="9.5703125" style="1" bestFit="1" customWidth="1"/>
    <col min="11656" max="11656" width="35.85546875" style="1" bestFit="1" customWidth="1"/>
    <col min="11657" max="11657" width="33.85546875" style="1" bestFit="1" customWidth="1"/>
    <col min="11658" max="11658" width="9.5703125" style="1" bestFit="1" customWidth="1"/>
    <col min="11659" max="11659" width="35.85546875" style="1" bestFit="1" customWidth="1"/>
    <col min="11660" max="11660" width="33.85546875" style="1" bestFit="1" customWidth="1"/>
    <col min="11661" max="11661" width="9.5703125" style="1" bestFit="1" customWidth="1"/>
    <col min="11662" max="11662" width="35.85546875" style="1" bestFit="1" customWidth="1"/>
    <col min="11663" max="11663" width="33.85546875" style="1" bestFit="1" customWidth="1"/>
    <col min="11664" max="11664" width="9.5703125" style="1" bestFit="1" customWidth="1"/>
    <col min="11665" max="11665" width="35.85546875" style="1" bestFit="1" customWidth="1"/>
    <col min="11666" max="11666" width="33.85546875" style="1" bestFit="1" customWidth="1"/>
    <col min="11667" max="11667" width="9.5703125" style="1" bestFit="1" customWidth="1"/>
    <col min="11668" max="11668" width="35.85546875" style="1" bestFit="1" customWidth="1"/>
    <col min="11669" max="11669" width="33.85546875" style="1" bestFit="1" customWidth="1"/>
    <col min="11670" max="11670" width="9.5703125" style="1" bestFit="1" customWidth="1"/>
    <col min="11671" max="11671" width="35.85546875" style="1" bestFit="1" customWidth="1"/>
    <col min="11672" max="11672" width="33.85546875" style="1" bestFit="1" customWidth="1"/>
    <col min="11673" max="11673" width="9.5703125" style="1" bestFit="1" customWidth="1"/>
    <col min="11674" max="11674" width="35.85546875" style="1" bestFit="1" customWidth="1"/>
    <col min="11675" max="11675" width="33.85546875" style="1" bestFit="1" customWidth="1"/>
    <col min="11676" max="11676" width="9.5703125" style="1" bestFit="1" customWidth="1"/>
    <col min="11677" max="11677" width="35.85546875" style="1" bestFit="1" customWidth="1"/>
    <col min="11678" max="11678" width="33.85546875" style="1" bestFit="1" customWidth="1"/>
    <col min="11679" max="11679" width="9.5703125" style="1" bestFit="1" customWidth="1"/>
    <col min="11680" max="11680" width="35.85546875" style="1" bestFit="1" customWidth="1"/>
    <col min="11681" max="11681" width="33.85546875" style="1" bestFit="1" customWidth="1"/>
    <col min="11682" max="11682" width="9.5703125" style="1" bestFit="1" customWidth="1"/>
    <col min="11683" max="11683" width="35.85546875" style="1" bestFit="1" customWidth="1"/>
    <col min="11684" max="11684" width="33.85546875" style="1" bestFit="1" customWidth="1"/>
    <col min="11685" max="11685" width="9.5703125" style="1" bestFit="1" customWidth="1"/>
    <col min="11686" max="11686" width="35.85546875" style="1" bestFit="1" customWidth="1"/>
    <col min="11687" max="11687" width="33.85546875" style="1" bestFit="1" customWidth="1"/>
    <col min="11688" max="11688" width="9.5703125" style="1" bestFit="1" customWidth="1"/>
    <col min="11689" max="11689" width="35.85546875" style="1" bestFit="1" customWidth="1"/>
    <col min="11690" max="11690" width="33.85546875" style="1" bestFit="1" customWidth="1"/>
    <col min="11691" max="11691" width="9.5703125" style="1" bestFit="1" customWidth="1"/>
    <col min="11692" max="11692" width="35.85546875" style="1" bestFit="1" customWidth="1"/>
    <col min="11693" max="11693" width="33.85546875" style="1" bestFit="1" customWidth="1"/>
    <col min="11694" max="11694" width="9.5703125" style="1" bestFit="1" customWidth="1"/>
    <col min="11695" max="11695" width="35.85546875" style="1" bestFit="1" customWidth="1"/>
    <col min="11696" max="11696" width="33.85546875" style="1" bestFit="1" customWidth="1"/>
    <col min="11697" max="11697" width="9.5703125" style="1" bestFit="1" customWidth="1"/>
    <col min="11698" max="11698" width="35.85546875" style="1" bestFit="1" customWidth="1"/>
    <col min="11699" max="11699" width="33.85546875" style="1" bestFit="1" customWidth="1"/>
    <col min="11700" max="11700" width="9.5703125" style="1" bestFit="1" customWidth="1"/>
    <col min="11701" max="11701" width="35.85546875" style="1" bestFit="1" customWidth="1"/>
    <col min="11702" max="11702" width="33.85546875" style="1" bestFit="1" customWidth="1"/>
    <col min="11703" max="11703" width="9.5703125" style="1" bestFit="1" customWidth="1"/>
    <col min="11704" max="11704" width="35.85546875" style="1" bestFit="1" customWidth="1"/>
    <col min="11705" max="11705" width="33.85546875" style="1" bestFit="1" customWidth="1"/>
    <col min="11706" max="11706" width="9.5703125" style="1" bestFit="1" customWidth="1"/>
    <col min="11707" max="11707" width="35.85546875" style="1" bestFit="1" customWidth="1"/>
    <col min="11708" max="11708" width="33.85546875" style="1" bestFit="1" customWidth="1"/>
    <col min="11709" max="11709" width="9.5703125" style="1" bestFit="1" customWidth="1"/>
    <col min="11710" max="11710" width="35.85546875" style="1" bestFit="1" customWidth="1"/>
    <col min="11711" max="11711" width="33.85546875" style="1" bestFit="1" customWidth="1"/>
    <col min="11712" max="11712" width="9.5703125" style="1" bestFit="1" customWidth="1"/>
    <col min="11713" max="11713" width="35.85546875" style="1" bestFit="1" customWidth="1"/>
    <col min="11714" max="11714" width="33.85546875" style="1" bestFit="1" customWidth="1"/>
    <col min="11715" max="11715" width="9.5703125" style="1" bestFit="1" customWidth="1"/>
    <col min="11716" max="11716" width="35.85546875" style="1" bestFit="1" customWidth="1"/>
    <col min="11717" max="11717" width="33.85546875" style="1" bestFit="1" customWidth="1"/>
    <col min="11718" max="11718" width="9.5703125" style="1" bestFit="1" customWidth="1"/>
    <col min="11719" max="11719" width="35.85546875" style="1" bestFit="1" customWidth="1"/>
    <col min="11720" max="11720" width="33.85546875" style="1" bestFit="1" customWidth="1"/>
    <col min="11721" max="11721" width="9.5703125" style="1" bestFit="1" customWidth="1"/>
    <col min="11722" max="11722" width="35.85546875" style="1" bestFit="1" customWidth="1"/>
    <col min="11723" max="11723" width="33.85546875" style="1" bestFit="1" customWidth="1"/>
    <col min="11724" max="11724" width="9.5703125" style="1" bestFit="1" customWidth="1"/>
    <col min="11725" max="11725" width="35.85546875" style="1" bestFit="1" customWidth="1"/>
    <col min="11726" max="11726" width="33.85546875" style="1" bestFit="1" customWidth="1"/>
    <col min="11727" max="11727" width="9.5703125" style="1" bestFit="1" customWidth="1"/>
    <col min="11728" max="11728" width="35.85546875" style="1" bestFit="1" customWidth="1"/>
    <col min="11729" max="11729" width="33.85546875" style="1" bestFit="1" customWidth="1"/>
    <col min="11730" max="11730" width="9.5703125" style="1" bestFit="1" customWidth="1"/>
    <col min="11731" max="11731" width="35.85546875" style="1" bestFit="1" customWidth="1"/>
    <col min="11732" max="11732" width="33.85546875" style="1" bestFit="1" customWidth="1"/>
    <col min="11733" max="11733" width="9.5703125" style="1" bestFit="1" customWidth="1"/>
    <col min="11734" max="11734" width="35.85546875" style="1" bestFit="1" customWidth="1"/>
    <col min="11735" max="11735" width="33.85546875" style="1" bestFit="1" customWidth="1"/>
    <col min="11736" max="11736" width="9.5703125" style="1" bestFit="1" customWidth="1"/>
    <col min="11737" max="11737" width="35.85546875" style="1" bestFit="1" customWidth="1"/>
    <col min="11738" max="11738" width="33.85546875" style="1" bestFit="1" customWidth="1"/>
    <col min="11739" max="11739" width="9.5703125" style="1" bestFit="1" customWidth="1"/>
    <col min="11740" max="11740" width="35.85546875" style="1" bestFit="1" customWidth="1"/>
    <col min="11741" max="11741" width="33.85546875" style="1" bestFit="1" customWidth="1"/>
    <col min="11742" max="11742" width="9.5703125" style="1" bestFit="1" customWidth="1"/>
    <col min="11743" max="11743" width="35.85546875" style="1" bestFit="1" customWidth="1"/>
    <col min="11744" max="11744" width="33.85546875" style="1" bestFit="1" customWidth="1"/>
    <col min="11745" max="11745" width="9.5703125" style="1" bestFit="1" customWidth="1"/>
    <col min="11746" max="11746" width="35.85546875" style="1" bestFit="1" customWidth="1"/>
    <col min="11747" max="11747" width="33.85546875" style="1" bestFit="1" customWidth="1"/>
    <col min="11748" max="11748" width="9.5703125" style="1" bestFit="1" customWidth="1"/>
    <col min="11749" max="11749" width="35.85546875" style="1" bestFit="1" customWidth="1"/>
    <col min="11750" max="11750" width="33.85546875" style="1" bestFit="1" customWidth="1"/>
    <col min="11751" max="11751" width="9.5703125" style="1" bestFit="1" customWidth="1"/>
    <col min="11752" max="11752" width="35.85546875" style="1" bestFit="1" customWidth="1"/>
    <col min="11753" max="11753" width="33.85546875" style="1" bestFit="1" customWidth="1"/>
    <col min="11754" max="11754" width="9.5703125" style="1" bestFit="1" customWidth="1"/>
    <col min="11755" max="11755" width="35.85546875" style="1" bestFit="1" customWidth="1"/>
    <col min="11756" max="11756" width="33.85546875" style="1" bestFit="1" customWidth="1"/>
    <col min="11757" max="11757" width="9.5703125" style="1" bestFit="1" customWidth="1"/>
    <col min="11758" max="11758" width="35.85546875" style="1" bestFit="1" customWidth="1"/>
    <col min="11759" max="11759" width="33.85546875" style="1" bestFit="1" customWidth="1"/>
    <col min="11760" max="11760" width="9.5703125" style="1" bestFit="1" customWidth="1"/>
    <col min="11761" max="11761" width="35.85546875" style="1" bestFit="1" customWidth="1"/>
    <col min="11762" max="11762" width="33.85546875" style="1" bestFit="1" customWidth="1"/>
    <col min="11763" max="11763" width="9.5703125" style="1" bestFit="1" customWidth="1"/>
    <col min="11764" max="11764" width="35.85546875" style="1" bestFit="1" customWidth="1"/>
    <col min="11765" max="11765" width="33.85546875" style="1" bestFit="1" customWidth="1"/>
    <col min="11766" max="11766" width="9.5703125" style="1" bestFit="1" customWidth="1"/>
    <col min="11767" max="11767" width="35.85546875" style="1" bestFit="1" customWidth="1"/>
    <col min="11768" max="11768" width="33.85546875" style="1" bestFit="1" customWidth="1"/>
    <col min="11769" max="11769" width="9.5703125" style="1" bestFit="1" customWidth="1"/>
    <col min="11770" max="11770" width="35.85546875" style="1" bestFit="1" customWidth="1"/>
    <col min="11771" max="11771" width="33.85546875" style="1" bestFit="1" customWidth="1"/>
    <col min="11772" max="11772" width="9.5703125" style="1" bestFit="1" customWidth="1"/>
    <col min="11773" max="11773" width="35.85546875" style="1" bestFit="1" customWidth="1"/>
    <col min="11774" max="11774" width="33.85546875" style="1" bestFit="1" customWidth="1"/>
    <col min="11775" max="11775" width="9.5703125" style="1" bestFit="1" customWidth="1"/>
    <col min="11776" max="11776" width="35.85546875" style="1" bestFit="1" customWidth="1"/>
    <col min="11777" max="11777" width="33.85546875" style="1" bestFit="1" customWidth="1"/>
    <col min="11778" max="11778" width="9.5703125" style="1" bestFit="1" customWidth="1"/>
    <col min="11779" max="11779" width="35.85546875" style="1" bestFit="1" customWidth="1"/>
    <col min="11780" max="11780" width="33.85546875" style="1" bestFit="1" customWidth="1"/>
    <col min="11781" max="11781" width="9.5703125" style="1" bestFit="1" customWidth="1"/>
    <col min="11782" max="11782" width="35.85546875" style="1" bestFit="1" customWidth="1"/>
    <col min="11783" max="11783" width="33.85546875" style="1" bestFit="1" customWidth="1"/>
    <col min="11784" max="11784" width="9.5703125" style="1" bestFit="1" customWidth="1"/>
    <col min="11785" max="11785" width="35.85546875" style="1" bestFit="1" customWidth="1"/>
    <col min="11786" max="11786" width="33.85546875" style="1" bestFit="1" customWidth="1"/>
    <col min="11787" max="11787" width="9.5703125" style="1" bestFit="1" customWidth="1"/>
    <col min="11788" max="11788" width="35.85546875" style="1" bestFit="1" customWidth="1"/>
    <col min="11789" max="11789" width="33.85546875" style="1" bestFit="1" customWidth="1"/>
    <col min="11790" max="11790" width="9.5703125" style="1" bestFit="1" customWidth="1"/>
    <col min="11791" max="11791" width="35.85546875" style="1" bestFit="1" customWidth="1"/>
    <col min="11792" max="11792" width="33.85546875" style="1" bestFit="1" customWidth="1"/>
    <col min="11793" max="11793" width="9.5703125" style="1" bestFit="1" customWidth="1"/>
    <col min="11794" max="11794" width="35.85546875" style="1" bestFit="1" customWidth="1"/>
    <col min="11795" max="11795" width="33.85546875" style="1" bestFit="1" customWidth="1"/>
    <col min="11796" max="11796" width="9.5703125" style="1" bestFit="1" customWidth="1"/>
    <col min="11797" max="11797" width="35.85546875" style="1" bestFit="1" customWidth="1"/>
    <col min="11798" max="11798" width="33.85546875" style="1" bestFit="1" customWidth="1"/>
    <col min="11799" max="11799" width="9.5703125" style="1" bestFit="1" customWidth="1"/>
    <col min="11800" max="11862" width="22.140625" style="1"/>
    <col min="11863" max="11863" width="40.42578125" style="1" customWidth="1"/>
    <col min="11864" max="11864" width="25.42578125" style="1" bestFit="1" customWidth="1"/>
    <col min="11865" max="11865" width="23.85546875" style="1" bestFit="1" customWidth="1"/>
    <col min="11866" max="11866" width="41.85546875" style="1" customWidth="1"/>
    <col min="11867" max="11867" width="26.42578125" style="1" bestFit="1" customWidth="1"/>
    <col min="11868" max="11869" width="16.42578125" style="1" customWidth="1"/>
    <col min="11870" max="11870" width="19.42578125" style="1" customWidth="1"/>
    <col min="11871" max="11871" width="16" style="1" customWidth="1"/>
    <col min="11872" max="11872" width="16.5703125" style="1" customWidth="1"/>
    <col min="11873" max="11873" width="7.5703125" style="1" bestFit="1" customWidth="1"/>
    <col min="11874" max="11874" width="16.5703125" style="1" customWidth="1"/>
    <col min="11875" max="11875" width="17.140625" style="1" customWidth="1"/>
    <col min="11876" max="11899" width="0" style="1" hidden="1" customWidth="1"/>
    <col min="11900" max="11900" width="35.85546875" style="1" bestFit="1" customWidth="1"/>
    <col min="11901" max="11901" width="33.85546875" style="1" bestFit="1" customWidth="1"/>
    <col min="11902" max="11902" width="9.5703125" style="1" bestFit="1" customWidth="1"/>
    <col min="11903" max="11903" width="35.85546875" style="1" bestFit="1" customWidth="1"/>
    <col min="11904" max="11904" width="33.85546875" style="1" bestFit="1" customWidth="1"/>
    <col min="11905" max="11905" width="9.5703125" style="1" bestFit="1" customWidth="1"/>
    <col min="11906" max="11906" width="35.85546875" style="1" bestFit="1" customWidth="1"/>
    <col min="11907" max="11907" width="33.85546875" style="1" bestFit="1" customWidth="1"/>
    <col min="11908" max="11908" width="9.5703125" style="1" bestFit="1" customWidth="1"/>
    <col min="11909" max="11909" width="35.85546875" style="1" bestFit="1" customWidth="1"/>
    <col min="11910" max="11910" width="33.85546875" style="1" bestFit="1" customWidth="1"/>
    <col min="11911" max="11911" width="9.5703125" style="1" bestFit="1" customWidth="1"/>
    <col min="11912" max="11912" width="35.85546875" style="1" bestFit="1" customWidth="1"/>
    <col min="11913" max="11913" width="33.85546875" style="1" bestFit="1" customWidth="1"/>
    <col min="11914" max="11914" width="9.5703125" style="1" bestFit="1" customWidth="1"/>
    <col min="11915" max="11915" width="35.85546875" style="1" bestFit="1" customWidth="1"/>
    <col min="11916" max="11916" width="33.85546875" style="1" bestFit="1" customWidth="1"/>
    <col min="11917" max="11917" width="9.5703125" style="1" bestFit="1" customWidth="1"/>
    <col min="11918" max="11918" width="35.85546875" style="1" bestFit="1" customWidth="1"/>
    <col min="11919" max="11919" width="33.85546875" style="1" bestFit="1" customWidth="1"/>
    <col min="11920" max="11920" width="9.5703125" style="1" bestFit="1" customWidth="1"/>
    <col min="11921" max="11921" width="35.85546875" style="1" bestFit="1" customWidth="1"/>
    <col min="11922" max="11922" width="33.85546875" style="1" bestFit="1" customWidth="1"/>
    <col min="11923" max="11923" width="9.5703125" style="1" bestFit="1" customWidth="1"/>
    <col min="11924" max="11924" width="35.85546875" style="1" bestFit="1" customWidth="1"/>
    <col min="11925" max="11925" width="33.85546875" style="1" bestFit="1" customWidth="1"/>
    <col min="11926" max="11926" width="9.5703125" style="1" bestFit="1" customWidth="1"/>
    <col min="11927" max="11927" width="35.85546875" style="1" bestFit="1" customWidth="1"/>
    <col min="11928" max="11928" width="33.85546875" style="1" bestFit="1" customWidth="1"/>
    <col min="11929" max="11929" width="9.5703125" style="1" bestFit="1" customWidth="1"/>
    <col min="11930" max="11930" width="35.85546875" style="1" bestFit="1" customWidth="1"/>
    <col min="11931" max="11931" width="33.85546875" style="1" bestFit="1" customWidth="1"/>
    <col min="11932" max="11932" width="9.5703125" style="1" bestFit="1" customWidth="1"/>
    <col min="11933" max="11933" width="35.85546875" style="1" bestFit="1" customWidth="1"/>
    <col min="11934" max="11934" width="33.85546875" style="1" bestFit="1" customWidth="1"/>
    <col min="11935" max="11935" width="9.5703125" style="1" bestFit="1" customWidth="1"/>
    <col min="11936" max="11936" width="35.85546875" style="1" bestFit="1" customWidth="1"/>
    <col min="11937" max="11937" width="33.85546875" style="1" bestFit="1" customWidth="1"/>
    <col min="11938" max="11938" width="9.5703125" style="1" bestFit="1" customWidth="1"/>
    <col min="11939" max="11939" width="35.85546875" style="1" bestFit="1" customWidth="1"/>
    <col min="11940" max="11940" width="33.85546875" style="1" bestFit="1" customWidth="1"/>
    <col min="11941" max="11941" width="9.5703125" style="1" bestFit="1" customWidth="1"/>
    <col min="11942" max="11942" width="35.85546875" style="1" bestFit="1" customWidth="1"/>
    <col min="11943" max="11943" width="33.85546875" style="1" bestFit="1" customWidth="1"/>
    <col min="11944" max="11944" width="9.5703125" style="1" bestFit="1" customWidth="1"/>
    <col min="11945" max="11945" width="35.85546875" style="1" bestFit="1" customWidth="1"/>
    <col min="11946" max="11946" width="33.85546875" style="1" bestFit="1" customWidth="1"/>
    <col min="11947" max="11947" width="9.5703125" style="1" bestFit="1" customWidth="1"/>
    <col min="11948" max="11948" width="35.85546875" style="1" bestFit="1" customWidth="1"/>
    <col min="11949" max="11949" width="33.85546875" style="1" bestFit="1" customWidth="1"/>
    <col min="11950" max="11950" width="9.5703125" style="1" bestFit="1" customWidth="1"/>
    <col min="11951" max="11951" width="35.85546875" style="1" bestFit="1" customWidth="1"/>
    <col min="11952" max="11952" width="33.85546875" style="1" bestFit="1" customWidth="1"/>
    <col min="11953" max="11953" width="9.5703125" style="1" bestFit="1" customWidth="1"/>
    <col min="11954" max="11954" width="35.85546875" style="1" bestFit="1" customWidth="1"/>
    <col min="11955" max="11955" width="33.85546875" style="1" bestFit="1" customWidth="1"/>
    <col min="11956" max="11956" width="9.5703125" style="1" bestFit="1" customWidth="1"/>
    <col min="11957" max="11957" width="35.85546875" style="1" bestFit="1" customWidth="1"/>
    <col min="11958" max="11958" width="33.85546875" style="1" bestFit="1" customWidth="1"/>
    <col min="11959" max="11959" width="9.5703125" style="1" bestFit="1" customWidth="1"/>
    <col min="11960" max="11960" width="35.85546875" style="1" bestFit="1" customWidth="1"/>
    <col min="11961" max="11961" width="33.85546875" style="1" bestFit="1" customWidth="1"/>
    <col min="11962" max="11962" width="9.5703125" style="1" bestFit="1" customWidth="1"/>
    <col min="11963" max="11963" width="35.85546875" style="1" bestFit="1" customWidth="1"/>
    <col min="11964" max="11964" width="33.85546875" style="1" bestFit="1" customWidth="1"/>
    <col min="11965" max="11965" width="9.5703125" style="1" bestFit="1" customWidth="1"/>
    <col min="11966" max="11966" width="35.85546875" style="1" bestFit="1" customWidth="1"/>
    <col min="11967" max="11967" width="33.85546875" style="1" bestFit="1" customWidth="1"/>
    <col min="11968" max="11968" width="9.5703125" style="1" bestFit="1" customWidth="1"/>
    <col min="11969" max="11969" width="35.85546875" style="1" bestFit="1" customWidth="1"/>
    <col min="11970" max="11970" width="33.85546875" style="1" bestFit="1" customWidth="1"/>
    <col min="11971" max="11971" width="9.5703125" style="1" bestFit="1" customWidth="1"/>
    <col min="11972" max="11972" width="35.85546875" style="1" bestFit="1" customWidth="1"/>
    <col min="11973" max="11973" width="33.85546875" style="1" bestFit="1" customWidth="1"/>
    <col min="11974" max="11974" width="9.5703125" style="1" bestFit="1" customWidth="1"/>
    <col min="11975" max="11975" width="35.85546875" style="1" bestFit="1" customWidth="1"/>
    <col min="11976" max="11976" width="33.85546875" style="1" bestFit="1" customWidth="1"/>
    <col min="11977" max="11977" width="9.5703125" style="1" bestFit="1" customWidth="1"/>
    <col min="11978" max="11978" width="35.85546875" style="1" bestFit="1" customWidth="1"/>
    <col min="11979" max="11979" width="33.85546875" style="1" bestFit="1" customWidth="1"/>
    <col min="11980" max="11980" width="9.5703125" style="1" bestFit="1" customWidth="1"/>
    <col min="11981" max="11981" width="35.85546875" style="1" bestFit="1" customWidth="1"/>
    <col min="11982" max="11982" width="33.85546875" style="1" bestFit="1" customWidth="1"/>
    <col min="11983" max="11983" width="9.5703125" style="1" bestFit="1" customWidth="1"/>
    <col min="11984" max="11984" width="35.85546875" style="1" bestFit="1" customWidth="1"/>
    <col min="11985" max="11985" width="33.85546875" style="1" bestFit="1" customWidth="1"/>
    <col min="11986" max="11986" width="9.5703125" style="1" bestFit="1" customWidth="1"/>
    <col min="11987" max="11987" width="35.85546875" style="1" bestFit="1" customWidth="1"/>
    <col min="11988" max="11988" width="33.85546875" style="1" bestFit="1" customWidth="1"/>
    <col min="11989" max="11989" width="9.5703125" style="1" bestFit="1" customWidth="1"/>
    <col min="11990" max="11990" width="35.85546875" style="1" bestFit="1" customWidth="1"/>
    <col min="11991" max="11991" width="33.85546875" style="1" bestFit="1" customWidth="1"/>
    <col min="11992" max="11992" width="9.5703125" style="1" bestFit="1" customWidth="1"/>
    <col min="11993" max="11993" width="35.85546875" style="1" bestFit="1" customWidth="1"/>
    <col min="11994" max="11994" width="33.85546875" style="1" bestFit="1" customWidth="1"/>
    <col min="11995" max="11995" width="9.5703125" style="1" bestFit="1" customWidth="1"/>
    <col min="11996" max="11996" width="35.85546875" style="1" bestFit="1" customWidth="1"/>
    <col min="11997" max="11997" width="33.85546875" style="1" bestFit="1" customWidth="1"/>
    <col min="11998" max="11998" width="9.5703125" style="1" bestFit="1" customWidth="1"/>
    <col min="11999" max="11999" width="35.85546875" style="1" bestFit="1" customWidth="1"/>
    <col min="12000" max="12000" width="33.85546875" style="1" bestFit="1" customWidth="1"/>
    <col min="12001" max="12001" width="9.5703125" style="1" bestFit="1" customWidth="1"/>
    <col min="12002" max="12002" width="35.85546875" style="1" bestFit="1" customWidth="1"/>
    <col min="12003" max="12003" width="33.85546875" style="1" bestFit="1" customWidth="1"/>
    <col min="12004" max="12004" width="9.5703125" style="1" bestFit="1" customWidth="1"/>
    <col min="12005" max="12005" width="35.85546875" style="1" bestFit="1" customWidth="1"/>
    <col min="12006" max="12006" width="33.85546875" style="1" bestFit="1" customWidth="1"/>
    <col min="12007" max="12007" width="9.5703125" style="1" bestFit="1" customWidth="1"/>
    <col min="12008" max="12008" width="35.85546875" style="1" bestFit="1" customWidth="1"/>
    <col min="12009" max="12009" width="33.85546875" style="1" bestFit="1" customWidth="1"/>
    <col min="12010" max="12010" width="9.5703125" style="1" bestFit="1" customWidth="1"/>
    <col min="12011" max="12011" width="35.85546875" style="1" bestFit="1" customWidth="1"/>
    <col min="12012" max="12012" width="33.85546875" style="1" bestFit="1" customWidth="1"/>
    <col min="12013" max="12013" width="9.5703125" style="1" bestFit="1" customWidth="1"/>
    <col min="12014" max="12014" width="35.85546875" style="1" bestFit="1" customWidth="1"/>
    <col min="12015" max="12015" width="33.85546875" style="1" bestFit="1" customWidth="1"/>
    <col min="12016" max="12016" width="9.5703125" style="1" bestFit="1" customWidth="1"/>
    <col min="12017" max="12017" width="35.85546875" style="1" bestFit="1" customWidth="1"/>
    <col min="12018" max="12018" width="33.85546875" style="1" bestFit="1" customWidth="1"/>
    <col min="12019" max="12019" width="9.5703125" style="1" bestFit="1" customWidth="1"/>
    <col min="12020" max="12020" width="35.85546875" style="1" bestFit="1" customWidth="1"/>
    <col min="12021" max="12021" width="33.85546875" style="1" bestFit="1" customWidth="1"/>
    <col min="12022" max="12022" width="9.5703125" style="1" bestFit="1" customWidth="1"/>
    <col min="12023" max="12023" width="35.85546875" style="1" bestFit="1" customWidth="1"/>
    <col min="12024" max="12024" width="33.85546875" style="1" bestFit="1" customWidth="1"/>
    <col min="12025" max="12025" width="9.5703125" style="1" bestFit="1" customWidth="1"/>
    <col min="12026" max="12026" width="35.85546875" style="1" bestFit="1" customWidth="1"/>
    <col min="12027" max="12027" width="33.85546875" style="1" bestFit="1" customWidth="1"/>
    <col min="12028" max="12028" width="9.5703125" style="1" bestFit="1" customWidth="1"/>
    <col min="12029" max="12029" width="35.85546875" style="1" bestFit="1" customWidth="1"/>
    <col min="12030" max="12030" width="33.85546875" style="1" bestFit="1" customWidth="1"/>
    <col min="12031" max="12031" width="9.5703125" style="1" bestFit="1" customWidth="1"/>
    <col min="12032" max="12032" width="35.85546875" style="1" bestFit="1" customWidth="1"/>
    <col min="12033" max="12033" width="33.85546875" style="1" bestFit="1" customWidth="1"/>
    <col min="12034" max="12034" width="9.5703125" style="1" bestFit="1" customWidth="1"/>
    <col min="12035" max="12035" width="35.85546875" style="1" bestFit="1" customWidth="1"/>
    <col min="12036" max="12036" width="33.85546875" style="1" bestFit="1" customWidth="1"/>
    <col min="12037" max="12037" width="9.5703125" style="1" bestFit="1" customWidth="1"/>
    <col min="12038" max="12038" width="35.85546875" style="1" bestFit="1" customWidth="1"/>
    <col min="12039" max="12039" width="33.85546875" style="1" bestFit="1" customWidth="1"/>
    <col min="12040" max="12040" width="9.5703125" style="1" bestFit="1" customWidth="1"/>
    <col min="12041" max="12041" width="35.85546875" style="1" bestFit="1" customWidth="1"/>
    <col min="12042" max="12042" width="33.85546875" style="1" bestFit="1" customWidth="1"/>
    <col min="12043" max="12043" width="9.5703125" style="1" bestFit="1" customWidth="1"/>
    <col min="12044" max="12044" width="35.85546875" style="1" bestFit="1" customWidth="1"/>
    <col min="12045" max="12045" width="33.85546875" style="1" bestFit="1" customWidth="1"/>
    <col min="12046" max="12046" width="9.5703125" style="1" bestFit="1" customWidth="1"/>
    <col min="12047" max="12047" width="35.85546875" style="1" bestFit="1" customWidth="1"/>
    <col min="12048" max="12048" width="33.85546875" style="1" bestFit="1" customWidth="1"/>
    <col min="12049" max="12049" width="9.5703125" style="1" bestFit="1" customWidth="1"/>
    <col min="12050" max="12050" width="35.85546875" style="1" bestFit="1" customWidth="1"/>
    <col min="12051" max="12051" width="33.85546875" style="1" bestFit="1" customWidth="1"/>
    <col min="12052" max="12052" width="9.5703125" style="1" bestFit="1" customWidth="1"/>
    <col min="12053" max="12053" width="35.85546875" style="1" bestFit="1" customWidth="1"/>
    <col min="12054" max="12054" width="33.85546875" style="1" bestFit="1" customWidth="1"/>
    <col min="12055" max="12055" width="9.5703125" style="1" bestFit="1" customWidth="1"/>
    <col min="12056" max="12118" width="22.140625" style="1"/>
    <col min="12119" max="12119" width="40.42578125" style="1" customWidth="1"/>
    <col min="12120" max="12120" width="25.42578125" style="1" bestFit="1" customWidth="1"/>
    <col min="12121" max="12121" width="23.85546875" style="1" bestFit="1" customWidth="1"/>
    <col min="12122" max="12122" width="41.85546875" style="1" customWidth="1"/>
    <col min="12123" max="12123" width="26.42578125" style="1" bestFit="1" customWidth="1"/>
    <col min="12124" max="12125" width="16.42578125" style="1" customWidth="1"/>
    <col min="12126" max="12126" width="19.42578125" style="1" customWidth="1"/>
    <col min="12127" max="12127" width="16" style="1" customWidth="1"/>
    <col min="12128" max="12128" width="16.5703125" style="1" customWidth="1"/>
    <col min="12129" max="12129" width="7.5703125" style="1" bestFit="1" customWidth="1"/>
    <col min="12130" max="12130" width="16.5703125" style="1" customWidth="1"/>
    <col min="12131" max="12131" width="17.140625" style="1" customWidth="1"/>
    <col min="12132" max="12155" width="0" style="1" hidden="1" customWidth="1"/>
    <col min="12156" max="12156" width="35.85546875" style="1" bestFit="1" customWidth="1"/>
    <col min="12157" max="12157" width="33.85546875" style="1" bestFit="1" customWidth="1"/>
    <col min="12158" max="12158" width="9.5703125" style="1" bestFit="1" customWidth="1"/>
    <col min="12159" max="12159" width="35.85546875" style="1" bestFit="1" customWidth="1"/>
    <col min="12160" max="12160" width="33.85546875" style="1" bestFit="1" customWidth="1"/>
    <col min="12161" max="12161" width="9.5703125" style="1" bestFit="1" customWidth="1"/>
    <col min="12162" max="12162" width="35.85546875" style="1" bestFit="1" customWidth="1"/>
    <col min="12163" max="12163" width="33.85546875" style="1" bestFit="1" customWidth="1"/>
    <col min="12164" max="12164" width="9.5703125" style="1" bestFit="1" customWidth="1"/>
    <col min="12165" max="12165" width="35.85546875" style="1" bestFit="1" customWidth="1"/>
    <col min="12166" max="12166" width="33.85546875" style="1" bestFit="1" customWidth="1"/>
    <col min="12167" max="12167" width="9.5703125" style="1" bestFit="1" customWidth="1"/>
    <col min="12168" max="12168" width="35.85546875" style="1" bestFit="1" customWidth="1"/>
    <col min="12169" max="12169" width="33.85546875" style="1" bestFit="1" customWidth="1"/>
    <col min="12170" max="12170" width="9.5703125" style="1" bestFit="1" customWidth="1"/>
    <col min="12171" max="12171" width="35.85546875" style="1" bestFit="1" customWidth="1"/>
    <col min="12172" max="12172" width="33.85546875" style="1" bestFit="1" customWidth="1"/>
    <col min="12173" max="12173" width="9.5703125" style="1" bestFit="1" customWidth="1"/>
    <col min="12174" max="12174" width="35.85546875" style="1" bestFit="1" customWidth="1"/>
    <col min="12175" max="12175" width="33.85546875" style="1" bestFit="1" customWidth="1"/>
    <col min="12176" max="12176" width="9.5703125" style="1" bestFit="1" customWidth="1"/>
    <col min="12177" max="12177" width="35.85546875" style="1" bestFit="1" customWidth="1"/>
    <col min="12178" max="12178" width="33.85546875" style="1" bestFit="1" customWidth="1"/>
    <col min="12179" max="12179" width="9.5703125" style="1" bestFit="1" customWidth="1"/>
    <col min="12180" max="12180" width="35.85546875" style="1" bestFit="1" customWidth="1"/>
    <col min="12181" max="12181" width="33.85546875" style="1" bestFit="1" customWidth="1"/>
    <col min="12182" max="12182" width="9.5703125" style="1" bestFit="1" customWidth="1"/>
    <col min="12183" max="12183" width="35.85546875" style="1" bestFit="1" customWidth="1"/>
    <col min="12184" max="12184" width="33.85546875" style="1" bestFit="1" customWidth="1"/>
    <col min="12185" max="12185" width="9.5703125" style="1" bestFit="1" customWidth="1"/>
    <col min="12186" max="12186" width="35.85546875" style="1" bestFit="1" customWidth="1"/>
    <col min="12187" max="12187" width="33.85546875" style="1" bestFit="1" customWidth="1"/>
    <col min="12188" max="12188" width="9.5703125" style="1" bestFit="1" customWidth="1"/>
    <col min="12189" max="12189" width="35.85546875" style="1" bestFit="1" customWidth="1"/>
    <col min="12190" max="12190" width="33.85546875" style="1" bestFit="1" customWidth="1"/>
    <col min="12191" max="12191" width="9.5703125" style="1" bestFit="1" customWidth="1"/>
    <col min="12192" max="12192" width="35.85546875" style="1" bestFit="1" customWidth="1"/>
    <col min="12193" max="12193" width="33.85546875" style="1" bestFit="1" customWidth="1"/>
    <col min="12194" max="12194" width="9.5703125" style="1" bestFit="1" customWidth="1"/>
    <col min="12195" max="12195" width="35.85546875" style="1" bestFit="1" customWidth="1"/>
    <col min="12196" max="12196" width="33.85546875" style="1" bestFit="1" customWidth="1"/>
    <col min="12197" max="12197" width="9.5703125" style="1" bestFit="1" customWidth="1"/>
    <col min="12198" max="12198" width="35.85546875" style="1" bestFit="1" customWidth="1"/>
    <col min="12199" max="12199" width="33.85546875" style="1" bestFit="1" customWidth="1"/>
    <col min="12200" max="12200" width="9.5703125" style="1" bestFit="1" customWidth="1"/>
    <col min="12201" max="12201" width="35.85546875" style="1" bestFit="1" customWidth="1"/>
    <col min="12202" max="12202" width="33.85546875" style="1" bestFit="1" customWidth="1"/>
    <col min="12203" max="12203" width="9.5703125" style="1" bestFit="1" customWidth="1"/>
    <col min="12204" max="12204" width="35.85546875" style="1" bestFit="1" customWidth="1"/>
    <col min="12205" max="12205" width="33.85546875" style="1" bestFit="1" customWidth="1"/>
    <col min="12206" max="12206" width="9.5703125" style="1" bestFit="1" customWidth="1"/>
    <col min="12207" max="12207" width="35.85546875" style="1" bestFit="1" customWidth="1"/>
    <col min="12208" max="12208" width="33.85546875" style="1" bestFit="1" customWidth="1"/>
    <col min="12209" max="12209" width="9.5703125" style="1" bestFit="1" customWidth="1"/>
    <col min="12210" max="12210" width="35.85546875" style="1" bestFit="1" customWidth="1"/>
    <col min="12211" max="12211" width="33.85546875" style="1" bestFit="1" customWidth="1"/>
    <col min="12212" max="12212" width="9.5703125" style="1" bestFit="1" customWidth="1"/>
    <col min="12213" max="12213" width="35.85546875" style="1" bestFit="1" customWidth="1"/>
    <col min="12214" max="12214" width="33.85546875" style="1" bestFit="1" customWidth="1"/>
    <col min="12215" max="12215" width="9.5703125" style="1" bestFit="1" customWidth="1"/>
    <col min="12216" max="12216" width="35.85546875" style="1" bestFit="1" customWidth="1"/>
    <col min="12217" max="12217" width="33.85546875" style="1" bestFit="1" customWidth="1"/>
    <col min="12218" max="12218" width="9.5703125" style="1" bestFit="1" customWidth="1"/>
    <col min="12219" max="12219" width="35.85546875" style="1" bestFit="1" customWidth="1"/>
    <col min="12220" max="12220" width="33.85546875" style="1" bestFit="1" customWidth="1"/>
    <col min="12221" max="12221" width="9.5703125" style="1" bestFit="1" customWidth="1"/>
    <col min="12222" max="12222" width="35.85546875" style="1" bestFit="1" customWidth="1"/>
    <col min="12223" max="12223" width="33.85546875" style="1" bestFit="1" customWidth="1"/>
    <col min="12224" max="12224" width="9.5703125" style="1" bestFit="1" customWidth="1"/>
    <col min="12225" max="12225" width="35.85546875" style="1" bestFit="1" customWidth="1"/>
    <col min="12226" max="12226" width="33.85546875" style="1" bestFit="1" customWidth="1"/>
    <col min="12227" max="12227" width="9.5703125" style="1" bestFit="1" customWidth="1"/>
    <col min="12228" max="12228" width="35.85546875" style="1" bestFit="1" customWidth="1"/>
    <col min="12229" max="12229" width="33.85546875" style="1" bestFit="1" customWidth="1"/>
    <col min="12230" max="12230" width="9.5703125" style="1" bestFit="1" customWidth="1"/>
    <col min="12231" max="12231" width="35.85546875" style="1" bestFit="1" customWidth="1"/>
    <col min="12232" max="12232" width="33.85546875" style="1" bestFit="1" customWidth="1"/>
    <col min="12233" max="12233" width="9.5703125" style="1" bestFit="1" customWidth="1"/>
    <col min="12234" max="12234" width="35.85546875" style="1" bestFit="1" customWidth="1"/>
    <col min="12235" max="12235" width="33.85546875" style="1" bestFit="1" customWidth="1"/>
    <col min="12236" max="12236" width="9.5703125" style="1" bestFit="1" customWidth="1"/>
    <col min="12237" max="12237" width="35.85546875" style="1" bestFit="1" customWidth="1"/>
    <col min="12238" max="12238" width="33.85546875" style="1" bestFit="1" customWidth="1"/>
    <col min="12239" max="12239" width="9.5703125" style="1" bestFit="1" customWidth="1"/>
    <col min="12240" max="12240" width="35.85546875" style="1" bestFit="1" customWidth="1"/>
    <col min="12241" max="12241" width="33.85546875" style="1" bestFit="1" customWidth="1"/>
    <col min="12242" max="12242" width="9.5703125" style="1" bestFit="1" customWidth="1"/>
    <col min="12243" max="12243" width="35.85546875" style="1" bestFit="1" customWidth="1"/>
    <col min="12244" max="12244" width="33.85546875" style="1" bestFit="1" customWidth="1"/>
    <col min="12245" max="12245" width="9.5703125" style="1" bestFit="1" customWidth="1"/>
    <col min="12246" max="12246" width="35.85546875" style="1" bestFit="1" customWidth="1"/>
    <col min="12247" max="12247" width="33.85546875" style="1" bestFit="1" customWidth="1"/>
    <col min="12248" max="12248" width="9.5703125" style="1" bestFit="1" customWidth="1"/>
    <col min="12249" max="12249" width="35.85546875" style="1" bestFit="1" customWidth="1"/>
    <col min="12250" max="12250" width="33.85546875" style="1" bestFit="1" customWidth="1"/>
    <col min="12251" max="12251" width="9.5703125" style="1" bestFit="1" customWidth="1"/>
    <col min="12252" max="12252" width="35.85546875" style="1" bestFit="1" customWidth="1"/>
    <col min="12253" max="12253" width="33.85546875" style="1" bestFit="1" customWidth="1"/>
    <col min="12254" max="12254" width="9.5703125" style="1" bestFit="1" customWidth="1"/>
    <col min="12255" max="12255" width="35.85546875" style="1" bestFit="1" customWidth="1"/>
    <col min="12256" max="12256" width="33.85546875" style="1" bestFit="1" customWidth="1"/>
    <col min="12257" max="12257" width="9.5703125" style="1" bestFit="1" customWidth="1"/>
    <col min="12258" max="12258" width="35.85546875" style="1" bestFit="1" customWidth="1"/>
    <col min="12259" max="12259" width="33.85546875" style="1" bestFit="1" customWidth="1"/>
    <col min="12260" max="12260" width="9.5703125" style="1" bestFit="1" customWidth="1"/>
    <col min="12261" max="12261" width="35.85546875" style="1" bestFit="1" customWidth="1"/>
    <col min="12262" max="12262" width="33.85546875" style="1" bestFit="1" customWidth="1"/>
    <col min="12263" max="12263" width="9.5703125" style="1" bestFit="1" customWidth="1"/>
    <col min="12264" max="12264" width="35.85546875" style="1" bestFit="1" customWidth="1"/>
    <col min="12265" max="12265" width="33.85546875" style="1" bestFit="1" customWidth="1"/>
    <col min="12266" max="12266" width="9.5703125" style="1" bestFit="1" customWidth="1"/>
    <col min="12267" max="12267" width="35.85546875" style="1" bestFit="1" customWidth="1"/>
    <col min="12268" max="12268" width="33.85546875" style="1" bestFit="1" customWidth="1"/>
    <col min="12269" max="12269" width="9.5703125" style="1" bestFit="1" customWidth="1"/>
    <col min="12270" max="12270" width="35.85546875" style="1" bestFit="1" customWidth="1"/>
    <col min="12271" max="12271" width="33.85546875" style="1" bestFit="1" customWidth="1"/>
    <col min="12272" max="12272" width="9.5703125" style="1" bestFit="1" customWidth="1"/>
    <col min="12273" max="12273" width="35.85546875" style="1" bestFit="1" customWidth="1"/>
    <col min="12274" max="12274" width="33.85546875" style="1" bestFit="1" customWidth="1"/>
    <col min="12275" max="12275" width="9.5703125" style="1" bestFit="1" customWidth="1"/>
    <col min="12276" max="12276" width="35.85546875" style="1" bestFit="1" customWidth="1"/>
    <col min="12277" max="12277" width="33.85546875" style="1" bestFit="1" customWidth="1"/>
    <col min="12278" max="12278" width="9.5703125" style="1" bestFit="1" customWidth="1"/>
    <col min="12279" max="12279" width="35.85546875" style="1" bestFit="1" customWidth="1"/>
    <col min="12280" max="12280" width="33.85546875" style="1" bestFit="1" customWidth="1"/>
    <col min="12281" max="12281" width="9.5703125" style="1" bestFit="1" customWidth="1"/>
    <col min="12282" max="12282" width="35.85546875" style="1" bestFit="1" customWidth="1"/>
    <col min="12283" max="12283" width="33.85546875" style="1" bestFit="1" customWidth="1"/>
    <col min="12284" max="12284" width="9.5703125" style="1" bestFit="1" customWidth="1"/>
    <col min="12285" max="12285" width="35.85546875" style="1" bestFit="1" customWidth="1"/>
    <col min="12286" max="12286" width="33.85546875" style="1" bestFit="1" customWidth="1"/>
    <col min="12287" max="12287" width="9.5703125" style="1" bestFit="1" customWidth="1"/>
    <col min="12288" max="12288" width="35.85546875" style="1" bestFit="1" customWidth="1"/>
    <col min="12289" max="12289" width="33.85546875" style="1" bestFit="1" customWidth="1"/>
    <col min="12290" max="12290" width="9.5703125" style="1" bestFit="1" customWidth="1"/>
    <col min="12291" max="12291" width="35.85546875" style="1" bestFit="1" customWidth="1"/>
    <col min="12292" max="12292" width="33.85546875" style="1" bestFit="1" customWidth="1"/>
    <col min="12293" max="12293" width="9.5703125" style="1" bestFit="1" customWidth="1"/>
    <col min="12294" max="12294" width="35.85546875" style="1" bestFit="1" customWidth="1"/>
    <col min="12295" max="12295" width="33.85546875" style="1" bestFit="1" customWidth="1"/>
    <col min="12296" max="12296" width="9.5703125" style="1" bestFit="1" customWidth="1"/>
    <col min="12297" max="12297" width="35.85546875" style="1" bestFit="1" customWidth="1"/>
    <col min="12298" max="12298" width="33.85546875" style="1" bestFit="1" customWidth="1"/>
    <col min="12299" max="12299" width="9.5703125" style="1" bestFit="1" customWidth="1"/>
    <col min="12300" max="12300" width="35.85546875" style="1" bestFit="1" customWidth="1"/>
    <col min="12301" max="12301" width="33.85546875" style="1" bestFit="1" customWidth="1"/>
    <col min="12302" max="12302" width="9.5703125" style="1" bestFit="1" customWidth="1"/>
    <col min="12303" max="12303" width="35.85546875" style="1" bestFit="1" customWidth="1"/>
    <col min="12304" max="12304" width="33.85546875" style="1" bestFit="1" customWidth="1"/>
    <col min="12305" max="12305" width="9.5703125" style="1" bestFit="1" customWidth="1"/>
    <col min="12306" max="12306" width="35.85546875" style="1" bestFit="1" customWidth="1"/>
    <col min="12307" max="12307" width="33.85546875" style="1" bestFit="1" customWidth="1"/>
    <col min="12308" max="12308" width="9.5703125" style="1" bestFit="1" customWidth="1"/>
    <col min="12309" max="12309" width="35.85546875" style="1" bestFit="1" customWidth="1"/>
    <col min="12310" max="12310" width="33.85546875" style="1" bestFit="1" customWidth="1"/>
    <col min="12311" max="12311" width="9.5703125" style="1" bestFit="1" customWidth="1"/>
    <col min="12312" max="12374" width="22.140625" style="1"/>
    <col min="12375" max="12375" width="40.42578125" style="1" customWidth="1"/>
    <col min="12376" max="12376" width="25.42578125" style="1" bestFit="1" customWidth="1"/>
    <col min="12377" max="12377" width="23.85546875" style="1" bestFit="1" customWidth="1"/>
    <col min="12378" max="12378" width="41.85546875" style="1" customWidth="1"/>
    <col min="12379" max="12379" width="26.42578125" style="1" bestFit="1" customWidth="1"/>
    <col min="12380" max="12381" width="16.42578125" style="1" customWidth="1"/>
    <col min="12382" max="12382" width="19.42578125" style="1" customWidth="1"/>
    <col min="12383" max="12383" width="16" style="1" customWidth="1"/>
    <col min="12384" max="12384" width="16.5703125" style="1" customWidth="1"/>
    <col min="12385" max="12385" width="7.5703125" style="1" bestFit="1" customWidth="1"/>
    <col min="12386" max="12386" width="16.5703125" style="1" customWidth="1"/>
    <col min="12387" max="12387" width="17.140625" style="1" customWidth="1"/>
    <col min="12388" max="12411" width="0" style="1" hidden="1" customWidth="1"/>
    <col min="12412" max="12412" width="35.85546875" style="1" bestFit="1" customWidth="1"/>
    <col min="12413" max="12413" width="33.85546875" style="1" bestFit="1" customWidth="1"/>
    <col min="12414" max="12414" width="9.5703125" style="1" bestFit="1" customWidth="1"/>
    <col min="12415" max="12415" width="35.85546875" style="1" bestFit="1" customWidth="1"/>
    <col min="12416" max="12416" width="33.85546875" style="1" bestFit="1" customWidth="1"/>
    <col min="12417" max="12417" width="9.5703125" style="1" bestFit="1" customWidth="1"/>
    <col min="12418" max="12418" width="35.85546875" style="1" bestFit="1" customWidth="1"/>
    <col min="12419" max="12419" width="33.85546875" style="1" bestFit="1" customWidth="1"/>
    <col min="12420" max="12420" width="9.5703125" style="1" bestFit="1" customWidth="1"/>
    <col min="12421" max="12421" width="35.85546875" style="1" bestFit="1" customWidth="1"/>
    <col min="12422" max="12422" width="33.85546875" style="1" bestFit="1" customWidth="1"/>
    <col min="12423" max="12423" width="9.5703125" style="1" bestFit="1" customWidth="1"/>
    <col min="12424" max="12424" width="35.85546875" style="1" bestFit="1" customWidth="1"/>
    <col min="12425" max="12425" width="33.85546875" style="1" bestFit="1" customWidth="1"/>
    <col min="12426" max="12426" width="9.5703125" style="1" bestFit="1" customWidth="1"/>
    <col min="12427" max="12427" width="35.85546875" style="1" bestFit="1" customWidth="1"/>
    <col min="12428" max="12428" width="33.85546875" style="1" bestFit="1" customWidth="1"/>
    <col min="12429" max="12429" width="9.5703125" style="1" bestFit="1" customWidth="1"/>
    <col min="12430" max="12430" width="35.85546875" style="1" bestFit="1" customWidth="1"/>
    <col min="12431" max="12431" width="33.85546875" style="1" bestFit="1" customWidth="1"/>
    <col min="12432" max="12432" width="9.5703125" style="1" bestFit="1" customWidth="1"/>
    <col min="12433" max="12433" width="35.85546875" style="1" bestFit="1" customWidth="1"/>
    <col min="12434" max="12434" width="33.85546875" style="1" bestFit="1" customWidth="1"/>
    <col min="12435" max="12435" width="9.5703125" style="1" bestFit="1" customWidth="1"/>
    <col min="12436" max="12436" width="35.85546875" style="1" bestFit="1" customWidth="1"/>
    <col min="12437" max="12437" width="33.85546875" style="1" bestFit="1" customWidth="1"/>
    <col min="12438" max="12438" width="9.5703125" style="1" bestFit="1" customWidth="1"/>
    <col min="12439" max="12439" width="35.85546875" style="1" bestFit="1" customWidth="1"/>
    <col min="12440" max="12440" width="33.85546875" style="1" bestFit="1" customWidth="1"/>
    <col min="12441" max="12441" width="9.5703125" style="1" bestFit="1" customWidth="1"/>
    <col min="12442" max="12442" width="35.85546875" style="1" bestFit="1" customWidth="1"/>
    <col min="12443" max="12443" width="33.85546875" style="1" bestFit="1" customWidth="1"/>
    <col min="12444" max="12444" width="9.5703125" style="1" bestFit="1" customWidth="1"/>
    <col min="12445" max="12445" width="35.85546875" style="1" bestFit="1" customWidth="1"/>
    <col min="12446" max="12446" width="33.85546875" style="1" bestFit="1" customWidth="1"/>
    <col min="12447" max="12447" width="9.5703125" style="1" bestFit="1" customWidth="1"/>
    <col min="12448" max="12448" width="35.85546875" style="1" bestFit="1" customWidth="1"/>
    <col min="12449" max="12449" width="33.85546875" style="1" bestFit="1" customWidth="1"/>
    <col min="12450" max="12450" width="9.5703125" style="1" bestFit="1" customWidth="1"/>
    <col min="12451" max="12451" width="35.85546875" style="1" bestFit="1" customWidth="1"/>
    <col min="12452" max="12452" width="33.85546875" style="1" bestFit="1" customWidth="1"/>
    <col min="12453" max="12453" width="9.5703125" style="1" bestFit="1" customWidth="1"/>
    <col min="12454" max="12454" width="35.85546875" style="1" bestFit="1" customWidth="1"/>
    <col min="12455" max="12455" width="33.85546875" style="1" bestFit="1" customWidth="1"/>
    <col min="12456" max="12456" width="9.5703125" style="1" bestFit="1" customWidth="1"/>
    <col min="12457" max="12457" width="35.85546875" style="1" bestFit="1" customWidth="1"/>
    <col min="12458" max="12458" width="33.85546875" style="1" bestFit="1" customWidth="1"/>
    <col min="12459" max="12459" width="9.5703125" style="1" bestFit="1" customWidth="1"/>
    <col min="12460" max="12460" width="35.85546875" style="1" bestFit="1" customWidth="1"/>
    <col min="12461" max="12461" width="33.85546875" style="1" bestFit="1" customWidth="1"/>
    <col min="12462" max="12462" width="9.5703125" style="1" bestFit="1" customWidth="1"/>
    <col min="12463" max="12463" width="35.85546875" style="1" bestFit="1" customWidth="1"/>
    <col min="12464" max="12464" width="33.85546875" style="1" bestFit="1" customWidth="1"/>
    <col min="12465" max="12465" width="9.5703125" style="1" bestFit="1" customWidth="1"/>
    <col min="12466" max="12466" width="35.85546875" style="1" bestFit="1" customWidth="1"/>
    <col min="12467" max="12467" width="33.85546875" style="1" bestFit="1" customWidth="1"/>
    <col min="12468" max="12468" width="9.5703125" style="1" bestFit="1" customWidth="1"/>
    <col min="12469" max="12469" width="35.85546875" style="1" bestFit="1" customWidth="1"/>
    <col min="12470" max="12470" width="33.85546875" style="1" bestFit="1" customWidth="1"/>
    <col min="12471" max="12471" width="9.5703125" style="1" bestFit="1" customWidth="1"/>
    <col min="12472" max="12472" width="35.85546875" style="1" bestFit="1" customWidth="1"/>
    <col min="12473" max="12473" width="33.85546875" style="1" bestFit="1" customWidth="1"/>
    <col min="12474" max="12474" width="9.5703125" style="1" bestFit="1" customWidth="1"/>
    <col min="12475" max="12475" width="35.85546875" style="1" bestFit="1" customWidth="1"/>
    <col min="12476" max="12476" width="33.85546875" style="1" bestFit="1" customWidth="1"/>
    <col min="12477" max="12477" width="9.5703125" style="1" bestFit="1" customWidth="1"/>
    <col min="12478" max="12478" width="35.85546875" style="1" bestFit="1" customWidth="1"/>
    <col min="12479" max="12479" width="33.85546875" style="1" bestFit="1" customWidth="1"/>
    <col min="12480" max="12480" width="9.5703125" style="1" bestFit="1" customWidth="1"/>
    <col min="12481" max="12481" width="35.85546875" style="1" bestFit="1" customWidth="1"/>
    <col min="12482" max="12482" width="33.85546875" style="1" bestFit="1" customWidth="1"/>
    <col min="12483" max="12483" width="9.5703125" style="1" bestFit="1" customWidth="1"/>
    <col min="12484" max="12484" width="35.85546875" style="1" bestFit="1" customWidth="1"/>
    <col min="12485" max="12485" width="33.85546875" style="1" bestFit="1" customWidth="1"/>
    <col min="12486" max="12486" width="9.5703125" style="1" bestFit="1" customWidth="1"/>
    <col min="12487" max="12487" width="35.85546875" style="1" bestFit="1" customWidth="1"/>
    <col min="12488" max="12488" width="33.85546875" style="1" bestFit="1" customWidth="1"/>
    <col min="12489" max="12489" width="9.5703125" style="1" bestFit="1" customWidth="1"/>
    <col min="12490" max="12490" width="35.85546875" style="1" bestFit="1" customWidth="1"/>
    <col min="12491" max="12491" width="33.85546875" style="1" bestFit="1" customWidth="1"/>
    <col min="12492" max="12492" width="9.5703125" style="1" bestFit="1" customWidth="1"/>
    <col min="12493" max="12493" width="35.85546875" style="1" bestFit="1" customWidth="1"/>
    <col min="12494" max="12494" width="33.85546875" style="1" bestFit="1" customWidth="1"/>
    <col min="12495" max="12495" width="9.5703125" style="1" bestFit="1" customWidth="1"/>
    <col min="12496" max="12496" width="35.85546875" style="1" bestFit="1" customWidth="1"/>
    <col min="12497" max="12497" width="33.85546875" style="1" bestFit="1" customWidth="1"/>
    <col min="12498" max="12498" width="9.5703125" style="1" bestFit="1" customWidth="1"/>
    <col min="12499" max="12499" width="35.85546875" style="1" bestFit="1" customWidth="1"/>
    <col min="12500" max="12500" width="33.85546875" style="1" bestFit="1" customWidth="1"/>
    <col min="12501" max="12501" width="9.5703125" style="1" bestFit="1" customWidth="1"/>
    <col min="12502" max="12502" width="35.85546875" style="1" bestFit="1" customWidth="1"/>
    <col min="12503" max="12503" width="33.85546875" style="1" bestFit="1" customWidth="1"/>
    <col min="12504" max="12504" width="9.5703125" style="1" bestFit="1" customWidth="1"/>
    <col min="12505" max="12505" width="35.85546875" style="1" bestFit="1" customWidth="1"/>
    <col min="12506" max="12506" width="33.85546875" style="1" bestFit="1" customWidth="1"/>
    <col min="12507" max="12507" width="9.5703125" style="1" bestFit="1" customWidth="1"/>
    <col min="12508" max="12508" width="35.85546875" style="1" bestFit="1" customWidth="1"/>
    <col min="12509" max="12509" width="33.85546875" style="1" bestFit="1" customWidth="1"/>
    <col min="12510" max="12510" width="9.5703125" style="1" bestFit="1" customWidth="1"/>
    <col min="12511" max="12511" width="35.85546875" style="1" bestFit="1" customWidth="1"/>
    <col min="12512" max="12512" width="33.85546875" style="1" bestFit="1" customWidth="1"/>
    <col min="12513" max="12513" width="9.5703125" style="1" bestFit="1" customWidth="1"/>
    <col min="12514" max="12514" width="35.85546875" style="1" bestFit="1" customWidth="1"/>
    <col min="12515" max="12515" width="33.85546875" style="1" bestFit="1" customWidth="1"/>
    <col min="12516" max="12516" width="9.5703125" style="1" bestFit="1" customWidth="1"/>
    <col min="12517" max="12517" width="35.85546875" style="1" bestFit="1" customWidth="1"/>
    <col min="12518" max="12518" width="33.85546875" style="1" bestFit="1" customWidth="1"/>
    <col min="12519" max="12519" width="9.5703125" style="1" bestFit="1" customWidth="1"/>
    <col min="12520" max="12520" width="35.85546875" style="1" bestFit="1" customWidth="1"/>
    <col min="12521" max="12521" width="33.85546875" style="1" bestFit="1" customWidth="1"/>
    <col min="12522" max="12522" width="9.5703125" style="1" bestFit="1" customWidth="1"/>
    <col min="12523" max="12523" width="35.85546875" style="1" bestFit="1" customWidth="1"/>
    <col min="12524" max="12524" width="33.85546875" style="1" bestFit="1" customWidth="1"/>
    <col min="12525" max="12525" width="9.5703125" style="1" bestFit="1" customWidth="1"/>
    <col min="12526" max="12526" width="35.85546875" style="1" bestFit="1" customWidth="1"/>
    <col min="12527" max="12527" width="33.85546875" style="1" bestFit="1" customWidth="1"/>
    <col min="12528" max="12528" width="9.5703125" style="1" bestFit="1" customWidth="1"/>
    <col min="12529" max="12529" width="35.85546875" style="1" bestFit="1" customWidth="1"/>
    <col min="12530" max="12530" width="33.85546875" style="1" bestFit="1" customWidth="1"/>
    <col min="12531" max="12531" width="9.5703125" style="1" bestFit="1" customWidth="1"/>
    <col min="12532" max="12532" width="35.85546875" style="1" bestFit="1" customWidth="1"/>
    <col min="12533" max="12533" width="33.85546875" style="1" bestFit="1" customWidth="1"/>
    <col min="12534" max="12534" width="9.5703125" style="1" bestFit="1" customWidth="1"/>
    <col min="12535" max="12535" width="35.85546875" style="1" bestFit="1" customWidth="1"/>
    <col min="12536" max="12536" width="33.85546875" style="1" bestFit="1" customWidth="1"/>
    <col min="12537" max="12537" width="9.5703125" style="1" bestFit="1" customWidth="1"/>
    <col min="12538" max="12538" width="35.85546875" style="1" bestFit="1" customWidth="1"/>
    <col min="12539" max="12539" width="33.85546875" style="1" bestFit="1" customWidth="1"/>
    <col min="12540" max="12540" width="9.5703125" style="1" bestFit="1" customWidth="1"/>
    <col min="12541" max="12541" width="35.85546875" style="1" bestFit="1" customWidth="1"/>
    <col min="12542" max="12542" width="33.85546875" style="1" bestFit="1" customWidth="1"/>
    <col min="12543" max="12543" width="9.5703125" style="1" bestFit="1" customWidth="1"/>
    <col min="12544" max="12544" width="35.85546875" style="1" bestFit="1" customWidth="1"/>
    <col min="12545" max="12545" width="33.85546875" style="1" bestFit="1" customWidth="1"/>
    <col min="12546" max="12546" width="9.5703125" style="1" bestFit="1" customWidth="1"/>
    <col min="12547" max="12547" width="35.85546875" style="1" bestFit="1" customWidth="1"/>
    <col min="12548" max="12548" width="33.85546875" style="1" bestFit="1" customWidth="1"/>
    <col min="12549" max="12549" width="9.5703125" style="1" bestFit="1" customWidth="1"/>
    <col min="12550" max="12550" width="35.85546875" style="1" bestFit="1" customWidth="1"/>
    <col min="12551" max="12551" width="33.85546875" style="1" bestFit="1" customWidth="1"/>
    <col min="12552" max="12552" width="9.5703125" style="1" bestFit="1" customWidth="1"/>
    <col min="12553" max="12553" width="35.85546875" style="1" bestFit="1" customWidth="1"/>
    <col min="12554" max="12554" width="33.85546875" style="1" bestFit="1" customWidth="1"/>
    <col min="12555" max="12555" width="9.5703125" style="1" bestFit="1" customWidth="1"/>
    <col min="12556" max="12556" width="35.85546875" style="1" bestFit="1" customWidth="1"/>
    <col min="12557" max="12557" width="33.85546875" style="1" bestFit="1" customWidth="1"/>
    <col min="12558" max="12558" width="9.5703125" style="1" bestFit="1" customWidth="1"/>
    <col min="12559" max="12559" width="35.85546875" style="1" bestFit="1" customWidth="1"/>
    <col min="12560" max="12560" width="33.85546875" style="1" bestFit="1" customWidth="1"/>
    <col min="12561" max="12561" width="9.5703125" style="1" bestFit="1" customWidth="1"/>
    <col min="12562" max="12562" width="35.85546875" style="1" bestFit="1" customWidth="1"/>
    <col min="12563" max="12563" width="33.85546875" style="1" bestFit="1" customWidth="1"/>
    <col min="12564" max="12564" width="9.5703125" style="1" bestFit="1" customWidth="1"/>
    <col min="12565" max="12565" width="35.85546875" style="1" bestFit="1" customWidth="1"/>
    <col min="12566" max="12566" width="33.85546875" style="1" bestFit="1" customWidth="1"/>
    <col min="12567" max="12567" width="9.5703125" style="1" bestFit="1" customWidth="1"/>
    <col min="12568" max="12630" width="22.140625" style="1"/>
    <col min="12631" max="12631" width="40.42578125" style="1" customWidth="1"/>
    <col min="12632" max="12632" width="25.42578125" style="1" bestFit="1" customWidth="1"/>
    <col min="12633" max="12633" width="23.85546875" style="1" bestFit="1" customWidth="1"/>
    <col min="12634" max="12634" width="41.85546875" style="1" customWidth="1"/>
    <col min="12635" max="12635" width="26.42578125" style="1" bestFit="1" customWidth="1"/>
    <col min="12636" max="12637" width="16.42578125" style="1" customWidth="1"/>
    <col min="12638" max="12638" width="19.42578125" style="1" customWidth="1"/>
    <col min="12639" max="12639" width="16" style="1" customWidth="1"/>
    <col min="12640" max="12640" width="16.5703125" style="1" customWidth="1"/>
    <col min="12641" max="12641" width="7.5703125" style="1" bestFit="1" customWidth="1"/>
    <col min="12642" max="12642" width="16.5703125" style="1" customWidth="1"/>
    <col min="12643" max="12643" width="17.140625" style="1" customWidth="1"/>
    <col min="12644" max="12667" width="0" style="1" hidden="1" customWidth="1"/>
    <col min="12668" max="12668" width="35.85546875" style="1" bestFit="1" customWidth="1"/>
    <col min="12669" max="12669" width="33.85546875" style="1" bestFit="1" customWidth="1"/>
    <col min="12670" max="12670" width="9.5703125" style="1" bestFit="1" customWidth="1"/>
    <col min="12671" max="12671" width="35.85546875" style="1" bestFit="1" customWidth="1"/>
    <col min="12672" max="12672" width="33.85546875" style="1" bestFit="1" customWidth="1"/>
    <col min="12673" max="12673" width="9.5703125" style="1" bestFit="1" customWidth="1"/>
    <col min="12674" max="12674" width="35.85546875" style="1" bestFit="1" customWidth="1"/>
    <col min="12675" max="12675" width="33.85546875" style="1" bestFit="1" customWidth="1"/>
    <col min="12676" max="12676" width="9.5703125" style="1" bestFit="1" customWidth="1"/>
    <col min="12677" max="12677" width="35.85546875" style="1" bestFit="1" customWidth="1"/>
    <col min="12678" max="12678" width="33.85546875" style="1" bestFit="1" customWidth="1"/>
    <col min="12679" max="12679" width="9.5703125" style="1" bestFit="1" customWidth="1"/>
    <col min="12680" max="12680" width="35.85546875" style="1" bestFit="1" customWidth="1"/>
    <col min="12681" max="12681" width="33.85546875" style="1" bestFit="1" customWidth="1"/>
    <col min="12682" max="12682" width="9.5703125" style="1" bestFit="1" customWidth="1"/>
    <col min="12683" max="12683" width="35.85546875" style="1" bestFit="1" customWidth="1"/>
    <col min="12684" max="12684" width="33.85546875" style="1" bestFit="1" customWidth="1"/>
    <col min="12685" max="12685" width="9.5703125" style="1" bestFit="1" customWidth="1"/>
    <col min="12686" max="12686" width="35.85546875" style="1" bestFit="1" customWidth="1"/>
    <col min="12687" max="12687" width="33.85546875" style="1" bestFit="1" customWidth="1"/>
    <col min="12688" max="12688" width="9.5703125" style="1" bestFit="1" customWidth="1"/>
    <col min="12689" max="12689" width="35.85546875" style="1" bestFit="1" customWidth="1"/>
    <col min="12690" max="12690" width="33.85546875" style="1" bestFit="1" customWidth="1"/>
    <col min="12691" max="12691" width="9.5703125" style="1" bestFit="1" customWidth="1"/>
    <col min="12692" max="12692" width="35.85546875" style="1" bestFit="1" customWidth="1"/>
    <col min="12693" max="12693" width="33.85546875" style="1" bestFit="1" customWidth="1"/>
    <col min="12694" max="12694" width="9.5703125" style="1" bestFit="1" customWidth="1"/>
    <col min="12695" max="12695" width="35.85546875" style="1" bestFit="1" customWidth="1"/>
    <col min="12696" max="12696" width="33.85546875" style="1" bestFit="1" customWidth="1"/>
    <col min="12697" max="12697" width="9.5703125" style="1" bestFit="1" customWidth="1"/>
    <col min="12698" max="12698" width="35.85546875" style="1" bestFit="1" customWidth="1"/>
    <col min="12699" max="12699" width="33.85546875" style="1" bestFit="1" customWidth="1"/>
    <col min="12700" max="12700" width="9.5703125" style="1" bestFit="1" customWidth="1"/>
    <col min="12701" max="12701" width="35.85546875" style="1" bestFit="1" customWidth="1"/>
    <col min="12702" max="12702" width="33.85546875" style="1" bestFit="1" customWidth="1"/>
    <col min="12703" max="12703" width="9.5703125" style="1" bestFit="1" customWidth="1"/>
    <col min="12704" max="12704" width="35.85546875" style="1" bestFit="1" customWidth="1"/>
    <col min="12705" max="12705" width="33.85546875" style="1" bestFit="1" customWidth="1"/>
    <col min="12706" max="12706" width="9.5703125" style="1" bestFit="1" customWidth="1"/>
    <col min="12707" max="12707" width="35.85546875" style="1" bestFit="1" customWidth="1"/>
    <col min="12708" max="12708" width="33.85546875" style="1" bestFit="1" customWidth="1"/>
    <col min="12709" max="12709" width="9.5703125" style="1" bestFit="1" customWidth="1"/>
    <col min="12710" max="12710" width="35.85546875" style="1" bestFit="1" customWidth="1"/>
    <col min="12711" max="12711" width="33.85546875" style="1" bestFit="1" customWidth="1"/>
    <col min="12712" max="12712" width="9.5703125" style="1" bestFit="1" customWidth="1"/>
    <col min="12713" max="12713" width="35.85546875" style="1" bestFit="1" customWidth="1"/>
    <col min="12714" max="12714" width="33.85546875" style="1" bestFit="1" customWidth="1"/>
    <col min="12715" max="12715" width="9.5703125" style="1" bestFit="1" customWidth="1"/>
    <col min="12716" max="12716" width="35.85546875" style="1" bestFit="1" customWidth="1"/>
    <col min="12717" max="12717" width="33.85546875" style="1" bestFit="1" customWidth="1"/>
    <col min="12718" max="12718" width="9.5703125" style="1" bestFit="1" customWidth="1"/>
    <col min="12719" max="12719" width="35.85546875" style="1" bestFit="1" customWidth="1"/>
    <col min="12720" max="12720" width="33.85546875" style="1" bestFit="1" customWidth="1"/>
    <col min="12721" max="12721" width="9.5703125" style="1" bestFit="1" customWidth="1"/>
    <col min="12722" max="12722" width="35.85546875" style="1" bestFit="1" customWidth="1"/>
    <col min="12723" max="12723" width="33.85546875" style="1" bestFit="1" customWidth="1"/>
    <col min="12724" max="12724" width="9.5703125" style="1" bestFit="1" customWidth="1"/>
    <col min="12725" max="12725" width="35.85546875" style="1" bestFit="1" customWidth="1"/>
    <col min="12726" max="12726" width="33.85546875" style="1" bestFit="1" customWidth="1"/>
    <col min="12727" max="12727" width="9.5703125" style="1" bestFit="1" customWidth="1"/>
    <col min="12728" max="12728" width="35.85546875" style="1" bestFit="1" customWidth="1"/>
    <col min="12729" max="12729" width="33.85546875" style="1" bestFit="1" customWidth="1"/>
    <col min="12730" max="12730" width="9.5703125" style="1" bestFit="1" customWidth="1"/>
    <col min="12731" max="12731" width="35.85546875" style="1" bestFit="1" customWidth="1"/>
    <col min="12732" max="12732" width="33.85546875" style="1" bestFit="1" customWidth="1"/>
    <col min="12733" max="12733" width="9.5703125" style="1" bestFit="1" customWidth="1"/>
    <col min="12734" max="12734" width="35.85546875" style="1" bestFit="1" customWidth="1"/>
    <col min="12735" max="12735" width="33.85546875" style="1" bestFit="1" customWidth="1"/>
    <col min="12736" max="12736" width="9.5703125" style="1" bestFit="1" customWidth="1"/>
    <col min="12737" max="12737" width="35.85546875" style="1" bestFit="1" customWidth="1"/>
    <col min="12738" max="12738" width="33.85546875" style="1" bestFit="1" customWidth="1"/>
    <col min="12739" max="12739" width="9.5703125" style="1" bestFit="1" customWidth="1"/>
    <col min="12740" max="12740" width="35.85546875" style="1" bestFit="1" customWidth="1"/>
    <col min="12741" max="12741" width="33.85546875" style="1" bestFit="1" customWidth="1"/>
    <col min="12742" max="12742" width="9.5703125" style="1" bestFit="1" customWidth="1"/>
    <col min="12743" max="12743" width="35.85546875" style="1" bestFit="1" customWidth="1"/>
    <col min="12744" max="12744" width="33.85546875" style="1" bestFit="1" customWidth="1"/>
    <col min="12745" max="12745" width="9.5703125" style="1" bestFit="1" customWidth="1"/>
    <col min="12746" max="12746" width="35.85546875" style="1" bestFit="1" customWidth="1"/>
    <col min="12747" max="12747" width="33.85546875" style="1" bestFit="1" customWidth="1"/>
    <col min="12748" max="12748" width="9.5703125" style="1" bestFit="1" customWidth="1"/>
    <col min="12749" max="12749" width="35.85546875" style="1" bestFit="1" customWidth="1"/>
    <col min="12750" max="12750" width="33.85546875" style="1" bestFit="1" customWidth="1"/>
    <col min="12751" max="12751" width="9.5703125" style="1" bestFit="1" customWidth="1"/>
    <col min="12752" max="12752" width="35.85546875" style="1" bestFit="1" customWidth="1"/>
    <col min="12753" max="12753" width="33.85546875" style="1" bestFit="1" customWidth="1"/>
    <col min="12754" max="12754" width="9.5703125" style="1" bestFit="1" customWidth="1"/>
    <col min="12755" max="12755" width="35.85546875" style="1" bestFit="1" customWidth="1"/>
    <col min="12756" max="12756" width="33.85546875" style="1" bestFit="1" customWidth="1"/>
    <col min="12757" max="12757" width="9.5703125" style="1" bestFit="1" customWidth="1"/>
    <col min="12758" max="12758" width="35.85546875" style="1" bestFit="1" customWidth="1"/>
    <col min="12759" max="12759" width="33.85546875" style="1" bestFit="1" customWidth="1"/>
    <col min="12760" max="12760" width="9.5703125" style="1" bestFit="1" customWidth="1"/>
    <col min="12761" max="12761" width="35.85546875" style="1" bestFit="1" customWidth="1"/>
    <col min="12762" max="12762" width="33.85546875" style="1" bestFit="1" customWidth="1"/>
    <col min="12763" max="12763" width="9.5703125" style="1" bestFit="1" customWidth="1"/>
    <col min="12764" max="12764" width="35.85546875" style="1" bestFit="1" customWidth="1"/>
    <col min="12765" max="12765" width="33.85546875" style="1" bestFit="1" customWidth="1"/>
    <col min="12766" max="12766" width="9.5703125" style="1" bestFit="1" customWidth="1"/>
    <col min="12767" max="12767" width="35.85546875" style="1" bestFit="1" customWidth="1"/>
    <col min="12768" max="12768" width="33.85546875" style="1" bestFit="1" customWidth="1"/>
    <col min="12769" max="12769" width="9.5703125" style="1" bestFit="1" customWidth="1"/>
    <col min="12770" max="12770" width="35.85546875" style="1" bestFit="1" customWidth="1"/>
    <col min="12771" max="12771" width="33.85546875" style="1" bestFit="1" customWidth="1"/>
    <col min="12772" max="12772" width="9.5703125" style="1" bestFit="1" customWidth="1"/>
    <col min="12773" max="12773" width="35.85546875" style="1" bestFit="1" customWidth="1"/>
    <col min="12774" max="12774" width="33.85546875" style="1" bestFit="1" customWidth="1"/>
    <col min="12775" max="12775" width="9.5703125" style="1" bestFit="1" customWidth="1"/>
    <col min="12776" max="12776" width="35.85546875" style="1" bestFit="1" customWidth="1"/>
    <col min="12777" max="12777" width="33.85546875" style="1" bestFit="1" customWidth="1"/>
    <col min="12778" max="12778" width="9.5703125" style="1" bestFit="1" customWidth="1"/>
    <col min="12779" max="12779" width="35.85546875" style="1" bestFit="1" customWidth="1"/>
    <col min="12780" max="12780" width="33.85546875" style="1" bestFit="1" customWidth="1"/>
    <col min="12781" max="12781" width="9.5703125" style="1" bestFit="1" customWidth="1"/>
    <col min="12782" max="12782" width="35.85546875" style="1" bestFit="1" customWidth="1"/>
    <col min="12783" max="12783" width="33.85546875" style="1" bestFit="1" customWidth="1"/>
    <col min="12784" max="12784" width="9.5703125" style="1" bestFit="1" customWidth="1"/>
    <col min="12785" max="12785" width="35.85546875" style="1" bestFit="1" customWidth="1"/>
    <col min="12786" max="12786" width="33.85546875" style="1" bestFit="1" customWidth="1"/>
    <col min="12787" max="12787" width="9.5703125" style="1" bestFit="1" customWidth="1"/>
    <col min="12788" max="12788" width="35.85546875" style="1" bestFit="1" customWidth="1"/>
    <col min="12789" max="12789" width="33.85546875" style="1" bestFit="1" customWidth="1"/>
    <col min="12790" max="12790" width="9.5703125" style="1" bestFit="1" customWidth="1"/>
    <col min="12791" max="12791" width="35.85546875" style="1" bestFit="1" customWidth="1"/>
    <col min="12792" max="12792" width="33.85546875" style="1" bestFit="1" customWidth="1"/>
    <col min="12793" max="12793" width="9.5703125" style="1" bestFit="1" customWidth="1"/>
    <col min="12794" max="12794" width="35.85546875" style="1" bestFit="1" customWidth="1"/>
    <col min="12795" max="12795" width="33.85546875" style="1" bestFit="1" customWidth="1"/>
    <col min="12796" max="12796" width="9.5703125" style="1" bestFit="1" customWidth="1"/>
    <col min="12797" max="12797" width="35.85546875" style="1" bestFit="1" customWidth="1"/>
    <col min="12798" max="12798" width="33.85546875" style="1" bestFit="1" customWidth="1"/>
    <col min="12799" max="12799" width="9.5703125" style="1" bestFit="1" customWidth="1"/>
    <col min="12800" max="12800" width="35.85546875" style="1" bestFit="1" customWidth="1"/>
    <col min="12801" max="12801" width="33.85546875" style="1" bestFit="1" customWidth="1"/>
    <col min="12802" max="12802" width="9.5703125" style="1" bestFit="1" customWidth="1"/>
    <col min="12803" max="12803" width="35.85546875" style="1" bestFit="1" customWidth="1"/>
    <col min="12804" max="12804" width="33.85546875" style="1" bestFit="1" customWidth="1"/>
    <col min="12805" max="12805" width="9.5703125" style="1" bestFit="1" customWidth="1"/>
    <col min="12806" max="12806" width="35.85546875" style="1" bestFit="1" customWidth="1"/>
    <col min="12807" max="12807" width="33.85546875" style="1" bestFit="1" customWidth="1"/>
    <col min="12808" max="12808" width="9.5703125" style="1" bestFit="1" customWidth="1"/>
    <col min="12809" max="12809" width="35.85546875" style="1" bestFit="1" customWidth="1"/>
    <col min="12810" max="12810" width="33.85546875" style="1" bestFit="1" customWidth="1"/>
    <col min="12811" max="12811" width="9.5703125" style="1" bestFit="1" customWidth="1"/>
    <col min="12812" max="12812" width="35.85546875" style="1" bestFit="1" customWidth="1"/>
    <col min="12813" max="12813" width="33.85546875" style="1" bestFit="1" customWidth="1"/>
    <col min="12814" max="12814" width="9.5703125" style="1" bestFit="1" customWidth="1"/>
    <col min="12815" max="12815" width="35.85546875" style="1" bestFit="1" customWidth="1"/>
    <col min="12816" max="12816" width="33.85546875" style="1" bestFit="1" customWidth="1"/>
    <col min="12817" max="12817" width="9.5703125" style="1" bestFit="1" customWidth="1"/>
    <col min="12818" max="12818" width="35.85546875" style="1" bestFit="1" customWidth="1"/>
    <col min="12819" max="12819" width="33.85546875" style="1" bestFit="1" customWidth="1"/>
    <col min="12820" max="12820" width="9.5703125" style="1" bestFit="1" customWidth="1"/>
    <col min="12821" max="12821" width="35.85546875" style="1" bestFit="1" customWidth="1"/>
    <col min="12822" max="12822" width="33.85546875" style="1" bestFit="1" customWidth="1"/>
    <col min="12823" max="12823" width="9.5703125" style="1" bestFit="1" customWidth="1"/>
    <col min="12824" max="12886" width="22.140625" style="1"/>
    <col min="12887" max="12887" width="40.42578125" style="1" customWidth="1"/>
    <col min="12888" max="12888" width="25.42578125" style="1" bestFit="1" customWidth="1"/>
    <col min="12889" max="12889" width="23.85546875" style="1" bestFit="1" customWidth="1"/>
    <col min="12890" max="12890" width="41.85546875" style="1" customWidth="1"/>
    <col min="12891" max="12891" width="26.42578125" style="1" bestFit="1" customWidth="1"/>
    <col min="12892" max="12893" width="16.42578125" style="1" customWidth="1"/>
    <col min="12894" max="12894" width="19.42578125" style="1" customWidth="1"/>
    <col min="12895" max="12895" width="16" style="1" customWidth="1"/>
    <col min="12896" max="12896" width="16.5703125" style="1" customWidth="1"/>
    <col min="12897" max="12897" width="7.5703125" style="1" bestFit="1" customWidth="1"/>
    <col min="12898" max="12898" width="16.5703125" style="1" customWidth="1"/>
    <col min="12899" max="12899" width="17.140625" style="1" customWidth="1"/>
    <col min="12900" max="12923" width="0" style="1" hidden="1" customWidth="1"/>
    <col min="12924" max="12924" width="35.85546875" style="1" bestFit="1" customWidth="1"/>
    <col min="12925" max="12925" width="33.85546875" style="1" bestFit="1" customWidth="1"/>
    <col min="12926" max="12926" width="9.5703125" style="1" bestFit="1" customWidth="1"/>
    <col min="12927" max="12927" width="35.85546875" style="1" bestFit="1" customWidth="1"/>
    <col min="12928" max="12928" width="33.85546875" style="1" bestFit="1" customWidth="1"/>
    <col min="12929" max="12929" width="9.5703125" style="1" bestFit="1" customWidth="1"/>
    <col min="12930" max="12930" width="35.85546875" style="1" bestFit="1" customWidth="1"/>
    <col min="12931" max="12931" width="33.85546875" style="1" bestFit="1" customWidth="1"/>
    <col min="12932" max="12932" width="9.5703125" style="1" bestFit="1" customWidth="1"/>
    <col min="12933" max="12933" width="35.85546875" style="1" bestFit="1" customWidth="1"/>
    <col min="12934" max="12934" width="33.85546875" style="1" bestFit="1" customWidth="1"/>
    <col min="12935" max="12935" width="9.5703125" style="1" bestFit="1" customWidth="1"/>
    <col min="12936" max="12936" width="35.85546875" style="1" bestFit="1" customWidth="1"/>
    <col min="12937" max="12937" width="33.85546875" style="1" bestFit="1" customWidth="1"/>
    <col min="12938" max="12938" width="9.5703125" style="1" bestFit="1" customWidth="1"/>
    <col min="12939" max="12939" width="35.85546875" style="1" bestFit="1" customWidth="1"/>
    <col min="12940" max="12940" width="33.85546875" style="1" bestFit="1" customWidth="1"/>
    <col min="12941" max="12941" width="9.5703125" style="1" bestFit="1" customWidth="1"/>
    <col min="12942" max="12942" width="35.85546875" style="1" bestFit="1" customWidth="1"/>
    <col min="12943" max="12943" width="33.85546875" style="1" bestFit="1" customWidth="1"/>
    <col min="12944" max="12944" width="9.5703125" style="1" bestFit="1" customWidth="1"/>
    <col min="12945" max="12945" width="35.85546875" style="1" bestFit="1" customWidth="1"/>
    <col min="12946" max="12946" width="33.85546875" style="1" bestFit="1" customWidth="1"/>
    <col min="12947" max="12947" width="9.5703125" style="1" bestFit="1" customWidth="1"/>
    <col min="12948" max="12948" width="35.85546875" style="1" bestFit="1" customWidth="1"/>
    <col min="12949" max="12949" width="33.85546875" style="1" bestFit="1" customWidth="1"/>
    <col min="12950" max="12950" width="9.5703125" style="1" bestFit="1" customWidth="1"/>
    <col min="12951" max="12951" width="35.85546875" style="1" bestFit="1" customWidth="1"/>
    <col min="12952" max="12952" width="33.85546875" style="1" bestFit="1" customWidth="1"/>
    <col min="12953" max="12953" width="9.5703125" style="1" bestFit="1" customWidth="1"/>
    <col min="12954" max="12954" width="35.85546875" style="1" bestFit="1" customWidth="1"/>
    <col min="12955" max="12955" width="33.85546875" style="1" bestFit="1" customWidth="1"/>
    <col min="12956" max="12956" width="9.5703125" style="1" bestFit="1" customWidth="1"/>
    <col min="12957" max="12957" width="35.85546875" style="1" bestFit="1" customWidth="1"/>
    <col min="12958" max="12958" width="33.85546875" style="1" bestFit="1" customWidth="1"/>
    <col min="12959" max="12959" width="9.5703125" style="1" bestFit="1" customWidth="1"/>
    <col min="12960" max="12960" width="35.85546875" style="1" bestFit="1" customWidth="1"/>
    <col min="12961" max="12961" width="33.85546875" style="1" bestFit="1" customWidth="1"/>
    <col min="12962" max="12962" width="9.5703125" style="1" bestFit="1" customWidth="1"/>
    <col min="12963" max="12963" width="35.85546875" style="1" bestFit="1" customWidth="1"/>
    <col min="12964" max="12964" width="33.85546875" style="1" bestFit="1" customWidth="1"/>
    <col min="12965" max="12965" width="9.5703125" style="1" bestFit="1" customWidth="1"/>
    <col min="12966" max="12966" width="35.85546875" style="1" bestFit="1" customWidth="1"/>
    <col min="12967" max="12967" width="33.85546875" style="1" bestFit="1" customWidth="1"/>
    <col min="12968" max="12968" width="9.5703125" style="1" bestFit="1" customWidth="1"/>
    <col min="12969" max="12969" width="35.85546875" style="1" bestFit="1" customWidth="1"/>
    <col min="12970" max="12970" width="33.85546875" style="1" bestFit="1" customWidth="1"/>
    <col min="12971" max="12971" width="9.5703125" style="1" bestFit="1" customWidth="1"/>
    <col min="12972" max="12972" width="35.85546875" style="1" bestFit="1" customWidth="1"/>
    <col min="12973" max="12973" width="33.85546875" style="1" bestFit="1" customWidth="1"/>
    <col min="12974" max="12974" width="9.5703125" style="1" bestFit="1" customWidth="1"/>
    <col min="12975" max="12975" width="35.85546875" style="1" bestFit="1" customWidth="1"/>
    <col min="12976" max="12976" width="33.85546875" style="1" bestFit="1" customWidth="1"/>
    <col min="12977" max="12977" width="9.5703125" style="1" bestFit="1" customWidth="1"/>
    <col min="12978" max="12978" width="35.85546875" style="1" bestFit="1" customWidth="1"/>
    <col min="12979" max="12979" width="33.85546875" style="1" bestFit="1" customWidth="1"/>
    <col min="12980" max="12980" width="9.5703125" style="1" bestFit="1" customWidth="1"/>
    <col min="12981" max="12981" width="35.85546875" style="1" bestFit="1" customWidth="1"/>
    <col min="12982" max="12982" width="33.85546875" style="1" bestFit="1" customWidth="1"/>
    <col min="12983" max="12983" width="9.5703125" style="1" bestFit="1" customWidth="1"/>
    <col min="12984" max="12984" width="35.85546875" style="1" bestFit="1" customWidth="1"/>
    <col min="12985" max="12985" width="33.85546875" style="1" bestFit="1" customWidth="1"/>
    <col min="12986" max="12986" width="9.5703125" style="1" bestFit="1" customWidth="1"/>
    <col min="12987" max="12987" width="35.85546875" style="1" bestFit="1" customWidth="1"/>
    <col min="12988" max="12988" width="33.85546875" style="1" bestFit="1" customWidth="1"/>
    <col min="12989" max="12989" width="9.5703125" style="1" bestFit="1" customWidth="1"/>
    <col min="12990" max="12990" width="35.85546875" style="1" bestFit="1" customWidth="1"/>
    <col min="12991" max="12991" width="33.85546875" style="1" bestFit="1" customWidth="1"/>
    <col min="12992" max="12992" width="9.5703125" style="1" bestFit="1" customWidth="1"/>
    <col min="12993" max="12993" width="35.85546875" style="1" bestFit="1" customWidth="1"/>
    <col min="12994" max="12994" width="33.85546875" style="1" bestFit="1" customWidth="1"/>
    <col min="12995" max="12995" width="9.5703125" style="1" bestFit="1" customWidth="1"/>
    <col min="12996" max="12996" width="35.85546875" style="1" bestFit="1" customWidth="1"/>
    <col min="12997" max="12997" width="33.85546875" style="1" bestFit="1" customWidth="1"/>
    <col min="12998" max="12998" width="9.5703125" style="1" bestFit="1" customWidth="1"/>
    <col min="12999" max="12999" width="35.85546875" style="1" bestFit="1" customWidth="1"/>
    <col min="13000" max="13000" width="33.85546875" style="1" bestFit="1" customWidth="1"/>
    <col min="13001" max="13001" width="9.5703125" style="1" bestFit="1" customWidth="1"/>
    <col min="13002" max="13002" width="35.85546875" style="1" bestFit="1" customWidth="1"/>
    <col min="13003" max="13003" width="33.85546875" style="1" bestFit="1" customWidth="1"/>
    <col min="13004" max="13004" width="9.5703125" style="1" bestFit="1" customWidth="1"/>
    <col min="13005" max="13005" width="35.85546875" style="1" bestFit="1" customWidth="1"/>
    <col min="13006" max="13006" width="33.85546875" style="1" bestFit="1" customWidth="1"/>
    <col min="13007" max="13007" width="9.5703125" style="1" bestFit="1" customWidth="1"/>
    <col min="13008" max="13008" width="35.85546875" style="1" bestFit="1" customWidth="1"/>
    <col min="13009" max="13009" width="33.85546875" style="1" bestFit="1" customWidth="1"/>
    <col min="13010" max="13010" width="9.5703125" style="1" bestFit="1" customWidth="1"/>
    <col min="13011" max="13011" width="35.85546875" style="1" bestFit="1" customWidth="1"/>
    <col min="13012" max="13012" width="33.85546875" style="1" bestFit="1" customWidth="1"/>
    <col min="13013" max="13013" width="9.5703125" style="1" bestFit="1" customWidth="1"/>
    <col min="13014" max="13014" width="35.85546875" style="1" bestFit="1" customWidth="1"/>
    <col min="13015" max="13015" width="33.85546875" style="1" bestFit="1" customWidth="1"/>
    <col min="13016" max="13016" width="9.5703125" style="1" bestFit="1" customWidth="1"/>
    <col min="13017" max="13017" width="35.85546875" style="1" bestFit="1" customWidth="1"/>
    <col min="13018" max="13018" width="33.85546875" style="1" bestFit="1" customWidth="1"/>
    <col min="13019" max="13019" width="9.5703125" style="1" bestFit="1" customWidth="1"/>
    <col min="13020" max="13020" width="35.85546875" style="1" bestFit="1" customWidth="1"/>
    <col min="13021" max="13021" width="33.85546875" style="1" bestFit="1" customWidth="1"/>
    <col min="13022" max="13022" width="9.5703125" style="1" bestFit="1" customWidth="1"/>
    <col min="13023" max="13023" width="35.85546875" style="1" bestFit="1" customWidth="1"/>
    <col min="13024" max="13024" width="33.85546875" style="1" bestFit="1" customWidth="1"/>
    <col min="13025" max="13025" width="9.5703125" style="1" bestFit="1" customWidth="1"/>
    <col min="13026" max="13026" width="35.85546875" style="1" bestFit="1" customWidth="1"/>
    <col min="13027" max="13027" width="33.85546875" style="1" bestFit="1" customWidth="1"/>
    <col min="13028" max="13028" width="9.5703125" style="1" bestFit="1" customWidth="1"/>
    <col min="13029" max="13029" width="35.85546875" style="1" bestFit="1" customWidth="1"/>
    <col min="13030" max="13030" width="33.85546875" style="1" bestFit="1" customWidth="1"/>
    <col min="13031" max="13031" width="9.5703125" style="1" bestFit="1" customWidth="1"/>
    <col min="13032" max="13032" width="35.85546875" style="1" bestFit="1" customWidth="1"/>
    <col min="13033" max="13033" width="33.85546875" style="1" bestFit="1" customWidth="1"/>
    <col min="13034" max="13034" width="9.5703125" style="1" bestFit="1" customWidth="1"/>
    <col min="13035" max="13035" width="35.85546875" style="1" bestFit="1" customWidth="1"/>
    <col min="13036" max="13036" width="33.85546875" style="1" bestFit="1" customWidth="1"/>
    <col min="13037" max="13037" width="9.5703125" style="1" bestFit="1" customWidth="1"/>
    <col min="13038" max="13038" width="35.85546875" style="1" bestFit="1" customWidth="1"/>
    <col min="13039" max="13039" width="33.85546875" style="1" bestFit="1" customWidth="1"/>
    <col min="13040" max="13040" width="9.5703125" style="1" bestFit="1" customWidth="1"/>
    <col min="13041" max="13041" width="35.85546875" style="1" bestFit="1" customWidth="1"/>
    <col min="13042" max="13042" width="33.85546875" style="1" bestFit="1" customWidth="1"/>
    <col min="13043" max="13043" width="9.5703125" style="1" bestFit="1" customWidth="1"/>
    <col min="13044" max="13044" width="35.85546875" style="1" bestFit="1" customWidth="1"/>
    <col min="13045" max="13045" width="33.85546875" style="1" bestFit="1" customWidth="1"/>
    <col min="13046" max="13046" width="9.5703125" style="1" bestFit="1" customWidth="1"/>
    <col min="13047" max="13047" width="35.85546875" style="1" bestFit="1" customWidth="1"/>
    <col min="13048" max="13048" width="33.85546875" style="1" bestFit="1" customWidth="1"/>
    <col min="13049" max="13049" width="9.5703125" style="1" bestFit="1" customWidth="1"/>
    <col min="13050" max="13050" width="35.85546875" style="1" bestFit="1" customWidth="1"/>
    <col min="13051" max="13051" width="33.85546875" style="1" bestFit="1" customWidth="1"/>
    <col min="13052" max="13052" width="9.5703125" style="1" bestFit="1" customWidth="1"/>
    <col min="13053" max="13053" width="35.85546875" style="1" bestFit="1" customWidth="1"/>
    <col min="13054" max="13054" width="33.85546875" style="1" bestFit="1" customWidth="1"/>
    <col min="13055" max="13055" width="9.5703125" style="1" bestFit="1" customWidth="1"/>
    <col min="13056" max="13056" width="35.85546875" style="1" bestFit="1" customWidth="1"/>
    <col min="13057" max="13057" width="33.85546875" style="1" bestFit="1" customWidth="1"/>
    <col min="13058" max="13058" width="9.5703125" style="1" bestFit="1" customWidth="1"/>
    <col min="13059" max="13059" width="35.85546875" style="1" bestFit="1" customWidth="1"/>
    <col min="13060" max="13060" width="33.85546875" style="1" bestFit="1" customWidth="1"/>
    <col min="13061" max="13061" width="9.5703125" style="1" bestFit="1" customWidth="1"/>
    <col min="13062" max="13062" width="35.85546875" style="1" bestFit="1" customWidth="1"/>
    <col min="13063" max="13063" width="33.85546875" style="1" bestFit="1" customWidth="1"/>
    <col min="13064" max="13064" width="9.5703125" style="1" bestFit="1" customWidth="1"/>
    <col min="13065" max="13065" width="35.85546875" style="1" bestFit="1" customWidth="1"/>
    <col min="13066" max="13066" width="33.85546875" style="1" bestFit="1" customWidth="1"/>
    <col min="13067" max="13067" width="9.5703125" style="1" bestFit="1" customWidth="1"/>
    <col min="13068" max="13068" width="35.85546875" style="1" bestFit="1" customWidth="1"/>
    <col min="13069" max="13069" width="33.85546875" style="1" bestFit="1" customWidth="1"/>
    <col min="13070" max="13070" width="9.5703125" style="1" bestFit="1" customWidth="1"/>
    <col min="13071" max="13071" width="35.85546875" style="1" bestFit="1" customWidth="1"/>
    <col min="13072" max="13072" width="33.85546875" style="1" bestFit="1" customWidth="1"/>
    <col min="13073" max="13073" width="9.5703125" style="1" bestFit="1" customWidth="1"/>
    <col min="13074" max="13074" width="35.85546875" style="1" bestFit="1" customWidth="1"/>
    <col min="13075" max="13075" width="33.85546875" style="1" bestFit="1" customWidth="1"/>
    <col min="13076" max="13076" width="9.5703125" style="1" bestFit="1" customWidth="1"/>
    <col min="13077" max="13077" width="35.85546875" style="1" bestFit="1" customWidth="1"/>
    <col min="13078" max="13078" width="33.85546875" style="1" bestFit="1" customWidth="1"/>
    <col min="13079" max="13079" width="9.5703125" style="1" bestFit="1" customWidth="1"/>
    <col min="13080" max="13142" width="22.140625" style="1"/>
    <col min="13143" max="13143" width="40.42578125" style="1" customWidth="1"/>
    <col min="13144" max="13144" width="25.42578125" style="1" bestFit="1" customWidth="1"/>
    <col min="13145" max="13145" width="23.85546875" style="1" bestFit="1" customWidth="1"/>
    <col min="13146" max="13146" width="41.85546875" style="1" customWidth="1"/>
    <col min="13147" max="13147" width="26.42578125" style="1" bestFit="1" customWidth="1"/>
    <col min="13148" max="13149" width="16.42578125" style="1" customWidth="1"/>
    <col min="13150" max="13150" width="19.42578125" style="1" customWidth="1"/>
    <col min="13151" max="13151" width="16" style="1" customWidth="1"/>
    <col min="13152" max="13152" width="16.5703125" style="1" customWidth="1"/>
    <col min="13153" max="13153" width="7.5703125" style="1" bestFit="1" customWidth="1"/>
    <col min="13154" max="13154" width="16.5703125" style="1" customWidth="1"/>
    <col min="13155" max="13155" width="17.140625" style="1" customWidth="1"/>
    <col min="13156" max="13179" width="0" style="1" hidden="1" customWidth="1"/>
    <col min="13180" max="13180" width="35.85546875" style="1" bestFit="1" customWidth="1"/>
    <col min="13181" max="13181" width="33.85546875" style="1" bestFit="1" customWidth="1"/>
    <col min="13182" max="13182" width="9.5703125" style="1" bestFit="1" customWidth="1"/>
    <col min="13183" max="13183" width="35.85546875" style="1" bestFit="1" customWidth="1"/>
    <col min="13184" max="13184" width="33.85546875" style="1" bestFit="1" customWidth="1"/>
    <col min="13185" max="13185" width="9.5703125" style="1" bestFit="1" customWidth="1"/>
    <col min="13186" max="13186" width="35.85546875" style="1" bestFit="1" customWidth="1"/>
    <col min="13187" max="13187" width="33.85546875" style="1" bestFit="1" customWidth="1"/>
    <col min="13188" max="13188" width="9.5703125" style="1" bestFit="1" customWidth="1"/>
    <col min="13189" max="13189" width="35.85546875" style="1" bestFit="1" customWidth="1"/>
    <col min="13190" max="13190" width="33.85546875" style="1" bestFit="1" customWidth="1"/>
    <col min="13191" max="13191" width="9.5703125" style="1" bestFit="1" customWidth="1"/>
    <col min="13192" max="13192" width="35.85546875" style="1" bestFit="1" customWidth="1"/>
    <col min="13193" max="13193" width="33.85546875" style="1" bestFit="1" customWidth="1"/>
    <col min="13194" max="13194" width="9.5703125" style="1" bestFit="1" customWidth="1"/>
    <col min="13195" max="13195" width="35.85546875" style="1" bestFit="1" customWidth="1"/>
    <col min="13196" max="13196" width="33.85546875" style="1" bestFit="1" customWidth="1"/>
    <col min="13197" max="13197" width="9.5703125" style="1" bestFit="1" customWidth="1"/>
    <col min="13198" max="13198" width="35.85546875" style="1" bestFit="1" customWidth="1"/>
    <col min="13199" max="13199" width="33.85546875" style="1" bestFit="1" customWidth="1"/>
    <col min="13200" max="13200" width="9.5703125" style="1" bestFit="1" customWidth="1"/>
    <col min="13201" max="13201" width="35.85546875" style="1" bestFit="1" customWidth="1"/>
    <col min="13202" max="13202" width="33.85546875" style="1" bestFit="1" customWidth="1"/>
    <col min="13203" max="13203" width="9.5703125" style="1" bestFit="1" customWidth="1"/>
    <col min="13204" max="13204" width="35.85546875" style="1" bestFit="1" customWidth="1"/>
    <col min="13205" max="13205" width="33.85546875" style="1" bestFit="1" customWidth="1"/>
    <col min="13206" max="13206" width="9.5703125" style="1" bestFit="1" customWidth="1"/>
    <col min="13207" max="13207" width="35.85546875" style="1" bestFit="1" customWidth="1"/>
    <col min="13208" max="13208" width="33.85546875" style="1" bestFit="1" customWidth="1"/>
    <col min="13209" max="13209" width="9.5703125" style="1" bestFit="1" customWidth="1"/>
    <col min="13210" max="13210" width="35.85546875" style="1" bestFit="1" customWidth="1"/>
    <col min="13211" max="13211" width="33.85546875" style="1" bestFit="1" customWidth="1"/>
    <col min="13212" max="13212" width="9.5703125" style="1" bestFit="1" customWidth="1"/>
    <col min="13213" max="13213" width="35.85546875" style="1" bestFit="1" customWidth="1"/>
    <col min="13214" max="13214" width="33.85546875" style="1" bestFit="1" customWidth="1"/>
    <col min="13215" max="13215" width="9.5703125" style="1" bestFit="1" customWidth="1"/>
    <col min="13216" max="13216" width="35.85546875" style="1" bestFit="1" customWidth="1"/>
    <col min="13217" max="13217" width="33.85546875" style="1" bestFit="1" customWidth="1"/>
    <col min="13218" max="13218" width="9.5703125" style="1" bestFit="1" customWidth="1"/>
    <col min="13219" max="13219" width="35.85546875" style="1" bestFit="1" customWidth="1"/>
    <col min="13220" max="13220" width="33.85546875" style="1" bestFit="1" customWidth="1"/>
    <col min="13221" max="13221" width="9.5703125" style="1" bestFit="1" customWidth="1"/>
    <col min="13222" max="13222" width="35.85546875" style="1" bestFit="1" customWidth="1"/>
    <col min="13223" max="13223" width="33.85546875" style="1" bestFit="1" customWidth="1"/>
    <col min="13224" max="13224" width="9.5703125" style="1" bestFit="1" customWidth="1"/>
    <col min="13225" max="13225" width="35.85546875" style="1" bestFit="1" customWidth="1"/>
    <col min="13226" max="13226" width="33.85546875" style="1" bestFit="1" customWidth="1"/>
    <col min="13227" max="13227" width="9.5703125" style="1" bestFit="1" customWidth="1"/>
    <col min="13228" max="13228" width="35.85546875" style="1" bestFit="1" customWidth="1"/>
    <col min="13229" max="13229" width="33.85546875" style="1" bestFit="1" customWidth="1"/>
    <col min="13230" max="13230" width="9.5703125" style="1" bestFit="1" customWidth="1"/>
    <col min="13231" max="13231" width="35.85546875" style="1" bestFit="1" customWidth="1"/>
    <col min="13232" max="13232" width="33.85546875" style="1" bestFit="1" customWidth="1"/>
    <col min="13233" max="13233" width="9.5703125" style="1" bestFit="1" customWidth="1"/>
    <col min="13234" max="13234" width="35.85546875" style="1" bestFit="1" customWidth="1"/>
    <col min="13235" max="13235" width="33.85546875" style="1" bestFit="1" customWidth="1"/>
    <col min="13236" max="13236" width="9.5703125" style="1" bestFit="1" customWidth="1"/>
    <col min="13237" max="13237" width="35.85546875" style="1" bestFit="1" customWidth="1"/>
    <col min="13238" max="13238" width="33.85546875" style="1" bestFit="1" customWidth="1"/>
    <col min="13239" max="13239" width="9.5703125" style="1" bestFit="1" customWidth="1"/>
    <col min="13240" max="13240" width="35.85546875" style="1" bestFit="1" customWidth="1"/>
    <col min="13241" max="13241" width="33.85546875" style="1" bestFit="1" customWidth="1"/>
    <col min="13242" max="13242" width="9.5703125" style="1" bestFit="1" customWidth="1"/>
    <col min="13243" max="13243" width="35.85546875" style="1" bestFit="1" customWidth="1"/>
    <col min="13244" max="13244" width="33.85546875" style="1" bestFit="1" customWidth="1"/>
    <col min="13245" max="13245" width="9.5703125" style="1" bestFit="1" customWidth="1"/>
    <col min="13246" max="13246" width="35.85546875" style="1" bestFit="1" customWidth="1"/>
    <col min="13247" max="13247" width="33.85546875" style="1" bestFit="1" customWidth="1"/>
    <col min="13248" max="13248" width="9.5703125" style="1" bestFit="1" customWidth="1"/>
    <col min="13249" max="13249" width="35.85546875" style="1" bestFit="1" customWidth="1"/>
    <col min="13250" max="13250" width="33.85546875" style="1" bestFit="1" customWidth="1"/>
    <col min="13251" max="13251" width="9.5703125" style="1" bestFit="1" customWidth="1"/>
    <col min="13252" max="13252" width="35.85546875" style="1" bestFit="1" customWidth="1"/>
    <col min="13253" max="13253" width="33.85546875" style="1" bestFit="1" customWidth="1"/>
    <col min="13254" max="13254" width="9.5703125" style="1" bestFit="1" customWidth="1"/>
    <col min="13255" max="13255" width="35.85546875" style="1" bestFit="1" customWidth="1"/>
    <col min="13256" max="13256" width="33.85546875" style="1" bestFit="1" customWidth="1"/>
    <col min="13257" max="13257" width="9.5703125" style="1" bestFit="1" customWidth="1"/>
    <col min="13258" max="13258" width="35.85546875" style="1" bestFit="1" customWidth="1"/>
    <col min="13259" max="13259" width="33.85546875" style="1" bestFit="1" customWidth="1"/>
    <col min="13260" max="13260" width="9.5703125" style="1" bestFit="1" customWidth="1"/>
    <col min="13261" max="13261" width="35.85546875" style="1" bestFit="1" customWidth="1"/>
    <col min="13262" max="13262" width="33.85546875" style="1" bestFit="1" customWidth="1"/>
    <col min="13263" max="13263" width="9.5703125" style="1" bestFit="1" customWidth="1"/>
    <col min="13264" max="13264" width="35.85546875" style="1" bestFit="1" customWidth="1"/>
    <col min="13265" max="13265" width="33.85546875" style="1" bestFit="1" customWidth="1"/>
    <col min="13266" max="13266" width="9.5703125" style="1" bestFit="1" customWidth="1"/>
    <col min="13267" max="13267" width="35.85546875" style="1" bestFit="1" customWidth="1"/>
    <col min="13268" max="13268" width="33.85546875" style="1" bestFit="1" customWidth="1"/>
    <col min="13269" max="13269" width="9.5703125" style="1" bestFit="1" customWidth="1"/>
    <col min="13270" max="13270" width="35.85546875" style="1" bestFit="1" customWidth="1"/>
    <col min="13271" max="13271" width="33.85546875" style="1" bestFit="1" customWidth="1"/>
    <col min="13272" max="13272" width="9.5703125" style="1" bestFit="1" customWidth="1"/>
    <col min="13273" max="13273" width="35.85546875" style="1" bestFit="1" customWidth="1"/>
    <col min="13274" max="13274" width="33.85546875" style="1" bestFit="1" customWidth="1"/>
    <col min="13275" max="13275" width="9.5703125" style="1" bestFit="1" customWidth="1"/>
    <col min="13276" max="13276" width="35.85546875" style="1" bestFit="1" customWidth="1"/>
    <col min="13277" max="13277" width="33.85546875" style="1" bestFit="1" customWidth="1"/>
    <col min="13278" max="13278" width="9.5703125" style="1" bestFit="1" customWidth="1"/>
    <col min="13279" max="13279" width="35.85546875" style="1" bestFit="1" customWidth="1"/>
    <col min="13280" max="13280" width="33.85546875" style="1" bestFit="1" customWidth="1"/>
    <col min="13281" max="13281" width="9.5703125" style="1" bestFit="1" customWidth="1"/>
    <col min="13282" max="13282" width="35.85546875" style="1" bestFit="1" customWidth="1"/>
    <col min="13283" max="13283" width="33.85546875" style="1" bestFit="1" customWidth="1"/>
    <col min="13284" max="13284" width="9.5703125" style="1" bestFit="1" customWidth="1"/>
    <col min="13285" max="13285" width="35.85546875" style="1" bestFit="1" customWidth="1"/>
    <col min="13286" max="13286" width="33.85546875" style="1" bestFit="1" customWidth="1"/>
    <col min="13287" max="13287" width="9.5703125" style="1" bestFit="1" customWidth="1"/>
    <col min="13288" max="13288" width="35.85546875" style="1" bestFit="1" customWidth="1"/>
    <col min="13289" max="13289" width="33.85546875" style="1" bestFit="1" customWidth="1"/>
    <col min="13290" max="13290" width="9.5703125" style="1" bestFit="1" customWidth="1"/>
    <col min="13291" max="13291" width="35.85546875" style="1" bestFit="1" customWidth="1"/>
    <col min="13292" max="13292" width="33.85546875" style="1" bestFit="1" customWidth="1"/>
    <col min="13293" max="13293" width="9.5703125" style="1" bestFit="1" customWidth="1"/>
    <col min="13294" max="13294" width="35.85546875" style="1" bestFit="1" customWidth="1"/>
    <col min="13295" max="13295" width="33.85546875" style="1" bestFit="1" customWidth="1"/>
    <col min="13296" max="13296" width="9.5703125" style="1" bestFit="1" customWidth="1"/>
    <col min="13297" max="13297" width="35.85546875" style="1" bestFit="1" customWidth="1"/>
    <col min="13298" max="13298" width="33.85546875" style="1" bestFit="1" customWidth="1"/>
    <col min="13299" max="13299" width="9.5703125" style="1" bestFit="1" customWidth="1"/>
    <col min="13300" max="13300" width="35.85546875" style="1" bestFit="1" customWidth="1"/>
    <col min="13301" max="13301" width="33.85546875" style="1" bestFit="1" customWidth="1"/>
    <col min="13302" max="13302" width="9.5703125" style="1" bestFit="1" customWidth="1"/>
    <col min="13303" max="13303" width="35.85546875" style="1" bestFit="1" customWidth="1"/>
    <col min="13304" max="13304" width="33.85546875" style="1" bestFit="1" customWidth="1"/>
    <col min="13305" max="13305" width="9.5703125" style="1" bestFit="1" customWidth="1"/>
    <col min="13306" max="13306" width="35.85546875" style="1" bestFit="1" customWidth="1"/>
    <col min="13307" max="13307" width="33.85546875" style="1" bestFit="1" customWidth="1"/>
    <col min="13308" max="13308" width="9.5703125" style="1" bestFit="1" customWidth="1"/>
    <col min="13309" max="13309" width="35.85546875" style="1" bestFit="1" customWidth="1"/>
    <col min="13310" max="13310" width="33.85546875" style="1" bestFit="1" customWidth="1"/>
    <col min="13311" max="13311" width="9.5703125" style="1" bestFit="1" customWidth="1"/>
    <col min="13312" max="13312" width="35.85546875" style="1" bestFit="1" customWidth="1"/>
    <col min="13313" max="13313" width="33.85546875" style="1" bestFit="1" customWidth="1"/>
    <col min="13314" max="13314" width="9.5703125" style="1" bestFit="1" customWidth="1"/>
    <col min="13315" max="13315" width="35.85546875" style="1" bestFit="1" customWidth="1"/>
    <col min="13316" max="13316" width="33.85546875" style="1" bestFit="1" customWidth="1"/>
    <col min="13317" max="13317" width="9.5703125" style="1" bestFit="1" customWidth="1"/>
    <col min="13318" max="13318" width="35.85546875" style="1" bestFit="1" customWidth="1"/>
    <col min="13319" max="13319" width="33.85546875" style="1" bestFit="1" customWidth="1"/>
    <col min="13320" max="13320" width="9.5703125" style="1" bestFit="1" customWidth="1"/>
    <col min="13321" max="13321" width="35.85546875" style="1" bestFit="1" customWidth="1"/>
    <col min="13322" max="13322" width="33.85546875" style="1" bestFit="1" customWidth="1"/>
    <col min="13323" max="13323" width="9.5703125" style="1" bestFit="1" customWidth="1"/>
    <col min="13324" max="13324" width="35.85546875" style="1" bestFit="1" customWidth="1"/>
    <col min="13325" max="13325" width="33.85546875" style="1" bestFit="1" customWidth="1"/>
    <col min="13326" max="13326" width="9.5703125" style="1" bestFit="1" customWidth="1"/>
    <col min="13327" max="13327" width="35.85546875" style="1" bestFit="1" customWidth="1"/>
    <col min="13328" max="13328" width="33.85546875" style="1" bestFit="1" customWidth="1"/>
    <col min="13329" max="13329" width="9.5703125" style="1" bestFit="1" customWidth="1"/>
    <col min="13330" max="13330" width="35.85546875" style="1" bestFit="1" customWidth="1"/>
    <col min="13331" max="13331" width="33.85546875" style="1" bestFit="1" customWidth="1"/>
    <col min="13332" max="13332" width="9.5703125" style="1" bestFit="1" customWidth="1"/>
    <col min="13333" max="13333" width="35.85546875" style="1" bestFit="1" customWidth="1"/>
    <col min="13334" max="13334" width="33.85546875" style="1" bestFit="1" customWidth="1"/>
    <col min="13335" max="13335" width="9.5703125" style="1" bestFit="1" customWidth="1"/>
    <col min="13336" max="13398" width="22.140625" style="1"/>
    <col min="13399" max="13399" width="40.42578125" style="1" customWidth="1"/>
    <col min="13400" max="13400" width="25.42578125" style="1" bestFit="1" customWidth="1"/>
    <col min="13401" max="13401" width="23.85546875" style="1" bestFit="1" customWidth="1"/>
    <col min="13402" max="13402" width="41.85546875" style="1" customWidth="1"/>
    <col min="13403" max="13403" width="26.42578125" style="1" bestFit="1" customWidth="1"/>
    <col min="13404" max="13405" width="16.42578125" style="1" customWidth="1"/>
    <col min="13406" max="13406" width="19.42578125" style="1" customWidth="1"/>
    <col min="13407" max="13407" width="16" style="1" customWidth="1"/>
    <col min="13408" max="13408" width="16.5703125" style="1" customWidth="1"/>
    <col min="13409" max="13409" width="7.5703125" style="1" bestFit="1" customWidth="1"/>
    <col min="13410" max="13410" width="16.5703125" style="1" customWidth="1"/>
    <col min="13411" max="13411" width="17.140625" style="1" customWidth="1"/>
    <col min="13412" max="13435" width="0" style="1" hidden="1" customWidth="1"/>
    <col min="13436" max="13436" width="35.85546875" style="1" bestFit="1" customWidth="1"/>
    <col min="13437" max="13437" width="33.85546875" style="1" bestFit="1" customWidth="1"/>
    <col min="13438" max="13438" width="9.5703125" style="1" bestFit="1" customWidth="1"/>
    <col min="13439" max="13439" width="35.85546875" style="1" bestFit="1" customWidth="1"/>
    <col min="13440" max="13440" width="33.85546875" style="1" bestFit="1" customWidth="1"/>
    <col min="13441" max="13441" width="9.5703125" style="1" bestFit="1" customWidth="1"/>
    <col min="13442" max="13442" width="35.85546875" style="1" bestFit="1" customWidth="1"/>
    <col min="13443" max="13443" width="33.85546875" style="1" bestFit="1" customWidth="1"/>
    <col min="13444" max="13444" width="9.5703125" style="1" bestFit="1" customWidth="1"/>
    <col min="13445" max="13445" width="35.85546875" style="1" bestFit="1" customWidth="1"/>
    <col min="13446" max="13446" width="33.85546875" style="1" bestFit="1" customWidth="1"/>
    <col min="13447" max="13447" width="9.5703125" style="1" bestFit="1" customWidth="1"/>
    <col min="13448" max="13448" width="35.85546875" style="1" bestFit="1" customWidth="1"/>
    <col min="13449" max="13449" width="33.85546875" style="1" bestFit="1" customWidth="1"/>
    <col min="13450" max="13450" width="9.5703125" style="1" bestFit="1" customWidth="1"/>
    <col min="13451" max="13451" width="35.85546875" style="1" bestFit="1" customWidth="1"/>
    <col min="13452" max="13452" width="33.85546875" style="1" bestFit="1" customWidth="1"/>
    <col min="13453" max="13453" width="9.5703125" style="1" bestFit="1" customWidth="1"/>
    <col min="13454" max="13454" width="35.85546875" style="1" bestFit="1" customWidth="1"/>
    <col min="13455" max="13455" width="33.85546875" style="1" bestFit="1" customWidth="1"/>
    <col min="13456" max="13456" width="9.5703125" style="1" bestFit="1" customWidth="1"/>
    <col min="13457" max="13457" width="35.85546875" style="1" bestFit="1" customWidth="1"/>
    <col min="13458" max="13458" width="33.85546875" style="1" bestFit="1" customWidth="1"/>
    <col min="13459" max="13459" width="9.5703125" style="1" bestFit="1" customWidth="1"/>
    <col min="13460" max="13460" width="35.85546875" style="1" bestFit="1" customWidth="1"/>
    <col min="13461" max="13461" width="33.85546875" style="1" bestFit="1" customWidth="1"/>
    <col min="13462" max="13462" width="9.5703125" style="1" bestFit="1" customWidth="1"/>
    <col min="13463" max="13463" width="35.85546875" style="1" bestFit="1" customWidth="1"/>
    <col min="13464" max="13464" width="33.85546875" style="1" bestFit="1" customWidth="1"/>
    <col min="13465" max="13465" width="9.5703125" style="1" bestFit="1" customWidth="1"/>
    <col min="13466" max="13466" width="35.85546875" style="1" bestFit="1" customWidth="1"/>
    <col min="13467" max="13467" width="33.85546875" style="1" bestFit="1" customWidth="1"/>
    <col min="13468" max="13468" width="9.5703125" style="1" bestFit="1" customWidth="1"/>
    <col min="13469" max="13469" width="35.85546875" style="1" bestFit="1" customWidth="1"/>
    <col min="13470" max="13470" width="33.85546875" style="1" bestFit="1" customWidth="1"/>
    <col min="13471" max="13471" width="9.5703125" style="1" bestFit="1" customWidth="1"/>
    <col min="13472" max="13472" width="35.85546875" style="1" bestFit="1" customWidth="1"/>
    <col min="13473" max="13473" width="33.85546875" style="1" bestFit="1" customWidth="1"/>
    <col min="13474" max="13474" width="9.5703125" style="1" bestFit="1" customWidth="1"/>
    <col min="13475" max="13475" width="35.85546875" style="1" bestFit="1" customWidth="1"/>
    <col min="13476" max="13476" width="33.85546875" style="1" bestFit="1" customWidth="1"/>
    <col min="13477" max="13477" width="9.5703125" style="1" bestFit="1" customWidth="1"/>
    <col min="13478" max="13478" width="35.85546875" style="1" bestFit="1" customWidth="1"/>
    <col min="13479" max="13479" width="33.85546875" style="1" bestFit="1" customWidth="1"/>
    <col min="13480" max="13480" width="9.5703125" style="1" bestFit="1" customWidth="1"/>
    <col min="13481" max="13481" width="35.85546875" style="1" bestFit="1" customWidth="1"/>
    <col min="13482" max="13482" width="33.85546875" style="1" bestFit="1" customWidth="1"/>
    <col min="13483" max="13483" width="9.5703125" style="1" bestFit="1" customWidth="1"/>
    <col min="13484" max="13484" width="35.85546875" style="1" bestFit="1" customWidth="1"/>
    <col min="13485" max="13485" width="33.85546875" style="1" bestFit="1" customWidth="1"/>
    <col min="13486" max="13486" width="9.5703125" style="1" bestFit="1" customWidth="1"/>
    <col min="13487" max="13487" width="35.85546875" style="1" bestFit="1" customWidth="1"/>
    <col min="13488" max="13488" width="33.85546875" style="1" bestFit="1" customWidth="1"/>
    <col min="13489" max="13489" width="9.5703125" style="1" bestFit="1" customWidth="1"/>
    <col min="13490" max="13490" width="35.85546875" style="1" bestFit="1" customWidth="1"/>
    <col min="13491" max="13491" width="33.85546875" style="1" bestFit="1" customWidth="1"/>
    <col min="13492" max="13492" width="9.5703125" style="1" bestFit="1" customWidth="1"/>
    <col min="13493" max="13493" width="35.85546875" style="1" bestFit="1" customWidth="1"/>
    <col min="13494" max="13494" width="33.85546875" style="1" bestFit="1" customWidth="1"/>
    <col min="13495" max="13495" width="9.5703125" style="1" bestFit="1" customWidth="1"/>
    <col min="13496" max="13496" width="35.85546875" style="1" bestFit="1" customWidth="1"/>
    <col min="13497" max="13497" width="33.85546875" style="1" bestFit="1" customWidth="1"/>
    <col min="13498" max="13498" width="9.5703125" style="1" bestFit="1" customWidth="1"/>
    <col min="13499" max="13499" width="35.85546875" style="1" bestFit="1" customWidth="1"/>
    <col min="13500" max="13500" width="33.85546875" style="1" bestFit="1" customWidth="1"/>
    <col min="13501" max="13501" width="9.5703125" style="1" bestFit="1" customWidth="1"/>
    <col min="13502" max="13502" width="35.85546875" style="1" bestFit="1" customWidth="1"/>
    <col min="13503" max="13503" width="33.85546875" style="1" bestFit="1" customWidth="1"/>
    <col min="13504" max="13504" width="9.5703125" style="1" bestFit="1" customWidth="1"/>
    <col min="13505" max="13505" width="35.85546875" style="1" bestFit="1" customWidth="1"/>
    <col min="13506" max="13506" width="33.85546875" style="1" bestFit="1" customWidth="1"/>
    <col min="13507" max="13507" width="9.5703125" style="1" bestFit="1" customWidth="1"/>
    <col min="13508" max="13508" width="35.85546875" style="1" bestFit="1" customWidth="1"/>
    <col min="13509" max="13509" width="33.85546875" style="1" bestFit="1" customWidth="1"/>
    <col min="13510" max="13510" width="9.5703125" style="1" bestFit="1" customWidth="1"/>
    <col min="13511" max="13511" width="35.85546875" style="1" bestFit="1" customWidth="1"/>
    <col min="13512" max="13512" width="33.85546875" style="1" bestFit="1" customWidth="1"/>
    <col min="13513" max="13513" width="9.5703125" style="1" bestFit="1" customWidth="1"/>
    <col min="13514" max="13514" width="35.85546875" style="1" bestFit="1" customWidth="1"/>
    <col min="13515" max="13515" width="33.85546875" style="1" bestFit="1" customWidth="1"/>
    <col min="13516" max="13516" width="9.5703125" style="1" bestFit="1" customWidth="1"/>
    <col min="13517" max="13517" width="35.85546875" style="1" bestFit="1" customWidth="1"/>
    <col min="13518" max="13518" width="33.85546875" style="1" bestFit="1" customWidth="1"/>
    <col min="13519" max="13519" width="9.5703125" style="1" bestFit="1" customWidth="1"/>
    <col min="13520" max="13520" width="35.85546875" style="1" bestFit="1" customWidth="1"/>
    <col min="13521" max="13521" width="33.85546875" style="1" bestFit="1" customWidth="1"/>
    <col min="13522" max="13522" width="9.5703125" style="1" bestFit="1" customWidth="1"/>
    <col min="13523" max="13523" width="35.85546875" style="1" bestFit="1" customWidth="1"/>
    <col min="13524" max="13524" width="33.85546875" style="1" bestFit="1" customWidth="1"/>
    <col min="13525" max="13525" width="9.5703125" style="1" bestFit="1" customWidth="1"/>
    <col min="13526" max="13526" width="35.85546875" style="1" bestFit="1" customWidth="1"/>
    <col min="13527" max="13527" width="33.85546875" style="1" bestFit="1" customWidth="1"/>
    <col min="13528" max="13528" width="9.5703125" style="1" bestFit="1" customWidth="1"/>
    <col min="13529" max="13529" width="35.85546875" style="1" bestFit="1" customWidth="1"/>
    <col min="13530" max="13530" width="33.85546875" style="1" bestFit="1" customWidth="1"/>
    <col min="13531" max="13531" width="9.5703125" style="1" bestFit="1" customWidth="1"/>
    <col min="13532" max="13532" width="35.85546875" style="1" bestFit="1" customWidth="1"/>
    <col min="13533" max="13533" width="33.85546875" style="1" bestFit="1" customWidth="1"/>
    <col min="13534" max="13534" width="9.5703125" style="1" bestFit="1" customWidth="1"/>
    <col min="13535" max="13535" width="35.85546875" style="1" bestFit="1" customWidth="1"/>
    <col min="13536" max="13536" width="33.85546875" style="1" bestFit="1" customWidth="1"/>
    <col min="13537" max="13537" width="9.5703125" style="1" bestFit="1" customWidth="1"/>
    <col min="13538" max="13538" width="35.85546875" style="1" bestFit="1" customWidth="1"/>
    <col min="13539" max="13539" width="33.85546875" style="1" bestFit="1" customWidth="1"/>
    <col min="13540" max="13540" width="9.5703125" style="1" bestFit="1" customWidth="1"/>
    <col min="13541" max="13541" width="35.85546875" style="1" bestFit="1" customWidth="1"/>
    <col min="13542" max="13542" width="33.85546875" style="1" bestFit="1" customWidth="1"/>
    <col min="13543" max="13543" width="9.5703125" style="1" bestFit="1" customWidth="1"/>
    <col min="13544" max="13544" width="35.85546875" style="1" bestFit="1" customWidth="1"/>
    <col min="13545" max="13545" width="33.85546875" style="1" bestFit="1" customWidth="1"/>
    <col min="13546" max="13546" width="9.5703125" style="1" bestFit="1" customWidth="1"/>
    <col min="13547" max="13547" width="35.85546875" style="1" bestFit="1" customWidth="1"/>
    <col min="13548" max="13548" width="33.85546875" style="1" bestFit="1" customWidth="1"/>
    <col min="13549" max="13549" width="9.5703125" style="1" bestFit="1" customWidth="1"/>
    <col min="13550" max="13550" width="35.85546875" style="1" bestFit="1" customWidth="1"/>
    <col min="13551" max="13551" width="33.85546875" style="1" bestFit="1" customWidth="1"/>
    <col min="13552" max="13552" width="9.5703125" style="1" bestFit="1" customWidth="1"/>
    <col min="13553" max="13553" width="35.85546875" style="1" bestFit="1" customWidth="1"/>
    <col min="13554" max="13554" width="33.85546875" style="1" bestFit="1" customWidth="1"/>
    <col min="13555" max="13555" width="9.5703125" style="1" bestFit="1" customWidth="1"/>
    <col min="13556" max="13556" width="35.85546875" style="1" bestFit="1" customWidth="1"/>
    <col min="13557" max="13557" width="33.85546875" style="1" bestFit="1" customWidth="1"/>
    <col min="13558" max="13558" width="9.5703125" style="1" bestFit="1" customWidth="1"/>
    <col min="13559" max="13559" width="35.85546875" style="1" bestFit="1" customWidth="1"/>
    <col min="13560" max="13560" width="33.85546875" style="1" bestFit="1" customWidth="1"/>
    <col min="13561" max="13561" width="9.5703125" style="1" bestFit="1" customWidth="1"/>
    <col min="13562" max="13562" width="35.85546875" style="1" bestFit="1" customWidth="1"/>
    <col min="13563" max="13563" width="33.85546875" style="1" bestFit="1" customWidth="1"/>
    <col min="13564" max="13564" width="9.5703125" style="1" bestFit="1" customWidth="1"/>
    <col min="13565" max="13565" width="35.85546875" style="1" bestFit="1" customWidth="1"/>
    <col min="13566" max="13566" width="33.85546875" style="1" bestFit="1" customWidth="1"/>
    <col min="13567" max="13567" width="9.5703125" style="1" bestFit="1" customWidth="1"/>
    <col min="13568" max="13568" width="35.85546875" style="1" bestFit="1" customWidth="1"/>
    <col min="13569" max="13569" width="33.85546875" style="1" bestFit="1" customWidth="1"/>
    <col min="13570" max="13570" width="9.5703125" style="1" bestFit="1" customWidth="1"/>
    <col min="13571" max="13571" width="35.85546875" style="1" bestFit="1" customWidth="1"/>
    <col min="13572" max="13572" width="33.85546875" style="1" bestFit="1" customWidth="1"/>
    <col min="13573" max="13573" width="9.5703125" style="1" bestFit="1" customWidth="1"/>
    <col min="13574" max="13574" width="35.85546875" style="1" bestFit="1" customWidth="1"/>
    <col min="13575" max="13575" width="33.85546875" style="1" bestFit="1" customWidth="1"/>
    <col min="13576" max="13576" width="9.5703125" style="1" bestFit="1" customWidth="1"/>
    <col min="13577" max="13577" width="35.85546875" style="1" bestFit="1" customWidth="1"/>
    <col min="13578" max="13578" width="33.85546875" style="1" bestFit="1" customWidth="1"/>
    <col min="13579" max="13579" width="9.5703125" style="1" bestFit="1" customWidth="1"/>
    <col min="13580" max="13580" width="35.85546875" style="1" bestFit="1" customWidth="1"/>
    <col min="13581" max="13581" width="33.85546875" style="1" bestFit="1" customWidth="1"/>
    <col min="13582" max="13582" width="9.5703125" style="1" bestFit="1" customWidth="1"/>
    <col min="13583" max="13583" width="35.85546875" style="1" bestFit="1" customWidth="1"/>
    <col min="13584" max="13584" width="33.85546875" style="1" bestFit="1" customWidth="1"/>
    <col min="13585" max="13585" width="9.5703125" style="1" bestFit="1" customWidth="1"/>
    <col min="13586" max="13586" width="35.85546875" style="1" bestFit="1" customWidth="1"/>
    <col min="13587" max="13587" width="33.85546875" style="1" bestFit="1" customWidth="1"/>
    <col min="13588" max="13588" width="9.5703125" style="1" bestFit="1" customWidth="1"/>
    <col min="13589" max="13589" width="35.85546875" style="1" bestFit="1" customWidth="1"/>
    <col min="13590" max="13590" width="33.85546875" style="1" bestFit="1" customWidth="1"/>
    <col min="13591" max="13591" width="9.5703125" style="1" bestFit="1" customWidth="1"/>
    <col min="13592" max="13654" width="22.140625" style="1"/>
    <col min="13655" max="13655" width="40.42578125" style="1" customWidth="1"/>
    <col min="13656" max="13656" width="25.42578125" style="1" bestFit="1" customWidth="1"/>
    <col min="13657" max="13657" width="23.85546875" style="1" bestFit="1" customWidth="1"/>
    <col min="13658" max="13658" width="41.85546875" style="1" customWidth="1"/>
    <col min="13659" max="13659" width="26.42578125" style="1" bestFit="1" customWidth="1"/>
    <col min="13660" max="13661" width="16.42578125" style="1" customWidth="1"/>
    <col min="13662" max="13662" width="19.42578125" style="1" customWidth="1"/>
    <col min="13663" max="13663" width="16" style="1" customWidth="1"/>
    <col min="13664" max="13664" width="16.5703125" style="1" customWidth="1"/>
    <col min="13665" max="13665" width="7.5703125" style="1" bestFit="1" customWidth="1"/>
    <col min="13666" max="13666" width="16.5703125" style="1" customWidth="1"/>
    <col min="13667" max="13667" width="17.140625" style="1" customWidth="1"/>
    <col min="13668" max="13691" width="0" style="1" hidden="1" customWidth="1"/>
    <col min="13692" max="13692" width="35.85546875" style="1" bestFit="1" customWidth="1"/>
    <col min="13693" max="13693" width="33.85546875" style="1" bestFit="1" customWidth="1"/>
    <col min="13694" max="13694" width="9.5703125" style="1" bestFit="1" customWidth="1"/>
    <col min="13695" max="13695" width="35.85546875" style="1" bestFit="1" customWidth="1"/>
    <col min="13696" max="13696" width="33.85546875" style="1" bestFit="1" customWidth="1"/>
    <col min="13697" max="13697" width="9.5703125" style="1" bestFit="1" customWidth="1"/>
    <col min="13698" max="13698" width="35.85546875" style="1" bestFit="1" customWidth="1"/>
    <col min="13699" max="13699" width="33.85546875" style="1" bestFit="1" customWidth="1"/>
    <col min="13700" max="13700" width="9.5703125" style="1" bestFit="1" customWidth="1"/>
    <col min="13701" max="13701" width="35.85546875" style="1" bestFit="1" customWidth="1"/>
    <col min="13702" max="13702" width="33.85546875" style="1" bestFit="1" customWidth="1"/>
    <col min="13703" max="13703" width="9.5703125" style="1" bestFit="1" customWidth="1"/>
    <col min="13704" max="13704" width="35.85546875" style="1" bestFit="1" customWidth="1"/>
    <col min="13705" max="13705" width="33.85546875" style="1" bestFit="1" customWidth="1"/>
    <col min="13706" max="13706" width="9.5703125" style="1" bestFit="1" customWidth="1"/>
    <col min="13707" max="13707" width="35.85546875" style="1" bestFit="1" customWidth="1"/>
    <col min="13708" max="13708" width="33.85546875" style="1" bestFit="1" customWidth="1"/>
    <col min="13709" max="13709" width="9.5703125" style="1" bestFit="1" customWidth="1"/>
    <col min="13710" max="13710" width="35.85546875" style="1" bestFit="1" customWidth="1"/>
    <col min="13711" max="13711" width="33.85546875" style="1" bestFit="1" customWidth="1"/>
    <col min="13712" max="13712" width="9.5703125" style="1" bestFit="1" customWidth="1"/>
    <col min="13713" max="13713" width="35.85546875" style="1" bestFit="1" customWidth="1"/>
    <col min="13714" max="13714" width="33.85546875" style="1" bestFit="1" customWidth="1"/>
    <col min="13715" max="13715" width="9.5703125" style="1" bestFit="1" customWidth="1"/>
    <col min="13716" max="13716" width="35.85546875" style="1" bestFit="1" customWidth="1"/>
    <col min="13717" max="13717" width="33.85546875" style="1" bestFit="1" customWidth="1"/>
    <col min="13718" max="13718" width="9.5703125" style="1" bestFit="1" customWidth="1"/>
    <col min="13719" max="13719" width="35.85546875" style="1" bestFit="1" customWidth="1"/>
    <col min="13720" max="13720" width="33.85546875" style="1" bestFit="1" customWidth="1"/>
    <col min="13721" max="13721" width="9.5703125" style="1" bestFit="1" customWidth="1"/>
    <col min="13722" max="13722" width="35.85546875" style="1" bestFit="1" customWidth="1"/>
    <col min="13723" max="13723" width="33.85546875" style="1" bestFit="1" customWidth="1"/>
    <col min="13724" max="13724" width="9.5703125" style="1" bestFit="1" customWidth="1"/>
    <col min="13725" max="13725" width="35.85546875" style="1" bestFit="1" customWidth="1"/>
    <col min="13726" max="13726" width="33.85546875" style="1" bestFit="1" customWidth="1"/>
    <col min="13727" max="13727" width="9.5703125" style="1" bestFit="1" customWidth="1"/>
    <col min="13728" max="13728" width="35.85546875" style="1" bestFit="1" customWidth="1"/>
    <col min="13729" max="13729" width="33.85546875" style="1" bestFit="1" customWidth="1"/>
    <col min="13730" max="13730" width="9.5703125" style="1" bestFit="1" customWidth="1"/>
    <col min="13731" max="13731" width="35.85546875" style="1" bestFit="1" customWidth="1"/>
    <col min="13732" max="13732" width="33.85546875" style="1" bestFit="1" customWidth="1"/>
    <col min="13733" max="13733" width="9.5703125" style="1" bestFit="1" customWidth="1"/>
    <col min="13734" max="13734" width="35.85546875" style="1" bestFit="1" customWidth="1"/>
    <col min="13735" max="13735" width="33.85546875" style="1" bestFit="1" customWidth="1"/>
    <col min="13736" max="13736" width="9.5703125" style="1" bestFit="1" customWidth="1"/>
    <col min="13737" max="13737" width="35.85546875" style="1" bestFit="1" customWidth="1"/>
    <col min="13738" max="13738" width="33.85546875" style="1" bestFit="1" customWidth="1"/>
    <col min="13739" max="13739" width="9.5703125" style="1" bestFit="1" customWidth="1"/>
    <col min="13740" max="13740" width="35.85546875" style="1" bestFit="1" customWidth="1"/>
    <col min="13741" max="13741" width="33.85546875" style="1" bestFit="1" customWidth="1"/>
    <col min="13742" max="13742" width="9.5703125" style="1" bestFit="1" customWidth="1"/>
    <col min="13743" max="13743" width="35.85546875" style="1" bestFit="1" customWidth="1"/>
    <col min="13744" max="13744" width="33.85546875" style="1" bestFit="1" customWidth="1"/>
    <col min="13745" max="13745" width="9.5703125" style="1" bestFit="1" customWidth="1"/>
    <col min="13746" max="13746" width="35.85546875" style="1" bestFit="1" customWidth="1"/>
    <col min="13747" max="13747" width="33.85546875" style="1" bestFit="1" customWidth="1"/>
    <col min="13748" max="13748" width="9.5703125" style="1" bestFit="1" customWidth="1"/>
    <col min="13749" max="13749" width="35.85546875" style="1" bestFit="1" customWidth="1"/>
    <col min="13750" max="13750" width="33.85546875" style="1" bestFit="1" customWidth="1"/>
    <col min="13751" max="13751" width="9.5703125" style="1" bestFit="1" customWidth="1"/>
    <col min="13752" max="13752" width="35.85546875" style="1" bestFit="1" customWidth="1"/>
    <col min="13753" max="13753" width="33.85546875" style="1" bestFit="1" customWidth="1"/>
    <col min="13754" max="13754" width="9.5703125" style="1" bestFit="1" customWidth="1"/>
    <col min="13755" max="13755" width="35.85546875" style="1" bestFit="1" customWidth="1"/>
    <col min="13756" max="13756" width="33.85546875" style="1" bestFit="1" customWidth="1"/>
    <col min="13757" max="13757" width="9.5703125" style="1" bestFit="1" customWidth="1"/>
    <col min="13758" max="13758" width="35.85546875" style="1" bestFit="1" customWidth="1"/>
    <col min="13759" max="13759" width="33.85546875" style="1" bestFit="1" customWidth="1"/>
    <col min="13760" max="13760" width="9.5703125" style="1" bestFit="1" customWidth="1"/>
    <col min="13761" max="13761" width="35.85546875" style="1" bestFit="1" customWidth="1"/>
    <col min="13762" max="13762" width="33.85546875" style="1" bestFit="1" customWidth="1"/>
    <col min="13763" max="13763" width="9.5703125" style="1" bestFit="1" customWidth="1"/>
    <col min="13764" max="13764" width="35.85546875" style="1" bestFit="1" customWidth="1"/>
    <col min="13765" max="13765" width="33.85546875" style="1" bestFit="1" customWidth="1"/>
    <col min="13766" max="13766" width="9.5703125" style="1" bestFit="1" customWidth="1"/>
    <col min="13767" max="13767" width="35.85546875" style="1" bestFit="1" customWidth="1"/>
    <col min="13768" max="13768" width="33.85546875" style="1" bestFit="1" customWidth="1"/>
    <col min="13769" max="13769" width="9.5703125" style="1" bestFit="1" customWidth="1"/>
    <col min="13770" max="13770" width="35.85546875" style="1" bestFit="1" customWidth="1"/>
    <col min="13771" max="13771" width="33.85546875" style="1" bestFit="1" customWidth="1"/>
    <col min="13772" max="13772" width="9.5703125" style="1" bestFit="1" customWidth="1"/>
    <col min="13773" max="13773" width="35.85546875" style="1" bestFit="1" customWidth="1"/>
    <col min="13774" max="13774" width="33.85546875" style="1" bestFit="1" customWidth="1"/>
    <col min="13775" max="13775" width="9.5703125" style="1" bestFit="1" customWidth="1"/>
    <col min="13776" max="13776" width="35.85546875" style="1" bestFit="1" customWidth="1"/>
    <col min="13777" max="13777" width="33.85546875" style="1" bestFit="1" customWidth="1"/>
    <col min="13778" max="13778" width="9.5703125" style="1" bestFit="1" customWidth="1"/>
    <col min="13779" max="13779" width="35.85546875" style="1" bestFit="1" customWidth="1"/>
    <col min="13780" max="13780" width="33.85546875" style="1" bestFit="1" customWidth="1"/>
    <col min="13781" max="13781" width="9.5703125" style="1" bestFit="1" customWidth="1"/>
    <col min="13782" max="13782" width="35.85546875" style="1" bestFit="1" customWidth="1"/>
    <col min="13783" max="13783" width="33.85546875" style="1" bestFit="1" customWidth="1"/>
    <col min="13784" max="13784" width="9.5703125" style="1" bestFit="1" customWidth="1"/>
    <col min="13785" max="13785" width="35.85546875" style="1" bestFit="1" customWidth="1"/>
    <col min="13786" max="13786" width="33.85546875" style="1" bestFit="1" customWidth="1"/>
    <col min="13787" max="13787" width="9.5703125" style="1" bestFit="1" customWidth="1"/>
    <col min="13788" max="13788" width="35.85546875" style="1" bestFit="1" customWidth="1"/>
    <col min="13789" max="13789" width="33.85546875" style="1" bestFit="1" customWidth="1"/>
    <col min="13790" max="13790" width="9.5703125" style="1" bestFit="1" customWidth="1"/>
    <col min="13791" max="13791" width="35.85546875" style="1" bestFit="1" customWidth="1"/>
    <col min="13792" max="13792" width="33.85546875" style="1" bestFit="1" customWidth="1"/>
    <col min="13793" max="13793" width="9.5703125" style="1" bestFit="1" customWidth="1"/>
    <col min="13794" max="13794" width="35.85546875" style="1" bestFit="1" customWidth="1"/>
    <col min="13795" max="13795" width="33.85546875" style="1" bestFit="1" customWidth="1"/>
    <col min="13796" max="13796" width="9.5703125" style="1" bestFit="1" customWidth="1"/>
    <col min="13797" max="13797" width="35.85546875" style="1" bestFit="1" customWidth="1"/>
    <col min="13798" max="13798" width="33.85546875" style="1" bestFit="1" customWidth="1"/>
    <col min="13799" max="13799" width="9.5703125" style="1" bestFit="1" customWidth="1"/>
    <col min="13800" max="13800" width="35.85546875" style="1" bestFit="1" customWidth="1"/>
    <col min="13801" max="13801" width="33.85546875" style="1" bestFit="1" customWidth="1"/>
    <col min="13802" max="13802" width="9.5703125" style="1" bestFit="1" customWidth="1"/>
    <col min="13803" max="13803" width="35.85546875" style="1" bestFit="1" customWidth="1"/>
    <col min="13804" max="13804" width="33.85546875" style="1" bestFit="1" customWidth="1"/>
    <col min="13805" max="13805" width="9.5703125" style="1" bestFit="1" customWidth="1"/>
    <col min="13806" max="13806" width="35.85546875" style="1" bestFit="1" customWidth="1"/>
    <col min="13807" max="13807" width="33.85546875" style="1" bestFit="1" customWidth="1"/>
    <col min="13808" max="13808" width="9.5703125" style="1" bestFit="1" customWidth="1"/>
    <col min="13809" max="13809" width="35.85546875" style="1" bestFit="1" customWidth="1"/>
    <col min="13810" max="13810" width="33.85546875" style="1" bestFit="1" customWidth="1"/>
    <col min="13811" max="13811" width="9.5703125" style="1" bestFit="1" customWidth="1"/>
    <col min="13812" max="13812" width="35.85546875" style="1" bestFit="1" customWidth="1"/>
    <col min="13813" max="13813" width="33.85546875" style="1" bestFit="1" customWidth="1"/>
    <col min="13814" max="13814" width="9.5703125" style="1" bestFit="1" customWidth="1"/>
    <col min="13815" max="13815" width="35.85546875" style="1" bestFit="1" customWidth="1"/>
    <col min="13816" max="13816" width="33.85546875" style="1" bestFit="1" customWidth="1"/>
    <col min="13817" max="13817" width="9.5703125" style="1" bestFit="1" customWidth="1"/>
    <col min="13818" max="13818" width="35.85546875" style="1" bestFit="1" customWidth="1"/>
    <col min="13819" max="13819" width="33.85546875" style="1" bestFit="1" customWidth="1"/>
    <col min="13820" max="13820" width="9.5703125" style="1" bestFit="1" customWidth="1"/>
    <col min="13821" max="13821" width="35.85546875" style="1" bestFit="1" customWidth="1"/>
    <col min="13822" max="13822" width="33.85546875" style="1" bestFit="1" customWidth="1"/>
    <col min="13823" max="13823" width="9.5703125" style="1" bestFit="1" customWidth="1"/>
    <col min="13824" max="13824" width="35.85546875" style="1" bestFit="1" customWidth="1"/>
    <col min="13825" max="13825" width="33.85546875" style="1" bestFit="1" customWidth="1"/>
    <col min="13826" max="13826" width="9.5703125" style="1" bestFit="1" customWidth="1"/>
    <col min="13827" max="13827" width="35.85546875" style="1" bestFit="1" customWidth="1"/>
    <col min="13828" max="13828" width="33.85546875" style="1" bestFit="1" customWidth="1"/>
    <col min="13829" max="13829" width="9.5703125" style="1" bestFit="1" customWidth="1"/>
    <col min="13830" max="13830" width="35.85546875" style="1" bestFit="1" customWidth="1"/>
    <col min="13831" max="13831" width="33.85546875" style="1" bestFit="1" customWidth="1"/>
    <col min="13832" max="13832" width="9.5703125" style="1" bestFit="1" customWidth="1"/>
    <col min="13833" max="13833" width="35.85546875" style="1" bestFit="1" customWidth="1"/>
    <col min="13834" max="13834" width="33.85546875" style="1" bestFit="1" customWidth="1"/>
    <col min="13835" max="13835" width="9.5703125" style="1" bestFit="1" customWidth="1"/>
    <col min="13836" max="13836" width="35.85546875" style="1" bestFit="1" customWidth="1"/>
    <col min="13837" max="13837" width="33.85546875" style="1" bestFit="1" customWidth="1"/>
    <col min="13838" max="13838" width="9.5703125" style="1" bestFit="1" customWidth="1"/>
    <col min="13839" max="13839" width="35.85546875" style="1" bestFit="1" customWidth="1"/>
    <col min="13840" max="13840" width="33.85546875" style="1" bestFit="1" customWidth="1"/>
    <col min="13841" max="13841" width="9.5703125" style="1" bestFit="1" customWidth="1"/>
    <col min="13842" max="13842" width="35.85546875" style="1" bestFit="1" customWidth="1"/>
    <col min="13843" max="13843" width="33.85546875" style="1" bestFit="1" customWidth="1"/>
    <col min="13844" max="13844" width="9.5703125" style="1" bestFit="1" customWidth="1"/>
    <col min="13845" max="13845" width="35.85546875" style="1" bestFit="1" customWidth="1"/>
    <col min="13846" max="13846" width="33.85546875" style="1" bestFit="1" customWidth="1"/>
    <col min="13847" max="13847" width="9.5703125" style="1" bestFit="1" customWidth="1"/>
    <col min="13848" max="13910" width="22.140625" style="1"/>
    <col min="13911" max="13911" width="40.42578125" style="1" customWidth="1"/>
    <col min="13912" max="13912" width="25.42578125" style="1" bestFit="1" customWidth="1"/>
    <col min="13913" max="13913" width="23.85546875" style="1" bestFit="1" customWidth="1"/>
    <col min="13914" max="13914" width="41.85546875" style="1" customWidth="1"/>
    <col min="13915" max="13915" width="26.42578125" style="1" bestFit="1" customWidth="1"/>
    <col min="13916" max="13917" width="16.42578125" style="1" customWidth="1"/>
    <col min="13918" max="13918" width="19.42578125" style="1" customWidth="1"/>
    <col min="13919" max="13919" width="16" style="1" customWidth="1"/>
    <col min="13920" max="13920" width="16.5703125" style="1" customWidth="1"/>
    <col min="13921" max="13921" width="7.5703125" style="1" bestFit="1" customWidth="1"/>
    <col min="13922" max="13922" width="16.5703125" style="1" customWidth="1"/>
    <col min="13923" max="13923" width="17.140625" style="1" customWidth="1"/>
    <col min="13924" max="13947" width="0" style="1" hidden="1" customWidth="1"/>
    <col min="13948" max="13948" width="35.85546875" style="1" bestFit="1" customWidth="1"/>
    <col min="13949" max="13949" width="33.85546875" style="1" bestFit="1" customWidth="1"/>
    <col min="13950" max="13950" width="9.5703125" style="1" bestFit="1" customWidth="1"/>
    <col min="13951" max="13951" width="35.85546875" style="1" bestFit="1" customWidth="1"/>
    <col min="13952" max="13952" width="33.85546875" style="1" bestFit="1" customWidth="1"/>
    <col min="13953" max="13953" width="9.5703125" style="1" bestFit="1" customWidth="1"/>
    <col min="13954" max="13954" width="35.85546875" style="1" bestFit="1" customWidth="1"/>
    <col min="13955" max="13955" width="33.85546875" style="1" bestFit="1" customWidth="1"/>
    <col min="13956" max="13956" width="9.5703125" style="1" bestFit="1" customWidth="1"/>
    <col min="13957" max="13957" width="35.85546875" style="1" bestFit="1" customWidth="1"/>
    <col min="13958" max="13958" width="33.85546875" style="1" bestFit="1" customWidth="1"/>
    <col min="13959" max="13959" width="9.5703125" style="1" bestFit="1" customWidth="1"/>
    <col min="13960" max="13960" width="35.85546875" style="1" bestFit="1" customWidth="1"/>
    <col min="13961" max="13961" width="33.85546875" style="1" bestFit="1" customWidth="1"/>
    <col min="13962" max="13962" width="9.5703125" style="1" bestFit="1" customWidth="1"/>
    <col min="13963" max="13963" width="35.85546875" style="1" bestFit="1" customWidth="1"/>
    <col min="13964" max="13964" width="33.85546875" style="1" bestFit="1" customWidth="1"/>
    <col min="13965" max="13965" width="9.5703125" style="1" bestFit="1" customWidth="1"/>
    <col min="13966" max="13966" width="35.85546875" style="1" bestFit="1" customWidth="1"/>
    <col min="13967" max="13967" width="33.85546875" style="1" bestFit="1" customWidth="1"/>
    <col min="13968" max="13968" width="9.5703125" style="1" bestFit="1" customWidth="1"/>
    <col min="13969" max="13969" width="35.85546875" style="1" bestFit="1" customWidth="1"/>
    <col min="13970" max="13970" width="33.85546875" style="1" bestFit="1" customWidth="1"/>
    <col min="13971" max="13971" width="9.5703125" style="1" bestFit="1" customWidth="1"/>
    <col min="13972" max="13972" width="35.85546875" style="1" bestFit="1" customWidth="1"/>
    <col min="13973" max="13973" width="33.85546875" style="1" bestFit="1" customWidth="1"/>
    <col min="13974" max="13974" width="9.5703125" style="1" bestFit="1" customWidth="1"/>
    <col min="13975" max="13975" width="35.85546875" style="1" bestFit="1" customWidth="1"/>
    <col min="13976" max="13976" width="33.85546875" style="1" bestFit="1" customWidth="1"/>
    <col min="13977" max="13977" width="9.5703125" style="1" bestFit="1" customWidth="1"/>
    <col min="13978" max="13978" width="35.85546875" style="1" bestFit="1" customWidth="1"/>
    <col min="13979" max="13979" width="33.85546875" style="1" bestFit="1" customWidth="1"/>
    <col min="13980" max="13980" width="9.5703125" style="1" bestFit="1" customWidth="1"/>
    <col min="13981" max="13981" width="35.85546875" style="1" bestFit="1" customWidth="1"/>
    <col min="13982" max="13982" width="33.85546875" style="1" bestFit="1" customWidth="1"/>
    <col min="13983" max="13983" width="9.5703125" style="1" bestFit="1" customWidth="1"/>
    <col min="13984" max="13984" width="35.85546875" style="1" bestFit="1" customWidth="1"/>
    <col min="13985" max="13985" width="33.85546875" style="1" bestFit="1" customWidth="1"/>
    <col min="13986" max="13986" width="9.5703125" style="1" bestFit="1" customWidth="1"/>
    <col min="13987" max="13987" width="35.85546875" style="1" bestFit="1" customWidth="1"/>
    <col min="13988" max="13988" width="33.85546875" style="1" bestFit="1" customWidth="1"/>
    <col min="13989" max="13989" width="9.5703125" style="1" bestFit="1" customWidth="1"/>
    <col min="13990" max="13990" width="35.85546875" style="1" bestFit="1" customWidth="1"/>
    <col min="13991" max="13991" width="33.85546875" style="1" bestFit="1" customWidth="1"/>
    <col min="13992" max="13992" width="9.5703125" style="1" bestFit="1" customWidth="1"/>
    <col min="13993" max="13993" width="35.85546875" style="1" bestFit="1" customWidth="1"/>
    <col min="13994" max="13994" width="33.85546875" style="1" bestFit="1" customWidth="1"/>
    <col min="13995" max="13995" width="9.5703125" style="1" bestFit="1" customWidth="1"/>
    <col min="13996" max="13996" width="35.85546875" style="1" bestFit="1" customWidth="1"/>
    <col min="13997" max="13997" width="33.85546875" style="1" bestFit="1" customWidth="1"/>
    <col min="13998" max="13998" width="9.5703125" style="1" bestFit="1" customWidth="1"/>
    <col min="13999" max="13999" width="35.85546875" style="1" bestFit="1" customWidth="1"/>
    <col min="14000" max="14000" width="33.85546875" style="1" bestFit="1" customWidth="1"/>
    <col min="14001" max="14001" width="9.5703125" style="1" bestFit="1" customWidth="1"/>
    <col min="14002" max="14002" width="35.85546875" style="1" bestFit="1" customWidth="1"/>
    <col min="14003" max="14003" width="33.85546875" style="1" bestFit="1" customWidth="1"/>
    <col min="14004" max="14004" width="9.5703125" style="1" bestFit="1" customWidth="1"/>
    <col min="14005" max="14005" width="35.85546875" style="1" bestFit="1" customWidth="1"/>
    <col min="14006" max="14006" width="33.85546875" style="1" bestFit="1" customWidth="1"/>
    <col min="14007" max="14007" width="9.5703125" style="1" bestFit="1" customWidth="1"/>
    <col min="14008" max="14008" width="35.85546875" style="1" bestFit="1" customWidth="1"/>
    <col min="14009" max="14009" width="33.85546875" style="1" bestFit="1" customWidth="1"/>
    <col min="14010" max="14010" width="9.5703125" style="1" bestFit="1" customWidth="1"/>
    <col min="14011" max="14011" width="35.85546875" style="1" bestFit="1" customWidth="1"/>
    <col min="14012" max="14012" width="33.85546875" style="1" bestFit="1" customWidth="1"/>
    <col min="14013" max="14013" width="9.5703125" style="1" bestFit="1" customWidth="1"/>
    <col min="14014" max="14014" width="35.85546875" style="1" bestFit="1" customWidth="1"/>
    <col min="14015" max="14015" width="33.85546875" style="1" bestFit="1" customWidth="1"/>
    <col min="14016" max="14016" width="9.5703125" style="1" bestFit="1" customWidth="1"/>
    <col min="14017" max="14017" width="35.85546875" style="1" bestFit="1" customWidth="1"/>
    <col min="14018" max="14018" width="33.85546875" style="1" bestFit="1" customWidth="1"/>
    <col min="14019" max="14019" width="9.5703125" style="1" bestFit="1" customWidth="1"/>
    <col min="14020" max="14020" width="35.85546875" style="1" bestFit="1" customWidth="1"/>
    <col min="14021" max="14021" width="33.85546875" style="1" bestFit="1" customWidth="1"/>
    <col min="14022" max="14022" width="9.5703125" style="1" bestFit="1" customWidth="1"/>
    <col min="14023" max="14023" width="35.85546875" style="1" bestFit="1" customWidth="1"/>
    <col min="14024" max="14024" width="33.85546875" style="1" bestFit="1" customWidth="1"/>
    <col min="14025" max="14025" width="9.5703125" style="1" bestFit="1" customWidth="1"/>
    <col min="14026" max="14026" width="35.85546875" style="1" bestFit="1" customWidth="1"/>
    <col min="14027" max="14027" width="33.85546875" style="1" bestFit="1" customWidth="1"/>
    <col min="14028" max="14028" width="9.5703125" style="1" bestFit="1" customWidth="1"/>
    <col min="14029" max="14029" width="35.85546875" style="1" bestFit="1" customWidth="1"/>
    <col min="14030" max="14030" width="33.85546875" style="1" bestFit="1" customWidth="1"/>
    <col min="14031" max="14031" width="9.5703125" style="1" bestFit="1" customWidth="1"/>
    <col min="14032" max="14032" width="35.85546875" style="1" bestFit="1" customWidth="1"/>
    <col min="14033" max="14033" width="33.85546875" style="1" bestFit="1" customWidth="1"/>
    <col min="14034" max="14034" width="9.5703125" style="1" bestFit="1" customWidth="1"/>
    <col min="14035" max="14035" width="35.85546875" style="1" bestFit="1" customWidth="1"/>
    <col min="14036" max="14036" width="33.85546875" style="1" bestFit="1" customWidth="1"/>
    <col min="14037" max="14037" width="9.5703125" style="1" bestFit="1" customWidth="1"/>
    <col min="14038" max="14038" width="35.85546875" style="1" bestFit="1" customWidth="1"/>
    <col min="14039" max="14039" width="33.85546875" style="1" bestFit="1" customWidth="1"/>
    <col min="14040" max="14040" width="9.5703125" style="1" bestFit="1" customWidth="1"/>
    <col min="14041" max="14041" width="35.85546875" style="1" bestFit="1" customWidth="1"/>
    <col min="14042" max="14042" width="33.85546875" style="1" bestFit="1" customWidth="1"/>
    <col min="14043" max="14043" width="9.5703125" style="1" bestFit="1" customWidth="1"/>
    <col min="14044" max="14044" width="35.85546875" style="1" bestFit="1" customWidth="1"/>
    <col min="14045" max="14045" width="33.85546875" style="1" bestFit="1" customWidth="1"/>
    <col min="14046" max="14046" width="9.5703125" style="1" bestFit="1" customWidth="1"/>
    <col min="14047" max="14047" width="35.85546875" style="1" bestFit="1" customWidth="1"/>
    <col min="14048" max="14048" width="33.85546875" style="1" bestFit="1" customWidth="1"/>
    <col min="14049" max="14049" width="9.5703125" style="1" bestFit="1" customWidth="1"/>
    <col min="14050" max="14050" width="35.85546875" style="1" bestFit="1" customWidth="1"/>
    <col min="14051" max="14051" width="33.85546875" style="1" bestFit="1" customWidth="1"/>
    <col min="14052" max="14052" width="9.5703125" style="1" bestFit="1" customWidth="1"/>
    <col min="14053" max="14053" width="35.85546875" style="1" bestFit="1" customWidth="1"/>
    <col min="14054" max="14054" width="33.85546875" style="1" bestFit="1" customWidth="1"/>
    <col min="14055" max="14055" width="9.5703125" style="1" bestFit="1" customWidth="1"/>
    <col min="14056" max="14056" width="35.85546875" style="1" bestFit="1" customWidth="1"/>
    <col min="14057" max="14057" width="33.85546875" style="1" bestFit="1" customWidth="1"/>
    <col min="14058" max="14058" width="9.5703125" style="1" bestFit="1" customWidth="1"/>
    <col min="14059" max="14059" width="35.85546875" style="1" bestFit="1" customWidth="1"/>
    <col min="14060" max="14060" width="33.85546875" style="1" bestFit="1" customWidth="1"/>
    <col min="14061" max="14061" width="9.5703125" style="1" bestFit="1" customWidth="1"/>
    <col min="14062" max="14062" width="35.85546875" style="1" bestFit="1" customWidth="1"/>
    <col min="14063" max="14063" width="33.85546875" style="1" bestFit="1" customWidth="1"/>
    <col min="14064" max="14064" width="9.5703125" style="1" bestFit="1" customWidth="1"/>
    <col min="14065" max="14065" width="35.85546875" style="1" bestFit="1" customWidth="1"/>
    <col min="14066" max="14066" width="33.85546875" style="1" bestFit="1" customWidth="1"/>
    <col min="14067" max="14067" width="9.5703125" style="1" bestFit="1" customWidth="1"/>
    <col min="14068" max="14068" width="35.85546875" style="1" bestFit="1" customWidth="1"/>
    <col min="14069" max="14069" width="33.85546875" style="1" bestFit="1" customWidth="1"/>
    <col min="14070" max="14070" width="9.5703125" style="1" bestFit="1" customWidth="1"/>
    <col min="14071" max="14071" width="35.85546875" style="1" bestFit="1" customWidth="1"/>
    <col min="14072" max="14072" width="33.85546875" style="1" bestFit="1" customWidth="1"/>
    <col min="14073" max="14073" width="9.5703125" style="1" bestFit="1" customWidth="1"/>
    <col min="14074" max="14074" width="35.85546875" style="1" bestFit="1" customWidth="1"/>
    <col min="14075" max="14075" width="33.85546875" style="1" bestFit="1" customWidth="1"/>
    <col min="14076" max="14076" width="9.5703125" style="1" bestFit="1" customWidth="1"/>
    <col min="14077" max="14077" width="35.85546875" style="1" bestFit="1" customWidth="1"/>
    <col min="14078" max="14078" width="33.85546875" style="1" bestFit="1" customWidth="1"/>
    <col min="14079" max="14079" width="9.5703125" style="1" bestFit="1" customWidth="1"/>
    <col min="14080" max="14080" width="35.85546875" style="1" bestFit="1" customWidth="1"/>
    <col min="14081" max="14081" width="33.85546875" style="1" bestFit="1" customWidth="1"/>
    <col min="14082" max="14082" width="9.5703125" style="1" bestFit="1" customWidth="1"/>
    <col min="14083" max="14083" width="35.85546875" style="1" bestFit="1" customWidth="1"/>
    <col min="14084" max="14084" width="33.85546875" style="1" bestFit="1" customWidth="1"/>
    <col min="14085" max="14085" width="9.5703125" style="1" bestFit="1" customWidth="1"/>
    <col min="14086" max="14086" width="35.85546875" style="1" bestFit="1" customWidth="1"/>
    <col min="14087" max="14087" width="33.85546875" style="1" bestFit="1" customWidth="1"/>
    <col min="14088" max="14088" width="9.5703125" style="1" bestFit="1" customWidth="1"/>
    <col min="14089" max="14089" width="35.85546875" style="1" bestFit="1" customWidth="1"/>
    <col min="14090" max="14090" width="33.85546875" style="1" bestFit="1" customWidth="1"/>
    <col min="14091" max="14091" width="9.5703125" style="1" bestFit="1" customWidth="1"/>
    <col min="14092" max="14092" width="35.85546875" style="1" bestFit="1" customWidth="1"/>
    <col min="14093" max="14093" width="33.85546875" style="1" bestFit="1" customWidth="1"/>
    <col min="14094" max="14094" width="9.5703125" style="1" bestFit="1" customWidth="1"/>
    <col min="14095" max="14095" width="35.85546875" style="1" bestFit="1" customWidth="1"/>
    <col min="14096" max="14096" width="33.85546875" style="1" bestFit="1" customWidth="1"/>
    <col min="14097" max="14097" width="9.5703125" style="1" bestFit="1" customWidth="1"/>
    <col min="14098" max="14098" width="35.85546875" style="1" bestFit="1" customWidth="1"/>
    <col min="14099" max="14099" width="33.85546875" style="1" bestFit="1" customWidth="1"/>
    <col min="14100" max="14100" width="9.5703125" style="1" bestFit="1" customWidth="1"/>
    <col min="14101" max="14101" width="35.85546875" style="1" bestFit="1" customWidth="1"/>
    <col min="14102" max="14102" width="33.85546875" style="1" bestFit="1" customWidth="1"/>
    <col min="14103" max="14103" width="9.5703125" style="1" bestFit="1" customWidth="1"/>
    <col min="14104" max="14166" width="22.140625" style="1"/>
    <col min="14167" max="14167" width="40.42578125" style="1" customWidth="1"/>
    <col min="14168" max="14168" width="25.42578125" style="1" bestFit="1" customWidth="1"/>
    <col min="14169" max="14169" width="23.85546875" style="1" bestFit="1" customWidth="1"/>
    <col min="14170" max="14170" width="41.85546875" style="1" customWidth="1"/>
    <col min="14171" max="14171" width="26.42578125" style="1" bestFit="1" customWidth="1"/>
    <col min="14172" max="14173" width="16.42578125" style="1" customWidth="1"/>
    <col min="14174" max="14174" width="19.42578125" style="1" customWidth="1"/>
    <col min="14175" max="14175" width="16" style="1" customWidth="1"/>
    <col min="14176" max="14176" width="16.5703125" style="1" customWidth="1"/>
    <col min="14177" max="14177" width="7.5703125" style="1" bestFit="1" customWidth="1"/>
    <col min="14178" max="14178" width="16.5703125" style="1" customWidth="1"/>
    <col min="14179" max="14179" width="17.140625" style="1" customWidth="1"/>
    <col min="14180" max="14203" width="0" style="1" hidden="1" customWidth="1"/>
    <col min="14204" max="14204" width="35.85546875" style="1" bestFit="1" customWidth="1"/>
    <col min="14205" max="14205" width="33.85546875" style="1" bestFit="1" customWidth="1"/>
    <col min="14206" max="14206" width="9.5703125" style="1" bestFit="1" customWidth="1"/>
    <col min="14207" max="14207" width="35.85546875" style="1" bestFit="1" customWidth="1"/>
    <col min="14208" max="14208" width="33.85546875" style="1" bestFit="1" customWidth="1"/>
    <col min="14209" max="14209" width="9.5703125" style="1" bestFit="1" customWidth="1"/>
    <col min="14210" max="14210" width="35.85546875" style="1" bestFit="1" customWidth="1"/>
    <col min="14211" max="14211" width="33.85546875" style="1" bestFit="1" customWidth="1"/>
    <col min="14212" max="14212" width="9.5703125" style="1" bestFit="1" customWidth="1"/>
    <col min="14213" max="14213" width="35.85546875" style="1" bestFit="1" customWidth="1"/>
    <col min="14214" max="14214" width="33.85546875" style="1" bestFit="1" customWidth="1"/>
    <col min="14215" max="14215" width="9.5703125" style="1" bestFit="1" customWidth="1"/>
    <col min="14216" max="14216" width="35.85546875" style="1" bestFit="1" customWidth="1"/>
    <col min="14217" max="14217" width="33.85546875" style="1" bestFit="1" customWidth="1"/>
    <col min="14218" max="14218" width="9.5703125" style="1" bestFit="1" customWidth="1"/>
    <col min="14219" max="14219" width="35.85546875" style="1" bestFit="1" customWidth="1"/>
    <col min="14220" max="14220" width="33.85546875" style="1" bestFit="1" customWidth="1"/>
    <col min="14221" max="14221" width="9.5703125" style="1" bestFit="1" customWidth="1"/>
    <col min="14222" max="14222" width="35.85546875" style="1" bestFit="1" customWidth="1"/>
    <col min="14223" max="14223" width="33.85546875" style="1" bestFit="1" customWidth="1"/>
    <col min="14224" max="14224" width="9.5703125" style="1" bestFit="1" customWidth="1"/>
    <col min="14225" max="14225" width="35.85546875" style="1" bestFit="1" customWidth="1"/>
    <col min="14226" max="14226" width="33.85546875" style="1" bestFit="1" customWidth="1"/>
    <col min="14227" max="14227" width="9.5703125" style="1" bestFit="1" customWidth="1"/>
    <col min="14228" max="14228" width="35.85546875" style="1" bestFit="1" customWidth="1"/>
    <col min="14229" max="14229" width="33.85546875" style="1" bestFit="1" customWidth="1"/>
    <col min="14230" max="14230" width="9.5703125" style="1" bestFit="1" customWidth="1"/>
    <col min="14231" max="14231" width="35.85546875" style="1" bestFit="1" customWidth="1"/>
    <col min="14232" max="14232" width="33.85546875" style="1" bestFit="1" customWidth="1"/>
    <col min="14233" max="14233" width="9.5703125" style="1" bestFit="1" customWidth="1"/>
    <col min="14234" max="14234" width="35.85546875" style="1" bestFit="1" customWidth="1"/>
    <col min="14235" max="14235" width="33.85546875" style="1" bestFit="1" customWidth="1"/>
    <col min="14236" max="14236" width="9.5703125" style="1" bestFit="1" customWidth="1"/>
    <col min="14237" max="14237" width="35.85546875" style="1" bestFit="1" customWidth="1"/>
    <col min="14238" max="14238" width="33.85546875" style="1" bestFit="1" customWidth="1"/>
    <col min="14239" max="14239" width="9.5703125" style="1" bestFit="1" customWidth="1"/>
    <col min="14240" max="14240" width="35.85546875" style="1" bestFit="1" customWidth="1"/>
    <col min="14241" max="14241" width="33.85546875" style="1" bestFit="1" customWidth="1"/>
    <col min="14242" max="14242" width="9.5703125" style="1" bestFit="1" customWidth="1"/>
    <col min="14243" max="14243" width="35.85546875" style="1" bestFit="1" customWidth="1"/>
    <col min="14244" max="14244" width="33.85546875" style="1" bestFit="1" customWidth="1"/>
    <col min="14245" max="14245" width="9.5703125" style="1" bestFit="1" customWidth="1"/>
    <col min="14246" max="14246" width="35.85546875" style="1" bestFit="1" customWidth="1"/>
    <col min="14247" max="14247" width="33.85546875" style="1" bestFit="1" customWidth="1"/>
    <col min="14248" max="14248" width="9.5703125" style="1" bestFit="1" customWidth="1"/>
    <col min="14249" max="14249" width="35.85546875" style="1" bestFit="1" customWidth="1"/>
    <col min="14250" max="14250" width="33.85546875" style="1" bestFit="1" customWidth="1"/>
    <col min="14251" max="14251" width="9.5703125" style="1" bestFit="1" customWidth="1"/>
    <col min="14252" max="14252" width="35.85546875" style="1" bestFit="1" customWidth="1"/>
    <col min="14253" max="14253" width="33.85546875" style="1" bestFit="1" customWidth="1"/>
    <col min="14254" max="14254" width="9.5703125" style="1" bestFit="1" customWidth="1"/>
    <col min="14255" max="14255" width="35.85546875" style="1" bestFit="1" customWidth="1"/>
    <col min="14256" max="14256" width="33.85546875" style="1" bestFit="1" customWidth="1"/>
    <col min="14257" max="14257" width="9.5703125" style="1" bestFit="1" customWidth="1"/>
    <col min="14258" max="14258" width="35.85546875" style="1" bestFit="1" customWidth="1"/>
    <col min="14259" max="14259" width="33.85546875" style="1" bestFit="1" customWidth="1"/>
    <col min="14260" max="14260" width="9.5703125" style="1" bestFit="1" customWidth="1"/>
    <col min="14261" max="14261" width="35.85546875" style="1" bestFit="1" customWidth="1"/>
    <col min="14262" max="14262" width="33.85546875" style="1" bestFit="1" customWidth="1"/>
    <col min="14263" max="14263" width="9.5703125" style="1" bestFit="1" customWidth="1"/>
    <col min="14264" max="14264" width="35.85546875" style="1" bestFit="1" customWidth="1"/>
    <col min="14265" max="14265" width="33.85546875" style="1" bestFit="1" customWidth="1"/>
    <col min="14266" max="14266" width="9.5703125" style="1" bestFit="1" customWidth="1"/>
    <col min="14267" max="14267" width="35.85546875" style="1" bestFit="1" customWidth="1"/>
    <col min="14268" max="14268" width="33.85546875" style="1" bestFit="1" customWidth="1"/>
    <col min="14269" max="14269" width="9.5703125" style="1" bestFit="1" customWidth="1"/>
    <col min="14270" max="14270" width="35.85546875" style="1" bestFit="1" customWidth="1"/>
    <col min="14271" max="14271" width="33.85546875" style="1" bestFit="1" customWidth="1"/>
    <col min="14272" max="14272" width="9.5703125" style="1" bestFit="1" customWidth="1"/>
    <col min="14273" max="14273" width="35.85546875" style="1" bestFit="1" customWidth="1"/>
    <col min="14274" max="14274" width="33.85546875" style="1" bestFit="1" customWidth="1"/>
    <col min="14275" max="14275" width="9.5703125" style="1" bestFit="1" customWidth="1"/>
    <col min="14276" max="14276" width="35.85546875" style="1" bestFit="1" customWidth="1"/>
    <col min="14277" max="14277" width="33.85546875" style="1" bestFit="1" customWidth="1"/>
    <col min="14278" max="14278" width="9.5703125" style="1" bestFit="1" customWidth="1"/>
    <col min="14279" max="14279" width="35.85546875" style="1" bestFit="1" customWidth="1"/>
    <col min="14280" max="14280" width="33.85546875" style="1" bestFit="1" customWidth="1"/>
    <col min="14281" max="14281" width="9.5703125" style="1" bestFit="1" customWidth="1"/>
    <col min="14282" max="14282" width="35.85546875" style="1" bestFit="1" customWidth="1"/>
    <col min="14283" max="14283" width="33.85546875" style="1" bestFit="1" customWidth="1"/>
    <col min="14284" max="14284" width="9.5703125" style="1" bestFit="1" customWidth="1"/>
    <col min="14285" max="14285" width="35.85546875" style="1" bestFit="1" customWidth="1"/>
    <col min="14286" max="14286" width="33.85546875" style="1" bestFit="1" customWidth="1"/>
    <col min="14287" max="14287" width="9.5703125" style="1" bestFit="1" customWidth="1"/>
    <col min="14288" max="14288" width="35.85546875" style="1" bestFit="1" customWidth="1"/>
    <col min="14289" max="14289" width="33.85546875" style="1" bestFit="1" customWidth="1"/>
    <col min="14290" max="14290" width="9.5703125" style="1" bestFit="1" customWidth="1"/>
    <col min="14291" max="14291" width="35.85546875" style="1" bestFit="1" customWidth="1"/>
    <col min="14292" max="14292" width="33.85546875" style="1" bestFit="1" customWidth="1"/>
    <col min="14293" max="14293" width="9.5703125" style="1" bestFit="1" customWidth="1"/>
    <col min="14294" max="14294" width="35.85546875" style="1" bestFit="1" customWidth="1"/>
    <col min="14295" max="14295" width="33.85546875" style="1" bestFit="1" customWidth="1"/>
    <col min="14296" max="14296" width="9.5703125" style="1" bestFit="1" customWidth="1"/>
    <col min="14297" max="14297" width="35.85546875" style="1" bestFit="1" customWidth="1"/>
    <col min="14298" max="14298" width="33.85546875" style="1" bestFit="1" customWidth="1"/>
    <col min="14299" max="14299" width="9.5703125" style="1" bestFit="1" customWidth="1"/>
    <col min="14300" max="14300" width="35.85546875" style="1" bestFit="1" customWidth="1"/>
    <col min="14301" max="14301" width="33.85546875" style="1" bestFit="1" customWidth="1"/>
    <col min="14302" max="14302" width="9.5703125" style="1" bestFit="1" customWidth="1"/>
    <col min="14303" max="14303" width="35.85546875" style="1" bestFit="1" customWidth="1"/>
    <col min="14304" max="14304" width="33.85546875" style="1" bestFit="1" customWidth="1"/>
    <col min="14305" max="14305" width="9.5703125" style="1" bestFit="1" customWidth="1"/>
    <col min="14306" max="14306" width="35.85546875" style="1" bestFit="1" customWidth="1"/>
    <col min="14307" max="14307" width="33.85546875" style="1" bestFit="1" customWidth="1"/>
    <col min="14308" max="14308" width="9.5703125" style="1" bestFit="1" customWidth="1"/>
    <col min="14309" max="14309" width="35.85546875" style="1" bestFit="1" customWidth="1"/>
    <col min="14310" max="14310" width="33.85546875" style="1" bestFit="1" customWidth="1"/>
    <col min="14311" max="14311" width="9.5703125" style="1" bestFit="1" customWidth="1"/>
    <col min="14312" max="14312" width="35.85546875" style="1" bestFit="1" customWidth="1"/>
    <col min="14313" max="14313" width="33.85546875" style="1" bestFit="1" customWidth="1"/>
    <col min="14314" max="14314" width="9.5703125" style="1" bestFit="1" customWidth="1"/>
    <col min="14315" max="14315" width="35.85546875" style="1" bestFit="1" customWidth="1"/>
    <col min="14316" max="14316" width="33.85546875" style="1" bestFit="1" customWidth="1"/>
    <col min="14317" max="14317" width="9.5703125" style="1" bestFit="1" customWidth="1"/>
    <col min="14318" max="14318" width="35.85546875" style="1" bestFit="1" customWidth="1"/>
    <col min="14319" max="14319" width="33.85546875" style="1" bestFit="1" customWidth="1"/>
    <col min="14320" max="14320" width="9.5703125" style="1" bestFit="1" customWidth="1"/>
    <col min="14321" max="14321" width="35.85546875" style="1" bestFit="1" customWidth="1"/>
    <col min="14322" max="14322" width="33.85546875" style="1" bestFit="1" customWidth="1"/>
    <col min="14323" max="14323" width="9.5703125" style="1" bestFit="1" customWidth="1"/>
    <col min="14324" max="14324" width="35.85546875" style="1" bestFit="1" customWidth="1"/>
    <col min="14325" max="14325" width="33.85546875" style="1" bestFit="1" customWidth="1"/>
    <col min="14326" max="14326" width="9.5703125" style="1" bestFit="1" customWidth="1"/>
    <col min="14327" max="14327" width="35.85546875" style="1" bestFit="1" customWidth="1"/>
    <col min="14328" max="14328" width="33.85546875" style="1" bestFit="1" customWidth="1"/>
    <col min="14329" max="14329" width="9.5703125" style="1" bestFit="1" customWidth="1"/>
    <col min="14330" max="14330" width="35.85546875" style="1" bestFit="1" customWidth="1"/>
    <col min="14331" max="14331" width="33.85546875" style="1" bestFit="1" customWidth="1"/>
    <col min="14332" max="14332" width="9.5703125" style="1" bestFit="1" customWidth="1"/>
    <col min="14333" max="14333" width="35.85546875" style="1" bestFit="1" customWidth="1"/>
    <col min="14334" max="14334" width="33.85546875" style="1" bestFit="1" customWidth="1"/>
    <col min="14335" max="14335" width="9.5703125" style="1" bestFit="1" customWidth="1"/>
    <col min="14336" max="14336" width="35.85546875" style="1" bestFit="1" customWidth="1"/>
    <col min="14337" max="14337" width="33.85546875" style="1" bestFit="1" customWidth="1"/>
    <col min="14338" max="14338" width="9.5703125" style="1" bestFit="1" customWidth="1"/>
    <col min="14339" max="14339" width="35.85546875" style="1" bestFit="1" customWidth="1"/>
    <col min="14340" max="14340" width="33.85546875" style="1" bestFit="1" customWidth="1"/>
    <col min="14341" max="14341" width="9.5703125" style="1" bestFit="1" customWidth="1"/>
    <col min="14342" max="14342" width="35.85546875" style="1" bestFit="1" customWidth="1"/>
    <col min="14343" max="14343" width="33.85546875" style="1" bestFit="1" customWidth="1"/>
    <col min="14344" max="14344" width="9.5703125" style="1" bestFit="1" customWidth="1"/>
    <col min="14345" max="14345" width="35.85546875" style="1" bestFit="1" customWidth="1"/>
    <col min="14346" max="14346" width="33.85546875" style="1" bestFit="1" customWidth="1"/>
    <col min="14347" max="14347" width="9.5703125" style="1" bestFit="1" customWidth="1"/>
    <col min="14348" max="14348" width="35.85546875" style="1" bestFit="1" customWidth="1"/>
    <col min="14349" max="14349" width="33.85546875" style="1" bestFit="1" customWidth="1"/>
    <col min="14350" max="14350" width="9.5703125" style="1" bestFit="1" customWidth="1"/>
    <col min="14351" max="14351" width="35.85546875" style="1" bestFit="1" customWidth="1"/>
    <col min="14352" max="14352" width="33.85546875" style="1" bestFit="1" customWidth="1"/>
    <col min="14353" max="14353" width="9.5703125" style="1" bestFit="1" customWidth="1"/>
    <col min="14354" max="14354" width="35.85546875" style="1" bestFit="1" customWidth="1"/>
    <col min="14355" max="14355" width="33.85546875" style="1" bestFit="1" customWidth="1"/>
    <col min="14356" max="14356" width="9.5703125" style="1" bestFit="1" customWidth="1"/>
    <col min="14357" max="14357" width="35.85546875" style="1" bestFit="1" customWidth="1"/>
    <col min="14358" max="14358" width="33.85546875" style="1" bestFit="1" customWidth="1"/>
    <col min="14359" max="14359" width="9.5703125" style="1" bestFit="1" customWidth="1"/>
    <col min="14360" max="14422" width="22.140625" style="1"/>
    <col min="14423" max="14423" width="40.42578125" style="1" customWidth="1"/>
    <col min="14424" max="14424" width="25.42578125" style="1" bestFit="1" customWidth="1"/>
    <col min="14425" max="14425" width="23.85546875" style="1" bestFit="1" customWidth="1"/>
    <col min="14426" max="14426" width="41.85546875" style="1" customWidth="1"/>
    <col min="14427" max="14427" width="26.42578125" style="1" bestFit="1" customWidth="1"/>
    <col min="14428" max="14429" width="16.42578125" style="1" customWidth="1"/>
    <col min="14430" max="14430" width="19.42578125" style="1" customWidth="1"/>
    <col min="14431" max="14431" width="16" style="1" customWidth="1"/>
    <col min="14432" max="14432" width="16.5703125" style="1" customWidth="1"/>
    <col min="14433" max="14433" width="7.5703125" style="1" bestFit="1" customWidth="1"/>
    <col min="14434" max="14434" width="16.5703125" style="1" customWidth="1"/>
    <col min="14435" max="14435" width="17.140625" style="1" customWidth="1"/>
    <col min="14436" max="14459" width="0" style="1" hidden="1" customWidth="1"/>
    <col min="14460" max="14460" width="35.85546875" style="1" bestFit="1" customWidth="1"/>
    <col min="14461" max="14461" width="33.85546875" style="1" bestFit="1" customWidth="1"/>
    <col min="14462" max="14462" width="9.5703125" style="1" bestFit="1" customWidth="1"/>
    <col min="14463" max="14463" width="35.85546875" style="1" bestFit="1" customWidth="1"/>
    <col min="14464" max="14464" width="33.85546875" style="1" bestFit="1" customWidth="1"/>
    <col min="14465" max="14465" width="9.5703125" style="1" bestFit="1" customWidth="1"/>
    <col min="14466" max="14466" width="35.85546875" style="1" bestFit="1" customWidth="1"/>
    <col min="14467" max="14467" width="33.85546875" style="1" bestFit="1" customWidth="1"/>
    <col min="14468" max="14468" width="9.5703125" style="1" bestFit="1" customWidth="1"/>
    <col min="14469" max="14469" width="35.85546875" style="1" bestFit="1" customWidth="1"/>
    <col min="14470" max="14470" width="33.85546875" style="1" bestFit="1" customWidth="1"/>
    <col min="14471" max="14471" width="9.5703125" style="1" bestFit="1" customWidth="1"/>
    <col min="14472" max="14472" width="35.85546875" style="1" bestFit="1" customWidth="1"/>
    <col min="14473" max="14473" width="33.85546875" style="1" bestFit="1" customWidth="1"/>
    <col min="14474" max="14474" width="9.5703125" style="1" bestFit="1" customWidth="1"/>
    <col min="14475" max="14475" width="35.85546875" style="1" bestFit="1" customWidth="1"/>
    <col min="14476" max="14476" width="33.85546875" style="1" bestFit="1" customWidth="1"/>
    <col min="14477" max="14477" width="9.5703125" style="1" bestFit="1" customWidth="1"/>
    <col min="14478" max="14478" width="35.85546875" style="1" bestFit="1" customWidth="1"/>
    <col min="14479" max="14479" width="33.85546875" style="1" bestFit="1" customWidth="1"/>
    <col min="14480" max="14480" width="9.5703125" style="1" bestFit="1" customWidth="1"/>
    <col min="14481" max="14481" width="35.85546875" style="1" bestFit="1" customWidth="1"/>
    <col min="14482" max="14482" width="33.85546875" style="1" bestFit="1" customWidth="1"/>
    <col min="14483" max="14483" width="9.5703125" style="1" bestFit="1" customWidth="1"/>
    <col min="14484" max="14484" width="35.85546875" style="1" bestFit="1" customWidth="1"/>
    <col min="14485" max="14485" width="33.85546875" style="1" bestFit="1" customWidth="1"/>
    <col min="14486" max="14486" width="9.5703125" style="1" bestFit="1" customWidth="1"/>
    <col min="14487" max="14487" width="35.85546875" style="1" bestFit="1" customWidth="1"/>
    <col min="14488" max="14488" width="33.85546875" style="1" bestFit="1" customWidth="1"/>
    <col min="14489" max="14489" width="9.5703125" style="1" bestFit="1" customWidth="1"/>
    <col min="14490" max="14490" width="35.85546875" style="1" bestFit="1" customWidth="1"/>
    <col min="14491" max="14491" width="33.85546875" style="1" bestFit="1" customWidth="1"/>
    <col min="14492" max="14492" width="9.5703125" style="1" bestFit="1" customWidth="1"/>
    <col min="14493" max="14493" width="35.85546875" style="1" bestFit="1" customWidth="1"/>
    <col min="14494" max="14494" width="33.85546875" style="1" bestFit="1" customWidth="1"/>
    <col min="14495" max="14495" width="9.5703125" style="1" bestFit="1" customWidth="1"/>
    <col min="14496" max="14496" width="35.85546875" style="1" bestFit="1" customWidth="1"/>
    <col min="14497" max="14497" width="33.85546875" style="1" bestFit="1" customWidth="1"/>
    <col min="14498" max="14498" width="9.5703125" style="1" bestFit="1" customWidth="1"/>
    <col min="14499" max="14499" width="35.85546875" style="1" bestFit="1" customWidth="1"/>
    <col min="14500" max="14500" width="33.85546875" style="1" bestFit="1" customWidth="1"/>
    <col min="14501" max="14501" width="9.5703125" style="1" bestFit="1" customWidth="1"/>
    <col min="14502" max="14502" width="35.85546875" style="1" bestFit="1" customWidth="1"/>
    <col min="14503" max="14503" width="33.85546875" style="1" bestFit="1" customWidth="1"/>
    <col min="14504" max="14504" width="9.5703125" style="1" bestFit="1" customWidth="1"/>
    <col min="14505" max="14505" width="35.85546875" style="1" bestFit="1" customWidth="1"/>
    <col min="14506" max="14506" width="33.85546875" style="1" bestFit="1" customWidth="1"/>
    <col min="14507" max="14507" width="9.5703125" style="1" bestFit="1" customWidth="1"/>
    <col min="14508" max="14508" width="35.85546875" style="1" bestFit="1" customWidth="1"/>
    <col min="14509" max="14509" width="33.85546875" style="1" bestFit="1" customWidth="1"/>
    <col min="14510" max="14510" width="9.5703125" style="1" bestFit="1" customWidth="1"/>
    <col min="14511" max="14511" width="35.85546875" style="1" bestFit="1" customWidth="1"/>
    <col min="14512" max="14512" width="33.85546875" style="1" bestFit="1" customWidth="1"/>
    <col min="14513" max="14513" width="9.5703125" style="1" bestFit="1" customWidth="1"/>
    <col min="14514" max="14514" width="35.85546875" style="1" bestFit="1" customWidth="1"/>
    <col min="14515" max="14515" width="33.85546875" style="1" bestFit="1" customWidth="1"/>
    <col min="14516" max="14516" width="9.5703125" style="1" bestFit="1" customWidth="1"/>
    <col min="14517" max="14517" width="35.85546875" style="1" bestFit="1" customWidth="1"/>
    <col min="14518" max="14518" width="33.85546875" style="1" bestFit="1" customWidth="1"/>
    <col min="14519" max="14519" width="9.5703125" style="1" bestFit="1" customWidth="1"/>
    <col min="14520" max="14520" width="35.85546875" style="1" bestFit="1" customWidth="1"/>
    <col min="14521" max="14521" width="33.85546875" style="1" bestFit="1" customWidth="1"/>
    <col min="14522" max="14522" width="9.5703125" style="1" bestFit="1" customWidth="1"/>
    <col min="14523" max="14523" width="35.85546875" style="1" bestFit="1" customWidth="1"/>
    <col min="14524" max="14524" width="33.85546875" style="1" bestFit="1" customWidth="1"/>
    <col min="14525" max="14525" width="9.5703125" style="1" bestFit="1" customWidth="1"/>
    <col min="14526" max="14526" width="35.85546875" style="1" bestFit="1" customWidth="1"/>
    <col min="14527" max="14527" width="33.85546875" style="1" bestFit="1" customWidth="1"/>
    <col min="14528" max="14528" width="9.5703125" style="1" bestFit="1" customWidth="1"/>
    <col min="14529" max="14529" width="35.85546875" style="1" bestFit="1" customWidth="1"/>
    <col min="14530" max="14530" width="33.85546875" style="1" bestFit="1" customWidth="1"/>
    <col min="14531" max="14531" width="9.5703125" style="1" bestFit="1" customWidth="1"/>
    <col min="14532" max="14532" width="35.85546875" style="1" bestFit="1" customWidth="1"/>
    <col min="14533" max="14533" width="33.85546875" style="1" bestFit="1" customWidth="1"/>
    <col min="14534" max="14534" width="9.5703125" style="1" bestFit="1" customWidth="1"/>
    <col min="14535" max="14535" width="35.85546875" style="1" bestFit="1" customWidth="1"/>
    <col min="14536" max="14536" width="33.85546875" style="1" bestFit="1" customWidth="1"/>
    <col min="14537" max="14537" width="9.5703125" style="1" bestFit="1" customWidth="1"/>
    <col min="14538" max="14538" width="35.85546875" style="1" bestFit="1" customWidth="1"/>
    <col min="14539" max="14539" width="33.85546875" style="1" bestFit="1" customWidth="1"/>
    <col min="14540" max="14540" width="9.5703125" style="1" bestFit="1" customWidth="1"/>
    <col min="14541" max="14541" width="35.85546875" style="1" bestFit="1" customWidth="1"/>
    <col min="14542" max="14542" width="33.85546875" style="1" bestFit="1" customWidth="1"/>
    <col min="14543" max="14543" width="9.5703125" style="1" bestFit="1" customWidth="1"/>
    <col min="14544" max="14544" width="35.85546875" style="1" bestFit="1" customWidth="1"/>
    <col min="14545" max="14545" width="33.85546875" style="1" bestFit="1" customWidth="1"/>
    <col min="14546" max="14546" width="9.5703125" style="1" bestFit="1" customWidth="1"/>
    <col min="14547" max="14547" width="35.85546875" style="1" bestFit="1" customWidth="1"/>
    <col min="14548" max="14548" width="33.85546875" style="1" bestFit="1" customWidth="1"/>
    <col min="14549" max="14549" width="9.5703125" style="1" bestFit="1" customWidth="1"/>
    <col min="14550" max="14550" width="35.85546875" style="1" bestFit="1" customWidth="1"/>
    <col min="14551" max="14551" width="33.85546875" style="1" bestFit="1" customWidth="1"/>
    <col min="14552" max="14552" width="9.5703125" style="1" bestFit="1" customWidth="1"/>
    <col min="14553" max="14553" width="35.85546875" style="1" bestFit="1" customWidth="1"/>
    <col min="14554" max="14554" width="33.85546875" style="1" bestFit="1" customWidth="1"/>
    <col min="14555" max="14555" width="9.5703125" style="1" bestFit="1" customWidth="1"/>
    <col min="14556" max="14556" width="35.85546875" style="1" bestFit="1" customWidth="1"/>
    <col min="14557" max="14557" width="33.85546875" style="1" bestFit="1" customWidth="1"/>
    <col min="14558" max="14558" width="9.5703125" style="1" bestFit="1" customWidth="1"/>
    <col min="14559" max="14559" width="35.85546875" style="1" bestFit="1" customWidth="1"/>
    <col min="14560" max="14560" width="33.85546875" style="1" bestFit="1" customWidth="1"/>
    <col min="14561" max="14561" width="9.5703125" style="1" bestFit="1" customWidth="1"/>
    <col min="14562" max="14562" width="35.85546875" style="1" bestFit="1" customWidth="1"/>
    <col min="14563" max="14563" width="33.85546875" style="1" bestFit="1" customWidth="1"/>
    <col min="14564" max="14564" width="9.5703125" style="1" bestFit="1" customWidth="1"/>
    <col min="14565" max="14565" width="35.85546875" style="1" bestFit="1" customWidth="1"/>
    <col min="14566" max="14566" width="33.85546875" style="1" bestFit="1" customWidth="1"/>
    <col min="14567" max="14567" width="9.5703125" style="1" bestFit="1" customWidth="1"/>
    <col min="14568" max="14568" width="35.85546875" style="1" bestFit="1" customWidth="1"/>
    <col min="14569" max="14569" width="33.85546875" style="1" bestFit="1" customWidth="1"/>
    <col min="14570" max="14570" width="9.5703125" style="1" bestFit="1" customWidth="1"/>
    <col min="14571" max="14571" width="35.85546875" style="1" bestFit="1" customWidth="1"/>
    <col min="14572" max="14572" width="33.85546875" style="1" bestFit="1" customWidth="1"/>
    <col min="14573" max="14573" width="9.5703125" style="1" bestFit="1" customWidth="1"/>
    <col min="14574" max="14574" width="35.85546875" style="1" bestFit="1" customWidth="1"/>
    <col min="14575" max="14575" width="33.85546875" style="1" bestFit="1" customWidth="1"/>
    <col min="14576" max="14576" width="9.5703125" style="1" bestFit="1" customWidth="1"/>
    <col min="14577" max="14577" width="35.85546875" style="1" bestFit="1" customWidth="1"/>
    <col min="14578" max="14578" width="33.85546875" style="1" bestFit="1" customWidth="1"/>
    <col min="14579" max="14579" width="9.5703125" style="1" bestFit="1" customWidth="1"/>
    <col min="14580" max="14580" width="35.85546875" style="1" bestFit="1" customWidth="1"/>
    <col min="14581" max="14581" width="33.85546875" style="1" bestFit="1" customWidth="1"/>
    <col min="14582" max="14582" width="9.5703125" style="1" bestFit="1" customWidth="1"/>
    <col min="14583" max="14583" width="35.85546875" style="1" bestFit="1" customWidth="1"/>
    <col min="14584" max="14584" width="33.85546875" style="1" bestFit="1" customWidth="1"/>
    <col min="14585" max="14585" width="9.5703125" style="1" bestFit="1" customWidth="1"/>
    <col min="14586" max="14586" width="35.85546875" style="1" bestFit="1" customWidth="1"/>
    <col min="14587" max="14587" width="33.85546875" style="1" bestFit="1" customWidth="1"/>
    <col min="14588" max="14588" width="9.5703125" style="1" bestFit="1" customWidth="1"/>
    <col min="14589" max="14589" width="35.85546875" style="1" bestFit="1" customWidth="1"/>
    <col min="14590" max="14590" width="33.85546875" style="1" bestFit="1" customWidth="1"/>
    <col min="14591" max="14591" width="9.5703125" style="1" bestFit="1" customWidth="1"/>
    <col min="14592" max="14592" width="35.85546875" style="1" bestFit="1" customWidth="1"/>
    <col min="14593" max="14593" width="33.85546875" style="1" bestFit="1" customWidth="1"/>
    <col min="14594" max="14594" width="9.5703125" style="1" bestFit="1" customWidth="1"/>
    <col min="14595" max="14595" width="35.85546875" style="1" bestFit="1" customWidth="1"/>
    <col min="14596" max="14596" width="33.85546875" style="1" bestFit="1" customWidth="1"/>
    <col min="14597" max="14597" width="9.5703125" style="1" bestFit="1" customWidth="1"/>
    <col min="14598" max="14598" width="35.85546875" style="1" bestFit="1" customWidth="1"/>
    <col min="14599" max="14599" width="33.85546875" style="1" bestFit="1" customWidth="1"/>
    <col min="14600" max="14600" width="9.5703125" style="1" bestFit="1" customWidth="1"/>
    <col min="14601" max="14601" width="35.85546875" style="1" bestFit="1" customWidth="1"/>
    <col min="14602" max="14602" width="33.85546875" style="1" bestFit="1" customWidth="1"/>
    <col min="14603" max="14603" width="9.5703125" style="1" bestFit="1" customWidth="1"/>
    <col min="14604" max="14604" width="35.85546875" style="1" bestFit="1" customWidth="1"/>
    <col min="14605" max="14605" width="33.85546875" style="1" bestFit="1" customWidth="1"/>
    <col min="14606" max="14606" width="9.5703125" style="1" bestFit="1" customWidth="1"/>
    <col min="14607" max="14607" width="35.85546875" style="1" bestFit="1" customWidth="1"/>
    <col min="14608" max="14608" width="33.85546875" style="1" bestFit="1" customWidth="1"/>
    <col min="14609" max="14609" width="9.5703125" style="1" bestFit="1" customWidth="1"/>
    <col min="14610" max="14610" width="35.85546875" style="1" bestFit="1" customWidth="1"/>
    <col min="14611" max="14611" width="33.85546875" style="1" bestFit="1" customWidth="1"/>
    <col min="14612" max="14612" width="9.5703125" style="1" bestFit="1" customWidth="1"/>
    <col min="14613" max="14613" width="35.85546875" style="1" bestFit="1" customWidth="1"/>
    <col min="14614" max="14614" width="33.85546875" style="1" bestFit="1" customWidth="1"/>
    <col min="14615" max="14615" width="9.5703125" style="1" bestFit="1" customWidth="1"/>
    <col min="14616" max="14678" width="22.140625" style="1"/>
    <col min="14679" max="14679" width="40.42578125" style="1" customWidth="1"/>
    <col min="14680" max="14680" width="25.42578125" style="1" bestFit="1" customWidth="1"/>
    <col min="14681" max="14681" width="23.85546875" style="1" bestFit="1" customWidth="1"/>
    <col min="14682" max="14682" width="41.85546875" style="1" customWidth="1"/>
    <col min="14683" max="14683" width="26.42578125" style="1" bestFit="1" customWidth="1"/>
    <col min="14684" max="14685" width="16.42578125" style="1" customWidth="1"/>
    <col min="14686" max="14686" width="19.42578125" style="1" customWidth="1"/>
    <col min="14687" max="14687" width="16" style="1" customWidth="1"/>
    <col min="14688" max="14688" width="16.5703125" style="1" customWidth="1"/>
    <col min="14689" max="14689" width="7.5703125" style="1" bestFit="1" customWidth="1"/>
    <col min="14690" max="14690" width="16.5703125" style="1" customWidth="1"/>
    <col min="14691" max="14691" width="17.140625" style="1" customWidth="1"/>
    <col min="14692" max="14715" width="0" style="1" hidden="1" customWidth="1"/>
    <col min="14716" max="14716" width="35.85546875" style="1" bestFit="1" customWidth="1"/>
    <col min="14717" max="14717" width="33.85546875" style="1" bestFit="1" customWidth="1"/>
    <col min="14718" max="14718" width="9.5703125" style="1" bestFit="1" customWidth="1"/>
    <col min="14719" max="14719" width="35.85546875" style="1" bestFit="1" customWidth="1"/>
    <col min="14720" max="14720" width="33.85546875" style="1" bestFit="1" customWidth="1"/>
    <col min="14721" max="14721" width="9.5703125" style="1" bestFit="1" customWidth="1"/>
    <col min="14722" max="14722" width="35.85546875" style="1" bestFit="1" customWidth="1"/>
    <col min="14723" max="14723" width="33.85546875" style="1" bestFit="1" customWidth="1"/>
    <col min="14724" max="14724" width="9.5703125" style="1" bestFit="1" customWidth="1"/>
    <col min="14725" max="14725" width="35.85546875" style="1" bestFit="1" customWidth="1"/>
    <col min="14726" max="14726" width="33.85546875" style="1" bestFit="1" customWidth="1"/>
    <col min="14727" max="14727" width="9.5703125" style="1" bestFit="1" customWidth="1"/>
    <col min="14728" max="14728" width="35.85546875" style="1" bestFit="1" customWidth="1"/>
    <col min="14729" max="14729" width="33.85546875" style="1" bestFit="1" customWidth="1"/>
    <col min="14730" max="14730" width="9.5703125" style="1" bestFit="1" customWidth="1"/>
    <col min="14731" max="14731" width="35.85546875" style="1" bestFit="1" customWidth="1"/>
    <col min="14732" max="14732" width="33.85546875" style="1" bestFit="1" customWidth="1"/>
    <col min="14733" max="14733" width="9.5703125" style="1" bestFit="1" customWidth="1"/>
    <col min="14734" max="14734" width="35.85546875" style="1" bestFit="1" customWidth="1"/>
    <col min="14735" max="14735" width="33.85546875" style="1" bestFit="1" customWidth="1"/>
    <col min="14736" max="14736" width="9.5703125" style="1" bestFit="1" customWidth="1"/>
    <col min="14737" max="14737" width="35.85546875" style="1" bestFit="1" customWidth="1"/>
    <col min="14738" max="14738" width="33.85546875" style="1" bestFit="1" customWidth="1"/>
    <col min="14739" max="14739" width="9.5703125" style="1" bestFit="1" customWidth="1"/>
    <col min="14740" max="14740" width="35.85546875" style="1" bestFit="1" customWidth="1"/>
    <col min="14741" max="14741" width="33.85546875" style="1" bestFit="1" customWidth="1"/>
    <col min="14742" max="14742" width="9.5703125" style="1" bestFit="1" customWidth="1"/>
    <col min="14743" max="14743" width="35.85546875" style="1" bestFit="1" customWidth="1"/>
    <col min="14744" max="14744" width="33.85546875" style="1" bestFit="1" customWidth="1"/>
    <col min="14745" max="14745" width="9.5703125" style="1" bestFit="1" customWidth="1"/>
    <col min="14746" max="14746" width="35.85546875" style="1" bestFit="1" customWidth="1"/>
    <col min="14747" max="14747" width="33.85546875" style="1" bestFit="1" customWidth="1"/>
    <col min="14748" max="14748" width="9.5703125" style="1" bestFit="1" customWidth="1"/>
    <col min="14749" max="14749" width="35.85546875" style="1" bestFit="1" customWidth="1"/>
    <col min="14750" max="14750" width="33.85546875" style="1" bestFit="1" customWidth="1"/>
    <col min="14751" max="14751" width="9.5703125" style="1" bestFit="1" customWidth="1"/>
    <col min="14752" max="14752" width="35.85546875" style="1" bestFit="1" customWidth="1"/>
    <col min="14753" max="14753" width="33.85546875" style="1" bestFit="1" customWidth="1"/>
    <col min="14754" max="14754" width="9.5703125" style="1" bestFit="1" customWidth="1"/>
    <col min="14755" max="14755" width="35.85546875" style="1" bestFit="1" customWidth="1"/>
    <col min="14756" max="14756" width="33.85546875" style="1" bestFit="1" customWidth="1"/>
    <col min="14757" max="14757" width="9.5703125" style="1" bestFit="1" customWidth="1"/>
    <col min="14758" max="14758" width="35.85546875" style="1" bestFit="1" customWidth="1"/>
    <col min="14759" max="14759" width="33.85546875" style="1" bestFit="1" customWidth="1"/>
    <col min="14760" max="14760" width="9.5703125" style="1" bestFit="1" customWidth="1"/>
    <col min="14761" max="14761" width="35.85546875" style="1" bestFit="1" customWidth="1"/>
    <col min="14762" max="14762" width="33.85546875" style="1" bestFit="1" customWidth="1"/>
    <col min="14763" max="14763" width="9.5703125" style="1" bestFit="1" customWidth="1"/>
    <col min="14764" max="14764" width="35.85546875" style="1" bestFit="1" customWidth="1"/>
    <col min="14765" max="14765" width="33.85546875" style="1" bestFit="1" customWidth="1"/>
    <col min="14766" max="14766" width="9.5703125" style="1" bestFit="1" customWidth="1"/>
    <col min="14767" max="14767" width="35.85546875" style="1" bestFit="1" customWidth="1"/>
    <col min="14768" max="14768" width="33.85546875" style="1" bestFit="1" customWidth="1"/>
    <col min="14769" max="14769" width="9.5703125" style="1" bestFit="1" customWidth="1"/>
    <col min="14770" max="14770" width="35.85546875" style="1" bestFit="1" customWidth="1"/>
    <col min="14771" max="14771" width="33.85546875" style="1" bestFit="1" customWidth="1"/>
    <col min="14772" max="14772" width="9.5703125" style="1" bestFit="1" customWidth="1"/>
    <col min="14773" max="14773" width="35.85546875" style="1" bestFit="1" customWidth="1"/>
    <col min="14774" max="14774" width="33.85546875" style="1" bestFit="1" customWidth="1"/>
    <col min="14775" max="14775" width="9.5703125" style="1" bestFit="1" customWidth="1"/>
    <col min="14776" max="14776" width="35.85546875" style="1" bestFit="1" customWidth="1"/>
    <col min="14777" max="14777" width="33.85546875" style="1" bestFit="1" customWidth="1"/>
    <col min="14778" max="14778" width="9.5703125" style="1" bestFit="1" customWidth="1"/>
    <col min="14779" max="14779" width="35.85546875" style="1" bestFit="1" customWidth="1"/>
    <col min="14780" max="14780" width="33.85546875" style="1" bestFit="1" customWidth="1"/>
    <col min="14781" max="14781" width="9.5703125" style="1" bestFit="1" customWidth="1"/>
    <col min="14782" max="14782" width="35.85546875" style="1" bestFit="1" customWidth="1"/>
    <col min="14783" max="14783" width="33.85546875" style="1" bestFit="1" customWidth="1"/>
    <col min="14784" max="14784" width="9.5703125" style="1" bestFit="1" customWidth="1"/>
    <col min="14785" max="14785" width="35.85546875" style="1" bestFit="1" customWidth="1"/>
    <col min="14786" max="14786" width="33.85546875" style="1" bestFit="1" customWidth="1"/>
    <col min="14787" max="14787" width="9.5703125" style="1" bestFit="1" customWidth="1"/>
    <col min="14788" max="14788" width="35.85546875" style="1" bestFit="1" customWidth="1"/>
    <col min="14789" max="14789" width="33.85546875" style="1" bestFit="1" customWidth="1"/>
    <col min="14790" max="14790" width="9.5703125" style="1" bestFit="1" customWidth="1"/>
    <col min="14791" max="14791" width="35.85546875" style="1" bestFit="1" customWidth="1"/>
    <col min="14792" max="14792" width="33.85546875" style="1" bestFit="1" customWidth="1"/>
    <col min="14793" max="14793" width="9.5703125" style="1" bestFit="1" customWidth="1"/>
    <col min="14794" max="14794" width="35.85546875" style="1" bestFit="1" customWidth="1"/>
    <col min="14795" max="14795" width="33.85546875" style="1" bestFit="1" customWidth="1"/>
    <col min="14796" max="14796" width="9.5703125" style="1" bestFit="1" customWidth="1"/>
    <col min="14797" max="14797" width="35.85546875" style="1" bestFit="1" customWidth="1"/>
    <col min="14798" max="14798" width="33.85546875" style="1" bestFit="1" customWidth="1"/>
    <col min="14799" max="14799" width="9.5703125" style="1" bestFit="1" customWidth="1"/>
    <col min="14800" max="14800" width="35.85546875" style="1" bestFit="1" customWidth="1"/>
    <col min="14801" max="14801" width="33.85546875" style="1" bestFit="1" customWidth="1"/>
    <col min="14802" max="14802" width="9.5703125" style="1" bestFit="1" customWidth="1"/>
    <col min="14803" max="14803" width="35.85546875" style="1" bestFit="1" customWidth="1"/>
    <col min="14804" max="14804" width="33.85546875" style="1" bestFit="1" customWidth="1"/>
    <col min="14805" max="14805" width="9.5703125" style="1" bestFit="1" customWidth="1"/>
    <col min="14806" max="14806" width="35.85546875" style="1" bestFit="1" customWidth="1"/>
    <col min="14807" max="14807" width="33.85546875" style="1" bestFit="1" customWidth="1"/>
    <col min="14808" max="14808" width="9.5703125" style="1" bestFit="1" customWidth="1"/>
    <col min="14809" max="14809" width="35.85546875" style="1" bestFit="1" customWidth="1"/>
    <col min="14810" max="14810" width="33.85546875" style="1" bestFit="1" customWidth="1"/>
    <col min="14811" max="14811" width="9.5703125" style="1" bestFit="1" customWidth="1"/>
    <col min="14812" max="14812" width="35.85546875" style="1" bestFit="1" customWidth="1"/>
    <col min="14813" max="14813" width="33.85546875" style="1" bestFit="1" customWidth="1"/>
    <col min="14814" max="14814" width="9.5703125" style="1" bestFit="1" customWidth="1"/>
    <col min="14815" max="14815" width="35.85546875" style="1" bestFit="1" customWidth="1"/>
    <col min="14816" max="14816" width="33.85546875" style="1" bestFit="1" customWidth="1"/>
    <col min="14817" max="14817" width="9.5703125" style="1" bestFit="1" customWidth="1"/>
    <col min="14818" max="14818" width="35.85546875" style="1" bestFit="1" customWidth="1"/>
    <col min="14819" max="14819" width="33.85546875" style="1" bestFit="1" customWidth="1"/>
    <col min="14820" max="14820" width="9.5703125" style="1" bestFit="1" customWidth="1"/>
    <col min="14821" max="14821" width="35.85546875" style="1" bestFit="1" customWidth="1"/>
    <col min="14822" max="14822" width="33.85546875" style="1" bestFit="1" customWidth="1"/>
    <col min="14823" max="14823" width="9.5703125" style="1" bestFit="1" customWidth="1"/>
    <col min="14824" max="14824" width="35.85546875" style="1" bestFit="1" customWidth="1"/>
    <col min="14825" max="14825" width="33.85546875" style="1" bestFit="1" customWidth="1"/>
    <col min="14826" max="14826" width="9.5703125" style="1" bestFit="1" customWidth="1"/>
    <col min="14827" max="14827" width="35.85546875" style="1" bestFit="1" customWidth="1"/>
    <col min="14828" max="14828" width="33.85546875" style="1" bestFit="1" customWidth="1"/>
    <col min="14829" max="14829" width="9.5703125" style="1" bestFit="1" customWidth="1"/>
    <col min="14830" max="14830" width="35.85546875" style="1" bestFit="1" customWidth="1"/>
    <col min="14831" max="14831" width="33.85546875" style="1" bestFit="1" customWidth="1"/>
    <col min="14832" max="14832" width="9.5703125" style="1" bestFit="1" customWidth="1"/>
    <col min="14833" max="14833" width="35.85546875" style="1" bestFit="1" customWidth="1"/>
    <col min="14834" max="14834" width="33.85546875" style="1" bestFit="1" customWidth="1"/>
    <col min="14835" max="14835" width="9.5703125" style="1" bestFit="1" customWidth="1"/>
    <col min="14836" max="14836" width="35.85546875" style="1" bestFit="1" customWidth="1"/>
    <col min="14837" max="14837" width="33.85546875" style="1" bestFit="1" customWidth="1"/>
    <col min="14838" max="14838" width="9.5703125" style="1" bestFit="1" customWidth="1"/>
    <col min="14839" max="14839" width="35.85546875" style="1" bestFit="1" customWidth="1"/>
    <col min="14840" max="14840" width="33.85546875" style="1" bestFit="1" customWidth="1"/>
    <col min="14841" max="14841" width="9.5703125" style="1" bestFit="1" customWidth="1"/>
    <col min="14842" max="14842" width="35.85546875" style="1" bestFit="1" customWidth="1"/>
    <col min="14843" max="14843" width="33.85546875" style="1" bestFit="1" customWidth="1"/>
    <col min="14844" max="14844" width="9.5703125" style="1" bestFit="1" customWidth="1"/>
    <col min="14845" max="14845" width="35.85546875" style="1" bestFit="1" customWidth="1"/>
    <col min="14846" max="14846" width="33.85546875" style="1" bestFit="1" customWidth="1"/>
    <col min="14847" max="14847" width="9.5703125" style="1" bestFit="1" customWidth="1"/>
    <col min="14848" max="14848" width="35.85546875" style="1" bestFit="1" customWidth="1"/>
    <col min="14849" max="14849" width="33.85546875" style="1" bestFit="1" customWidth="1"/>
    <col min="14850" max="14850" width="9.5703125" style="1" bestFit="1" customWidth="1"/>
    <col min="14851" max="14851" width="35.85546875" style="1" bestFit="1" customWidth="1"/>
    <col min="14852" max="14852" width="33.85546875" style="1" bestFit="1" customWidth="1"/>
    <col min="14853" max="14853" width="9.5703125" style="1" bestFit="1" customWidth="1"/>
    <col min="14854" max="14854" width="35.85546875" style="1" bestFit="1" customWidth="1"/>
    <col min="14855" max="14855" width="33.85546875" style="1" bestFit="1" customWidth="1"/>
    <col min="14856" max="14856" width="9.5703125" style="1" bestFit="1" customWidth="1"/>
    <col min="14857" max="14857" width="35.85546875" style="1" bestFit="1" customWidth="1"/>
    <col min="14858" max="14858" width="33.85546875" style="1" bestFit="1" customWidth="1"/>
    <col min="14859" max="14859" width="9.5703125" style="1" bestFit="1" customWidth="1"/>
    <col min="14860" max="14860" width="35.85546875" style="1" bestFit="1" customWidth="1"/>
    <col min="14861" max="14861" width="33.85546875" style="1" bestFit="1" customWidth="1"/>
    <col min="14862" max="14862" width="9.5703125" style="1" bestFit="1" customWidth="1"/>
    <col min="14863" max="14863" width="35.85546875" style="1" bestFit="1" customWidth="1"/>
    <col min="14864" max="14864" width="33.85546875" style="1" bestFit="1" customWidth="1"/>
    <col min="14865" max="14865" width="9.5703125" style="1" bestFit="1" customWidth="1"/>
    <col min="14866" max="14866" width="35.85546875" style="1" bestFit="1" customWidth="1"/>
    <col min="14867" max="14867" width="33.85546875" style="1" bestFit="1" customWidth="1"/>
    <col min="14868" max="14868" width="9.5703125" style="1" bestFit="1" customWidth="1"/>
    <col min="14869" max="14869" width="35.85546875" style="1" bestFit="1" customWidth="1"/>
    <col min="14870" max="14870" width="33.85546875" style="1" bestFit="1" customWidth="1"/>
    <col min="14871" max="14871" width="9.5703125" style="1" bestFit="1" customWidth="1"/>
    <col min="14872" max="16384" width="22.140625" style="1"/>
  </cols>
  <sheetData>
    <row r="1" spans="1:41" ht="28.35" customHeight="1" x14ac:dyDescent="0.25">
      <c r="A1" s="5"/>
      <c r="B1" s="204"/>
      <c r="C1" s="205"/>
      <c r="D1" s="208" t="s">
        <v>44</v>
      </c>
      <c r="E1" s="209"/>
      <c r="F1" s="209"/>
      <c r="G1" s="209"/>
      <c r="H1" s="209"/>
      <c r="I1" s="209"/>
      <c r="J1" s="209"/>
      <c r="K1" s="209"/>
      <c r="L1" s="209"/>
      <c r="M1" s="209"/>
      <c r="N1" s="209"/>
      <c r="O1" s="209"/>
      <c r="P1" s="209"/>
      <c r="Q1" s="210"/>
    </row>
    <row r="2" spans="1:41" s="3" customFormat="1" ht="5.45" customHeight="1" thickBot="1" x14ac:dyDescent="0.3">
      <c r="A2" s="6"/>
      <c r="B2" s="206"/>
      <c r="C2" s="207"/>
      <c r="D2" s="7"/>
      <c r="E2" s="6"/>
      <c r="F2" s="6"/>
      <c r="G2" s="6"/>
      <c r="H2" s="6"/>
      <c r="I2" s="72"/>
      <c r="J2" s="6"/>
      <c r="K2" s="72"/>
      <c r="L2" s="6"/>
      <c r="M2" s="6"/>
      <c r="N2" s="72"/>
      <c r="O2" s="6"/>
      <c r="P2" s="72"/>
      <c r="Q2" s="8"/>
      <c r="R2" s="6"/>
      <c r="S2" s="72"/>
      <c r="T2" s="8"/>
      <c r="U2" s="6"/>
      <c r="V2" s="72"/>
      <c r="W2" s="8"/>
      <c r="X2" s="6"/>
      <c r="Y2" s="72"/>
      <c r="Z2" s="8"/>
      <c r="AA2" s="6"/>
      <c r="AB2" s="72"/>
      <c r="AC2" s="8"/>
      <c r="AD2" s="6"/>
      <c r="AE2" s="72"/>
      <c r="AF2" s="8"/>
      <c r="AG2" s="6"/>
      <c r="AH2" s="72"/>
      <c r="AI2" s="8"/>
      <c r="AJ2" s="6"/>
      <c r="AK2" s="72"/>
      <c r="AL2" s="8"/>
      <c r="AM2" s="6"/>
      <c r="AN2" s="72"/>
      <c r="AO2" s="8"/>
    </row>
    <row r="3" spans="1:41" s="2" customFormat="1" ht="18.600000000000001" customHeight="1" x14ac:dyDescent="0.25">
      <c r="A3" s="9"/>
      <c r="B3" s="206"/>
      <c r="C3" s="207"/>
      <c r="D3" s="10" t="s">
        <v>0</v>
      </c>
      <c r="E3" s="11" t="s">
        <v>91</v>
      </c>
      <c r="F3" s="12" t="s">
        <v>1</v>
      </c>
      <c r="G3" s="196" t="s">
        <v>45</v>
      </c>
      <c r="H3" s="132"/>
      <c r="I3" s="84" t="s">
        <v>31</v>
      </c>
      <c r="J3" s="196" t="s">
        <v>92</v>
      </c>
      <c r="K3" s="196"/>
      <c r="L3" s="12" t="s">
        <v>2</v>
      </c>
      <c r="M3" s="196"/>
      <c r="N3" s="196"/>
      <c r="O3" s="29" t="s">
        <v>108</v>
      </c>
      <c r="P3" s="138"/>
      <c r="Q3" s="139"/>
      <c r="R3" s="29" t="s">
        <v>113</v>
      </c>
      <c r="S3" s="138"/>
      <c r="T3" s="139"/>
      <c r="U3" s="29" t="s">
        <v>116</v>
      </c>
      <c r="V3" s="138"/>
      <c r="W3" s="139"/>
      <c r="X3" s="29" t="s">
        <v>134</v>
      </c>
      <c r="Y3" s="138"/>
      <c r="Z3" s="139"/>
      <c r="AA3" s="29" t="s">
        <v>140</v>
      </c>
      <c r="AB3" s="138"/>
      <c r="AC3" s="139"/>
      <c r="AD3" s="29" t="s">
        <v>141</v>
      </c>
      <c r="AE3" s="138"/>
      <c r="AF3" s="139"/>
      <c r="AG3" s="29" t="s">
        <v>150</v>
      </c>
      <c r="AH3" s="138"/>
      <c r="AI3" s="139"/>
      <c r="AJ3" s="29" t="s">
        <v>155</v>
      </c>
      <c r="AK3" s="138"/>
      <c r="AL3" s="139"/>
      <c r="AM3" s="29" t="s">
        <v>155</v>
      </c>
      <c r="AN3" s="138"/>
      <c r="AO3" s="139"/>
    </row>
    <row r="4" spans="1:41" s="2" customFormat="1" ht="18.600000000000001" customHeight="1" x14ac:dyDescent="0.25">
      <c r="A4" s="9"/>
      <c r="B4" s="206"/>
      <c r="C4" s="207"/>
      <c r="D4" s="12" t="s">
        <v>3</v>
      </c>
      <c r="E4" s="13"/>
      <c r="F4" s="211" t="s">
        <v>46</v>
      </c>
      <c r="G4" s="212"/>
      <c r="H4" s="38" t="s">
        <v>94</v>
      </c>
      <c r="I4" s="85" t="s">
        <v>32</v>
      </c>
      <c r="J4" s="196"/>
      <c r="K4" s="132"/>
      <c r="L4" s="10" t="s">
        <v>4</v>
      </c>
      <c r="M4" s="197"/>
      <c r="N4" s="197"/>
      <c r="O4" s="140" t="s">
        <v>5</v>
      </c>
      <c r="P4" s="142">
        <v>1</v>
      </c>
      <c r="Q4" s="143"/>
      <c r="R4" s="140" t="s">
        <v>5</v>
      </c>
      <c r="S4" s="142">
        <f t="shared" ref="S4" si="0">P4+1</f>
        <v>2</v>
      </c>
      <c r="T4" s="143"/>
      <c r="U4" s="140" t="s">
        <v>5</v>
      </c>
      <c r="V4" s="142">
        <f t="shared" ref="V4" si="1">S4+1</f>
        <v>3</v>
      </c>
      <c r="W4" s="143"/>
      <c r="X4" s="140" t="s">
        <v>5</v>
      </c>
      <c r="Y4" s="142">
        <f t="shared" ref="Y4" si="2">V4+1</f>
        <v>4</v>
      </c>
      <c r="Z4" s="143"/>
      <c r="AA4" s="140" t="s">
        <v>5</v>
      </c>
      <c r="AB4" s="142">
        <f t="shared" ref="AB4" si="3">Y4+1</f>
        <v>5</v>
      </c>
      <c r="AC4" s="143"/>
      <c r="AD4" s="140" t="s">
        <v>5</v>
      </c>
      <c r="AE4" s="142">
        <f t="shared" ref="AE4" si="4">AB4+1</f>
        <v>6</v>
      </c>
      <c r="AF4" s="143"/>
      <c r="AG4" s="140" t="s">
        <v>5</v>
      </c>
      <c r="AH4" s="142">
        <f t="shared" ref="AH4" si="5">AE4+1</f>
        <v>7</v>
      </c>
      <c r="AI4" s="143"/>
      <c r="AJ4" s="140" t="s">
        <v>5</v>
      </c>
      <c r="AK4" s="142">
        <f t="shared" ref="AK4" si="6">AH4+1</f>
        <v>8</v>
      </c>
      <c r="AL4" s="143"/>
      <c r="AM4" s="140" t="s">
        <v>5</v>
      </c>
      <c r="AN4" s="142">
        <f t="shared" ref="AN4" si="7">AK4+1</f>
        <v>9</v>
      </c>
      <c r="AO4" s="143"/>
    </row>
    <row r="5" spans="1:41" s="2" customFormat="1" ht="18.600000000000001" customHeight="1" x14ac:dyDescent="0.25">
      <c r="A5" s="9"/>
      <c r="B5" s="206"/>
      <c r="C5" s="207"/>
      <c r="D5" s="14" t="s">
        <v>6</v>
      </c>
      <c r="E5" s="13" t="s">
        <v>53</v>
      </c>
      <c r="F5" s="15" t="s">
        <v>42</v>
      </c>
      <c r="G5" s="15">
        <v>50246</v>
      </c>
      <c r="H5" s="39"/>
      <c r="I5" s="86" t="s">
        <v>7</v>
      </c>
      <c r="J5" s="213" t="s">
        <v>93</v>
      </c>
      <c r="K5" s="213"/>
      <c r="L5" s="12" t="s">
        <v>8</v>
      </c>
      <c r="M5" s="196"/>
      <c r="N5" s="196"/>
      <c r="O5" s="141"/>
      <c r="P5" s="144"/>
      <c r="Q5" s="145"/>
      <c r="R5" s="141"/>
      <c r="S5" s="144"/>
      <c r="T5" s="145"/>
      <c r="U5" s="141"/>
      <c r="V5" s="144"/>
      <c r="W5" s="145"/>
      <c r="X5" s="141"/>
      <c r="Y5" s="144"/>
      <c r="Z5" s="145"/>
      <c r="AA5" s="141"/>
      <c r="AB5" s="144"/>
      <c r="AC5" s="145"/>
      <c r="AD5" s="141"/>
      <c r="AE5" s="144"/>
      <c r="AF5" s="145"/>
      <c r="AG5" s="141"/>
      <c r="AH5" s="144"/>
      <c r="AI5" s="145"/>
      <c r="AJ5" s="141"/>
      <c r="AK5" s="144"/>
      <c r="AL5" s="145"/>
      <c r="AM5" s="141"/>
      <c r="AN5" s="144"/>
      <c r="AO5" s="145"/>
    </row>
    <row r="6" spans="1:41" s="4" customFormat="1" ht="6.6" customHeight="1" thickBot="1" x14ac:dyDescent="0.3">
      <c r="A6" s="16"/>
      <c r="B6" s="17"/>
      <c r="C6" s="18"/>
      <c r="D6" s="19"/>
      <c r="E6" s="19"/>
      <c r="F6" s="20"/>
      <c r="G6" s="21"/>
      <c r="H6" s="21"/>
      <c r="I6" s="78"/>
      <c r="J6" s="20"/>
      <c r="K6" s="82"/>
      <c r="L6" s="19"/>
      <c r="M6" s="21"/>
      <c r="N6" s="78"/>
      <c r="O6" s="30"/>
      <c r="P6" s="73"/>
      <c r="Q6" s="31"/>
      <c r="R6" s="30"/>
      <c r="S6" s="73"/>
      <c r="T6" s="31"/>
      <c r="U6" s="30"/>
      <c r="V6" s="73"/>
      <c r="W6" s="31"/>
      <c r="X6" s="30"/>
      <c r="Y6" s="73"/>
      <c r="Z6" s="31"/>
      <c r="AA6" s="30"/>
      <c r="AB6" s="73"/>
      <c r="AC6" s="31"/>
      <c r="AD6" s="30"/>
      <c r="AE6" s="73"/>
      <c r="AF6" s="31"/>
      <c r="AG6" s="30"/>
      <c r="AH6" s="73"/>
      <c r="AI6" s="31"/>
      <c r="AJ6" s="30"/>
      <c r="AK6" s="73"/>
      <c r="AL6" s="31"/>
      <c r="AM6" s="30"/>
      <c r="AN6" s="73"/>
      <c r="AO6" s="31"/>
    </row>
    <row r="7" spans="1:41" s="24" customFormat="1" ht="34.700000000000003" customHeight="1" x14ac:dyDescent="0.25">
      <c r="A7" s="198"/>
      <c r="B7" s="199"/>
      <c r="C7" s="199"/>
      <c r="D7" s="199"/>
      <c r="E7" s="200"/>
      <c r="F7" s="146" t="s">
        <v>10</v>
      </c>
      <c r="G7" s="147"/>
      <c r="H7" s="147"/>
      <c r="I7" s="148"/>
      <c r="J7" s="146" t="s">
        <v>47</v>
      </c>
      <c r="K7" s="147"/>
      <c r="L7" s="148"/>
      <c r="M7" s="216" t="s">
        <v>11</v>
      </c>
      <c r="N7" s="217"/>
      <c r="O7" s="146" t="s">
        <v>12</v>
      </c>
      <c r="P7" s="147"/>
      <c r="Q7" s="148"/>
      <c r="R7" s="146" t="s">
        <v>12</v>
      </c>
      <c r="S7" s="147"/>
      <c r="T7" s="148"/>
      <c r="U7" s="146" t="s">
        <v>12</v>
      </c>
      <c r="V7" s="147"/>
      <c r="W7" s="148"/>
      <c r="X7" s="146" t="s">
        <v>12</v>
      </c>
      <c r="Y7" s="147"/>
      <c r="Z7" s="148"/>
      <c r="AA7" s="146" t="s">
        <v>12</v>
      </c>
      <c r="AB7" s="147"/>
      <c r="AC7" s="148"/>
      <c r="AD7" s="146" t="s">
        <v>12</v>
      </c>
      <c r="AE7" s="147"/>
      <c r="AF7" s="148"/>
      <c r="AG7" s="146" t="s">
        <v>12</v>
      </c>
      <c r="AH7" s="147"/>
      <c r="AI7" s="148"/>
      <c r="AJ7" s="146" t="s">
        <v>12</v>
      </c>
      <c r="AK7" s="147"/>
      <c r="AL7" s="148"/>
      <c r="AM7" s="146" t="s">
        <v>12</v>
      </c>
      <c r="AN7" s="147"/>
      <c r="AO7" s="148"/>
    </row>
    <row r="8" spans="1:41" s="24" customFormat="1" ht="34.700000000000003" customHeight="1" thickBot="1" x14ac:dyDescent="0.3">
      <c r="A8" s="201"/>
      <c r="B8" s="202"/>
      <c r="C8" s="202"/>
      <c r="D8" s="202"/>
      <c r="E8" s="203"/>
      <c r="F8" s="188">
        <f>SUM(I10,I178,I182)</f>
        <v>4447963.3627999993</v>
      </c>
      <c r="G8" s="189"/>
      <c r="H8" s="189"/>
      <c r="I8" s="190"/>
      <c r="J8" s="188">
        <f>SUM(O186:AO186)</f>
        <v>4427274.4825100005</v>
      </c>
      <c r="K8" s="189"/>
      <c r="L8" s="48">
        <f>J8/F8</f>
        <v>0.9953486846445212</v>
      </c>
      <c r="M8" s="191">
        <f>F8-J8</f>
        <v>20688.880289998837</v>
      </c>
      <c r="N8" s="192"/>
      <c r="O8" s="149"/>
      <c r="P8" s="150"/>
      <c r="Q8" s="151"/>
      <c r="R8" s="149"/>
      <c r="S8" s="150"/>
      <c r="T8" s="151"/>
      <c r="U8" s="149"/>
      <c r="V8" s="150"/>
      <c r="W8" s="151"/>
      <c r="X8" s="149"/>
      <c r="Y8" s="150"/>
      <c r="Z8" s="151"/>
      <c r="AA8" s="149"/>
      <c r="AB8" s="150"/>
      <c r="AC8" s="151"/>
      <c r="AD8" s="149"/>
      <c r="AE8" s="150"/>
      <c r="AF8" s="151"/>
      <c r="AG8" s="149"/>
      <c r="AH8" s="150"/>
      <c r="AI8" s="151"/>
      <c r="AJ8" s="149"/>
      <c r="AK8" s="150"/>
      <c r="AL8" s="151"/>
      <c r="AM8" s="149"/>
      <c r="AN8" s="150"/>
      <c r="AO8" s="151"/>
    </row>
    <row r="9" spans="1:41" s="22" customFormat="1" ht="44.25" customHeight="1" x14ac:dyDescent="0.25">
      <c r="B9" s="41" t="s">
        <v>43</v>
      </c>
      <c r="C9" s="42" t="s">
        <v>33</v>
      </c>
      <c r="D9" s="194" t="s">
        <v>9</v>
      </c>
      <c r="E9" s="195"/>
      <c r="F9" s="43" t="s">
        <v>13</v>
      </c>
      <c r="G9" s="44" t="s">
        <v>14</v>
      </c>
      <c r="H9" s="45" t="s">
        <v>15</v>
      </c>
      <c r="I9" s="87" t="s">
        <v>16</v>
      </c>
      <c r="J9" s="43" t="s">
        <v>17</v>
      </c>
      <c r="K9" s="74" t="s">
        <v>16</v>
      </c>
      <c r="L9" s="46" t="s">
        <v>18</v>
      </c>
      <c r="M9" s="47" t="s">
        <v>17</v>
      </c>
      <c r="N9" s="79" t="s">
        <v>16</v>
      </c>
      <c r="O9" s="43" t="s">
        <v>17</v>
      </c>
      <c r="P9" s="74" t="s">
        <v>52</v>
      </c>
      <c r="Q9" s="46" t="s">
        <v>18</v>
      </c>
      <c r="R9" s="43" t="s">
        <v>17</v>
      </c>
      <c r="S9" s="74" t="s">
        <v>19</v>
      </c>
      <c r="T9" s="46" t="s">
        <v>18</v>
      </c>
      <c r="U9" s="43" t="s">
        <v>17</v>
      </c>
      <c r="V9" s="74" t="s">
        <v>19</v>
      </c>
      <c r="W9" s="46" t="s">
        <v>18</v>
      </c>
      <c r="X9" s="43" t="s">
        <v>17</v>
      </c>
      <c r="Y9" s="74" t="s">
        <v>19</v>
      </c>
      <c r="Z9" s="46" t="s">
        <v>18</v>
      </c>
      <c r="AA9" s="43" t="s">
        <v>17</v>
      </c>
      <c r="AB9" s="74" t="s">
        <v>19</v>
      </c>
      <c r="AC9" s="46" t="s">
        <v>18</v>
      </c>
      <c r="AD9" s="43" t="s">
        <v>17</v>
      </c>
      <c r="AE9" s="74" t="s">
        <v>19</v>
      </c>
      <c r="AF9" s="46" t="s">
        <v>18</v>
      </c>
      <c r="AG9" s="43" t="s">
        <v>17</v>
      </c>
      <c r="AH9" s="74" t="s">
        <v>19</v>
      </c>
      <c r="AI9" s="46" t="s">
        <v>18</v>
      </c>
      <c r="AJ9" s="43" t="s">
        <v>17</v>
      </c>
      <c r="AK9" s="74" t="s">
        <v>19</v>
      </c>
      <c r="AL9" s="46" t="s">
        <v>18</v>
      </c>
      <c r="AM9" s="43" t="s">
        <v>17</v>
      </c>
      <c r="AN9" s="74" t="s">
        <v>19</v>
      </c>
      <c r="AO9" s="46" t="s">
        <v>18</v>
      </c>
    </row>
    <row r="10" spans="1:41" s="50" customFormat="1" ht="25.35" customHeight="1" x14ac:dyDescent="0.25">
      <c r="B10" s="89"/>
      <c r="C10" s="90" t="s">
        <v>107</v>
      </c>
      <c r="D10" s="214" t="s">
        <v>86</v>
      </c>
      <c r="E10" s="215"/>
      <c r="F10" s="91">
        <f>SUM(F12,F28,F34,F40,F46,F52,F58,F64,F70,F76,F82,F88,F94,F100,F106,F112,F118,F124,F148,F154,F160,F166,,F172,F130,F22,F15,F20,F136,F142)</f>
        <v>4657.07</v>
      </c>
      <c r="G10" s="92" t="s">
        <v>68</v>
      </c>
      <c r="H10" s="93">
        <v>804.79</v>
      </c>
      <c r="I10" s="94">
        <f>H10*F10</f>
        <v>3747963.3652999997</v>
      </c>
      <c r="J10" s="108">
        <f>SUM(J11:J177)</f>
        <v>13865.899999999985</v>
      </c>
      <c r="K10" s="105">
        <f>SUM(K11:K177)</f>
        <v>3739351.3075099988</v>
      </c>
      <c r="L10" s="106">
        <f t="shared" ref="L10" si="8">IFERROR(K10/I10, 0)</f>
        <v>0.99770220331667736</v>
      </c>
      <c r="M10" s="96"/>
      <c r="N10" s="97"/>
      <c r="O10" s="98"/>
      <c r="P10" s="95"/>
      <c r="Q10" s="99"/>
      <c r="R10" s="98"/>
      <c r="S10" s="95"/>
      <c r="T10" s="113">
        <f t="shared" ref="T10" si="9">IFERROR(S10/$I10,0)</f>
        <v>0</v>
      </c>
      <c r="U10" s="98"/>
      <c r="V10" s="95"/>
      <c r="W10" s="99"/>
      <c r="X10" s="98"/>
      <c r="Y10" s="95">
        <f>SUM(Y11:Y175)</f>
        <v>614107.08134999999</v>
      </c>
      <c r="Z10" s="110">
        <f t="shared" ref="Z10" si="10">IFERROR(Y10/$I10,0)</f>
        <v>0.16385087619468894</v>
      </c>
      <c r="AA10" s="98">
        <f>SUM(AA11:AA177)</f>
        <v>1098.79</v>
      </c>
      <c r="AB10" s="95">
        <f>SUM(AB11:AB175)</f>
        <v>795865.68368999998</v>
      </c>
      <c r="AC10" s="110">
        <f t="shared" ref="AC10" si="11">IFERROR(AB10/$I10,0)</f>
        <v>0.2123461747407705</v>
      </c>
      <c r="AD10" s="98">
        <f>SUM(AD11:AD177)</f>
        <v>5048.6299999999974</v>
      </c>
      <c r="AE10" s="95">
        <f>SUM(AE11:AE175)</f>
        <v>676453.35786000022</v>
      </c>
      <c r="AF10" s="110">
        <f t="shared" ref="AF10" si="12">IFERROR(AE10/$I10,0)</f>
        <v>0.18048558428368058</v>
      </c>
      <c r="AG10" s="98">
        <f>SUM(AG11:AG177)</f>
        <v>2453.0299999999997</v>
      </c>
      <c r="AH10" s="95">
        <f>SUM(AH11:AH175)</f>
        <v>273454.76536000002</v>
      </c>
      <c r="AI10" s="110">
        <f t="shared" ref="AI10" si="13">IFERROR(AH10/$I10,0)</f>
        <v>7.296089601401741E-2</v>
      </c>
      <c r="AJ10" s="98">
        <f>SUM(AJ11:AJ177)</f>
        <v>74.23</v>
      </c>
      <c r="AK10" s="95">
        <f>SUM(AK11:AK175)</f>
        <v>53765.605530000001</v>
      </c>
      <c r="AL10" s="110">
        <f t="shared" ref="AL10" si="14">IFERROR(AK10/$I10,0)</f>
        <v>1.4345285769808057E-2</v>
      </c>
      <c r="AM10" s="98">
        <f>SUM(AM11:AM177)</f>
        <v>1924.5600000000002</v>
      </c>
      <c r="AN10" s="95">
        <f>SUM(AN11:AN177)</f>
        <v>84284.047119999974</v>
      </c>
      <c r="AO10" s="110">
        <f t="shared" ref="AO10:AO12" si="15">IFERROR(AN10/$I10,0)</f>
        <v>2.2487959167459364E-2</v>
      </c>
    </row>
    <row r="11" spans="1:41" s="50" customFormat="1" ht="25.35" customHeight="1" outlineLevel="2" x14ac:dyDescent="0.25">
      <c r="B11" s="61"/>
      <c r="C11" s="62"/>
      <c r="D11" s="166" t="s">
        <v>102</v>
      </c>
      <c r="E11" s="193"/>
      <c r="F11" s="63"/>
      <c r="G11" s="51"/>
      <c r="H11" s="64"/>
      <c r="I11" s="88"/>
      <c r="J11" s="67"/>
      <c r="K11" s="75"/>
      <c r="L11" s="65"/>
      <c r="M11" s="69"/>
      <c r="N11" s="71"/>
      <c r="O11" s="66"/>
      <c r="P11" s="75"/>
      <c r="Q11" s="65"/>
      <c r="R11" s="66"/>
      <c r="S11" s="75"/>
      <c r="T11" s="65"/>
      <c r="U11" s="49"/>
      <c r="V11" s="76">
        <f t="shared" ref="V11:V109" si="16">U11*H11</f>
        <v>0</v>
      </c>
      <c r="W11" s="65"/>
      <c r="X11" s="49"/>
      <c r="Y11" s="76">
        <f t="shared" ref="Y11:Y113" si="17">X11*$H11</f>
        <v>0</v>
      </c>
      <c r="Z11" s="70">
        <f t="shared" ref="Z11" si="18">IFERROR(Y11/$I11,0)</f>
        <v>0</v>
      </c>
      <c r="AA11" s="49"/>
      <c r="AB11" s="76">
        <f t="shared" ref="AB11" si="19">AA11*$H11</f>
        <v>0</v>
      </c>
      <c r="AC11" s="70">
        <f t="shared" ref="AC11:AC77" si="20">IFERROR(AB11/$I11,0)</f>
        <v>0</v>
      </c>
      <c r="AD11" s="49"/>
      <c r="AE11" s="76">
        <f t="shared" ref="AE11" si="21">AD11*$H11</f>
        <v>0</v>
      </c>
      <c r="AF11" s="70">
        <f t="shared" ref="AF11:AF72" si="22">IFERROR(AE11/$I11,0)</f>
        <v>0</v>
      </c>
      <c r="AG11" s="49"/>
      <c r="AH11" s="76">
        <f t="shared" ref="AH11" si="23">AG11*$H11</f>
        <v>0</v>
      </c>
      <c r="AI11" s="70">
        <f t="shared" ref="AI11:AI72" si="24">IFERROR(AH11/$I11,0)</f>
        <v>0</v>
      </c>
      <c r="AJ11" s="49"/>
      <c r="AK11" s="76">
        <f t="shared" ref="AK11" si="25">AJ11*$H11</f>
        <v>0</v>
      </c>
      <c r="AL11" s="70">
        <f t="shared" ref="AL11:AL72" si="26">IFERROR(AK11/$I11,0)</f>
        <v>0</v>
      </c>
      <c r="AM11" s="49"/>
      <c r="AN11" s="76">
        <f t="shared" ref="AN11" si="27">AM11*$H11</f>
        <v>0</v>
      </c>
      <c r="AO11" s="70">
        <f t="shared" si="15"/>
        <v>0</v>
      </c>
    </row>
    <row r="12" spans="1:41" s="9" customFormat="1" ht="18" outlineLevel="2" x14ac:dyDescent="0.25">
      <c r="B12" s="23"/>
      <c r="C12" s="23"/>
      <c r="D12" s="163" t="s">
        <v>103</v>
      </c>
      <c r="E12" s="164"/>
      <c r="F12" s="63">
        <v>16.190000000000001</v>
      </c>
      <c r="G12" s="51" t="s">
        <v>68</v>
      </c>
      <c r="H12" s="64">
        <v>804.79</v>
      </c>
      <c r="I12" s="88">
        <f t="shared" ref="I12" si="28">F12*H12</f>
        <v>13029.5501</v>
      </c>
      <c r="J12" s="67">
        <f>SUM(O12,R12,U12,X12,AA12,AD12,AG12,AJ12)</f>
        <v>16.190000000000001</v>
      </c>
      <c r="K12" s="75">
        <f t="shared" ref="K12" si="29">J12*H12</f>
        <v>13029.5501</v>
      </c>
      <c r="L12" s="65">
        <f t="shared" ref="L12" si="30">IFERROR(K12/I12, 0)</f>
        <v>1</v>
      </c>
      <c r="M12" s="69">
        <f t="shared" ref="M12" si="31">F12-J12</f>
        <v>0</v>
      </c>
      <c r="N12" s="111">
        <f t="shared" ref="N12" si="32">M12*H12</f>
        <v>0</v>
      </c>
      <c r="O12" s="49"/>
      <c r="P12" s="76">
        <f t="shared" ref="P12" si="33">O12*$H12</f>
        <v>0</v>
      </c>
      <c r="Q12" s="70">
        <f t="shared" ref="Q12" si="34">IFERROR(P12/$I12,0)</f>
        <v>0</v>
      </c>
      <c r="R12" s="49"/>
      <c r="S12" s="76">
        <f t="shared" ref="S12" si="35">R12*H12</f>
        <v>0</v>
      </c>
      <c r="T12" s="70">
        <f t="shared" ref="T12" si="36">IFERROR(S12/$I12,0)</f>
        <v>0</v>
      </c>
      <c r="U12" s="49"/>
      <c r="V12" s="76">
        <f t="shared" ref="V12" si="37">U12*H12</f>
        <v>0</v>
      </c>
      <c r="W12" s="70">
        <f t="shared" ref="W12" si="38">IFERROR(V12/$I12,0)</f>
        <v>0</v>
      </c>
      <c r="X12" s="49"/>
      <c r="Y12" s="76"/>
      <c r="Z12" s="76"/>
      <c r="AA12" s="49"/>
      <c r="AB12" s="76"/>
      <c r="AC12" s="70">
        <f t="shared" ref="AC12" si="39">IFERROR(AB12/$I12,0)</f>
        <v>0</v>
      </c>
      <c r="AD12" s="63">
        <v>16.190000000000001</v>
      </c>
      <c r="AE12" s="76">
        <f>AD12*H12</f>
        <v>13029.5501</v>
      </c>
      <c r="AF12" s="70">
        <f t="shared" ref="AF12" si="40">IFERROR(AE12/$I12,0)</f>
        <v>1</v>
      </c>
      <c r="AG12" s="49"/>
      <c r="AH12" s="76"/>
      <c r="AI12" s="70">
        <f t="shared" ref="AI12" si="41">IFERROR(AH12/$I12,0)</f>
        <v>0</v>
      </c>
      <c r="AJ12" s="49"/>
      <c r="AK12" s="76"/>
      <c r="AL12" s="70">
        <f t="shared" ref="AL12" si="42">IFERROR(AK12/$I12,0)</f>
        <v>0</v>
      </c>
      <c r="AM12" s="49"/>
      <c r="AN12" s="76"/>
      <c r="AO12" s="70">
        <f t="shared" si="15"/>
        <v>0</v>
      </c>
    </row>
    <row r="13" spans="1:41" s="9" customFormat="1" ht="18" outlineLevel="2" x14ac:dyDescent="0.25">
      <c r="B13" s="23"/>
      <c r="C13" s="23"/>
      <c r="D13" s="114"/>
      <c r="E13" s="115"/>
      <c r="F13" s="63"/>
      <c r="G13" s="51"/>
      <c r="H13" s="64"/>
      <c r="I13" s="88"/>
      <c r="J13" s="67"/>
      <c r="K13" s="75"/>
      <c r="L13" s="65"/>
      <c r="M13" s="69"/>
      <c r="N13" s="111"/>
      <c r="O13" s="49"/>
      <c r="P13" s="76"/>
      <c r="Q13" s="70"/>
      <c r="R13" s="49"/>
      <c r="S13" s="76"/>
      <c r="T13" s="70"/>
      <c r="U13" s="49"/>
      <c r="V13" s="76"/>
      <c r="W13" s="70"/>
      <c r="X13" s="49"/>
      <c r="Y13" s="76"/>
      <c r="Z13" s="116"/>
      <c r="AA13" s="49"/>
      <c r="AB13" s="76"/>
      <c r="AC13" s="70"/>
      <c r="AD13" s="49"/>
      <c r="AE13" s="76"/>
      <c r="AF13" s="70"/>
      <c r="AG13" s="49"/>
      <c r="AH13" s="76"/>
      <c r="AI13" s="70"/>
      <c r="AJ13" s="49"/>
      <c r="AK13" s="76"/>
      <c r="AL13" s="70"/>
      <c r="AM13" s="49"/>
      <c r="AN13" s="76"/>
      <c r="AO13" s="70"/>
    </row>
    <row r="14" spans="1:41" s="50" customFormat="1" ht="25.35" customHeight="1" outlineLevel="2" x14ac:dyDescent="0.25">
      <c r="B14" s="61"/>
      <c r="C14" s="62"/>
      <c r="D14" s="166" t="s">
        <v>101</v>
      </c>
      <c r="E14" s="193"/>
      <c r="F14" s="63"/>
      <c r="G14" s="51"/>
      <c r="H14" s="64"/>
      <c r="I14" s="88"/>
      <c r="J14" s="67"/>
      <c r="K14" s="75"/>
      <c r="L14" s="65"/>
      <c r="M14" s="69"/>
      <c r="N14" s="71"/>
      <c r="O14" s="66"/>
      <c r="P14" s="75"/>
      <c r="Q14" s="65"/>
      <c r="R14" s="66"/>
      <c r="S14" s="75"/>
      <c r="T14" s="65"/>
      <c r="U14" s="49"/>
      <c r="V14" s="76">
        <f t="shared" ref="V14" si="43">U14*H14</f>
        <v>0</v>
      </c>
      <c r="W14" s="65"/>
      <c r="X14" s="49"/>
      <c r="Y14" s="76">
        <f t="shared" ref="Y14:Y15" si="44">X14*$H14</f>
        <v>0</v>
      </c>
      <c r="Z14" s="70">
        <f t="shared" ref="Z14:Z15" si="45">IFERROR(Y14/$I14,0)</f>
        <v>0</v>
      </c>
      <c r="AA14" s="49"/>
      <c r="AB14" s="76">
        <f t="shared" ref="AB14" si="46">AA14*$H14</f>
        <v>0</v>
      </c>
      <c r="AC14" s="70">
        <f t="shared" ref="AC14" si="47">IFERROR(AB14/$I14,0)</f>
        <v>0</v>
      </c>
      <c r="AD14" s="49"/>
      <c r="AE14" s="76">
        <f t="shared" ref="AE14" si="48">AD14*$H14</f>
        <v>0</v>
      </c>
      <c r="AF14" s="70">
        <f t="shared" ref="AF14" si="49">IFERROR(AE14/$I14,0)</f>
        <v>0</v>
      </c>
      <c r="AG14" s="49"/>
      <c r="AH14" s="76">
        <f t="shared" ref="AH14" si="50">AG14*$H14</f>
        <v>0</v>
      </c>
      <c r="AI14" s="70">
        <f t="shared" ref="AI14" si="51">IFERROR(AH14/$I14,0)</f>
        <v>0</v>
      </c>
      <c r="AJ14" s="49"/>
      <c r="AK14" s="76">
        <f t="shared" ref="AK14" si="52">AJ14*$H14</f>
        <v>0</v>
      </c>
      <c r="AL14" s="70">
        <f t="shared" ref="AL14" si="53">IFERROR(AK14/$I14,0)</f>
        <v>0</v>
      </c>
      <c r="AM14" s="49"/>
      <c r="AN14" s="76">
        <f t="shared" ref="AN14:AN17" si="54">AM14*$H14</f>
        <v>0</v>
      </c>
      <c r="AO14" s="70">
        <f t="shared" ref="AO14:AO17" si="55">IFERROR(AN14/$I14,0)</f>
        <v>0</v>
      </c>
    </row>
    <row r="15" spans="1:41" s="9" customFormat="1" ht="18" outlineLevel="2" x14ac:dyDescent="0.25">
      <c r="B15" s="23"/>
      <c r="C15" s="23"/>
      <c r="D15" s="163" t="s">
        <v>100</v>
      </c>
      <c r="E15" s="164"/>
      <c r="F15" s="63">
        <v>144.88999999999999</v>
      </c>
      <c r="G15" s="51" t="s">
        <v>68</v>
      </c>
      <c r="H15" s="64">
        <v>724.31100000000004</v>
      </c>
      <c r="I15" s="88">
        <f t="shared" ref="I15:I17" si="56">F15*H15</f>
        <v>104945.42078999999</v>
      </c>
      <c r="J15" s="67">
        <f>SUM(O15,R15,U15,X15,AA15,AD15,AG15,AJ15,AM15)</f>
        <v>133</v>
      </c>
      <c r="K15" s="75">
        <f t="shared" ref="K15:K17" si="57">J15*H15</f>
        <v>96333.362999999998</v>
      </c>
      <c r="L15" s="65">
        <f t="shared" ref="L15:L17" si="58">IFERROR(K15/I15, 0)</f>
        <v>0.91793774587618204</v>
      </c>
      <c r="M15" s="69">
        <f t="shared" ref="M15:M17" si="59">F15-J15</f>
        <v>11.889999999999986</v>
      </c>
      <c r="N15" s="111">
        <f t="shared" ref="N15:N17" si="60">M15*H15</f>
        <v>8612.0577899999898</v>
      </c>
      <c r="O15" s="49"/>
      <c r="P15" s="76">
        <f t="shared" ref="P15:P17" si="61">O15*$H15</f>
        <v>0</v>
      </c>
      <c r="Q15" s="70">
        <f t="shared" ref="Q15:Q17" si="62">IFERROR(P15/$I15,0)</f>
        <v>0</v>
      </c>
      <c r="R15" s="49"/>
      <c r="S15" s="76">
        <f t="shared" ref="S15:S17" si="63">R15*H15</f>
        <v>0</v>
      </c>
      <c r="T15" s="70">
        <f t="shared" ref="T15:T17" si="64">IFERROR(S15/$I15,0)</f>
        <v>0</v>
      </c>
      <c r="U15" s="49">
        <v>60</v>
      </c>
      <c r="V15" s="76">
        <f t="shared" ref="V15:V17" si="65">U15*H15</f>
        <v>43458.66</v>
      </c>
      <c r="W15" s="70">
        <f t="shared" ref="W15:W17" si="66">IFERROR(V15/$I15,0)</f>
        <v>0.41410725377872876</v>
      </c>
      <c r="X15" s="49">
        <f>20+43</f>
        <v>63</v>
      </c>
      <c r="Y15" s="76">
        <f t="shared" si="44"/>
        <v>45631.593000000001</v>
      </c>
      <c r="Z15" s="70">
        <f t="shared" si="45"/>
        <v>0.43481261646766517</v>
      </c>
      <c r="AA15" s="49"/>
      <c r="AB15" s="76"/>
      <c r="AC15" s="70">
        <f t="shared" ref="AC15:AC17" si="67">IFERROR(AB15/$I15,0)</f>
        <v>0</v>
      </c>
      <c r="AD15" s="49"/>
      <c r="AE15" s="76"/>
      <c r="AF15" s="70">
        <f t="shared" ref="AF15:AF17" si="68">IFERROR(AE15/$I15,0)</f>
        <v>0</v>
      </c>
      <c r="AG15" s="49"/>
      <c r="AH15" s="76">
        <f>AG15*H15</f>
        <v>0</v>
      </c>
      <c r="AI15" s="70">
        <f t="shared" ref="AI15:AI17" si="69">IFERROR(AH15/$I15,0)</f>
        <v>0</v>
      </c>
      <c r="AJ15" s="49"/>
      <c r="AK15" s="76"/>
      <c r="AL15" s="70">
        <f t="shared" ref="AL15:AL17" si="70">IFERROR(AK15/$I15,0)</f>
        <v>0</v>
      </c>
      <c r="AM15" s="49">
        <v>10</v>
      </c>
      <c r="AN15" s="76">
        <f t="shared" si="54"/>
        <v>7243.1100000000006</v>
      </c>
      <c r="AO15" s="70">
        <f t="shared" si="55"/>
        <v>6.9017875629788131E-2</v>
      </c>
    </row>
    <row r="16" spans="1:41" s="9" customFormat="1" ht="18" outlineLevel="2" x14ac:dyDescent="0.25">
      <c r="B16" s="23"/>
      <c r="C16" s="23"/>
      <c r="D16" s="163" t="s">
        <v>100</v>
      </c>
      <c r="E16" s="164"/>
      <c r="F16" s="63">
        <v>144.88999999999999</v>
      </c>
      <c r="G16" s="51" t="s">
        <v>68</v>
      </c>
      <c r="H16" s="64">
        <v>40.2395</v>
      </c>
      <c r="I16" s="88">
        <f t="shared" si="56"/>
        <v>5830.3011549999992</v>
      </c>
      <c r="J16" s="67">
        <f t="shared" ref="J16:J17" si="71">SUM(O16,R16,U16,X16,AA16,AD16,AG16,AJ16,AM16)</f>
        <v>144.88999999999999</v>
      </c>
      <c r="K16" s="75">
        <f t="shared" si="57"/>
        <v>5830.3011549999992</v>
      </c>
      <c r="L16" s="65">
        <f t="shared" si="58"/>
        <v>1</v>
      </c>
      <c r="M16" s="69">
        <f t="shared" si="59"/>
        <v>0</v>
      </c>
      <c r="N16" s="111">
        <f t="shared" si="60"/>
        <v>0</v>
      </c>
      <c r="O16" s="49"/>
      <c r="P16" s="76">
        <f t="shared" si="61"/>
        <v>0</v>
      </c>
      <c r="Q16" s="70">
        <f t="shared" si="62"/>
        <v>0</v>
      </c>
      <c r="R16" s="49"/>
      <c r="S16" s="76">
        <f t="shared" si="63"/>
        <v>0</v>
      </c>
      <c r="T16" s="70">
        <f t="shared" si="64"/>
        <v>0</v>
      </c>
      <c r="U16" s="49"/>
      <c r="V16" s="76">
        <f t="shared" si="65"/>
        <v>0</v>
      </c>
      <c r="W16" s="70">
        <f t="shared" si="66"/>
        <v>0</v>
      </c>
      <c r="X16" s="49"/>
      <c r="Y16" s="76"/>
      <c r="Z16" s="76"/>
      <c r="AA16" s="49"/>
      <c r="AB16" s="76"/>
      <c r="AC16" s="70">
        <f t="shared" si="67"/>
        <v>0</v>
      </c>
      <c r="AD16" s="49"/>
      <c r="AE16" s="76"/>
      <c r="AF16" s="70">
        <f t="shared" si="68"/>
        <v>0</v>
      </c>
      <c r="AG16" s="49"/>
      <c r="AH16" s="76"/>
      <c r="AI16" s="70">
        <f t="shared" si="69"/>
        <v>0</v>
      </c>
      <c r="AJ16" s="49"/>
      <c r="AK16" s="76"/>
      <c r="AL16" s="70">
        <f t="shared" si="70"/>
        <v>0</v>
      </c>
      <c r="AM16" s="49">
        <v>144.88999999999999</v>
      </c>
      <c r="AN16" s="76">
        <f t="shared" si="54"/>
        <v>5830.3011549999992</v>
      </c>
      <c r="AO16" s="70">
        <f t="shared" si="55"/>
        <v>1</v>
      </c>
    </row>
    <row r="17" spans="2:41" s="9" customFormat="1" ht="18" outlineLevel="2" x14ac:dyDescent="0.25">
      <c r="B17" s="23"/>
      <c r="C17" s="23"/>
      <c r="D17" s="163" t="s">
        <v>100</v>
      </c>
      <c r="E17" s="164"/>
      <c r="F17" s="63">
        <v>144.88999999999999</v>
      </c>
      <c r="G17" s="51" t="s">
        <v>68</v>
      </c>
      <c r="H17" s="64">
        <v>40.2395</v>
      </c>
      <c r="I17" s="88">
        <f t="shared" si="56"/>
        <v>5830.3011549999992</v>
      </c>
      <c r="J17" s="67">
        <f t="shared" si="71"/>
        <v>144.88999999999999</v>
      </c>
      <c r="K17" s="75">
        <f t="shared" si="57"/>
        <v>5830.3011549999992</v>
      </c>
      <c r="L17" s="65">
        <f t="shared" si="58"/>
        <v>1</v>
      </c>
      <c r="M17" s="69">
        <f t="shared" si="59"/>
        <v>0</v>
      </c>
      <c r="N17" s="111">
        <f t="shared" si="60"/>
        <v>0</v>
      </c>
      <c r="O17" s="49"/>
      <c r="P17" s="76">
        <f t="shared" si="61"/>
        <v>0</v>
      </c>
      <c r="Q17" s="70">
        <f t="shared" si="62"/>
        <v>0</v>
      </c>
      <c r="R17" s="49"/>
      <c r="S17" s="76">
        <f t="shared" si="63"/>
        <v>0</v>
      </c>
      <c r="T17" s="70">
        <f t="shared" si="64"/>
        <v>0</v>
      </c>
      <c r="U17" s="49"/>
      <c r="V17" s="76">
        <f t="shared" si="65"/>
        <v>0</v>
      </c>
      <c r="W17" s="70">
        <f t="shared" si="66"/>
        <v>0</v>
      </c>
      <c r="X17" s="49"/>
      <c r="Y17" s="76"/>
      <c r="Z17" s="76"/>
      <c r="AA17" s="49"/>
      <c r="AB17" s="76"/>
      <c r="AC17" s="70">
        <f t="shared" si="67"/>
        <v>0</v>
      </c>
      <c r="AD17" s="49"/>
      <c r="AE17" s="76"/>
      <c r="AF17" s="70">
        <f t="shared" si="68"/>
        <v>0</v>
      </c>
      <c r="AG17" s="49"/>
      <c r="AH17" s="76"/>
      <c r="AI17" s="70">
        <f t="shared" si="69"/>
        <v>0</v>
      </c>
      <c r="AJ17" s="49"/>
      <c r="AK17" s="76"/>
      <c r="AL17" s="70">
        <f t="shared" si="70"/>
        <v>0</v>
      </c>
      <c r="AM17" s="49">
        <v>144.88999999999999</v>
      </c>
      <c r="AN17" s="76">
        <f t="shared" si="54"/>
        <v>5830.3011549999992</v>
      </c>
      <c r="AO17" s="70">
        <f t="shared" si="55"/>
        <v>1</v>
      </c>
    </row>
    <row r="18" spans="2:41" s="9" customFormat="1" ht="18" outlineLevel="2" x14ac:dyDescent="0.25">
      <c r="B18" s="23"/>
      <c r="C18" s="23"/>
      <c r="D18" s="114"/>
      <c r="E18" s="115"/>
      <c r="F18" s="63"/>
      <c r="G18" s="51"/>
      <c r="H18" s="64"/>
      <c r="I18" s="88"/>
      <c r="J18" s="67"/>
      <c r="K18" s="75"/>
      <c r="L18" s="65"/>
      <c r="M18" s="69"/>
      <c r="N18" s="111"/>
      <c r="O18" s="49"/>
      <c r="P18" s="76"/>
      <c r="Q18" s="70"/>
      <c r="R18" s="49"/>
      <c r="S18" s="76"/>
      <c r="T18" s="70"/>
      <c r="U18" s="49"/>
      <c r="V18" s="76"/>
      <c r="W18" s="70"/>
      <c r="X18" s="49"/>
      <c r="Y18" s="76"/>
      <c r="Z18" s="116"/>
      <c r="AA18" s="49"/>
      <c r="AB18" s="76"/>
      <c r="AC18" s="70"/>
      <c r="AD18" s="49"/>
      <c r="AE18" s="76"/>
      <c r="AF18" s="70"/>
      <c r="AG18" s="49"/>
      <c r="AH18" s="76"/>
      <c r="AI18" s="70"/>
      <c r="AJ18" s="49"/>
      <c r="AK18" s="76"/>
      <c r="AL18" s="70"/>
      <c r="AM18" s="49"/>
      <c r="AN18" s="76"/>
      <c r="AO18" s="70"/>
    </row>
    <row r="19" spans="2:41" s="50" customFormat="1" ht="25.35" customHeight="1" outlineLevel="2" x14ac:dyDescent="0.25">
      <c r="B19" s="61"/>
      <c r="C19" s="62"/>
      <c r="D19" s="166" t="s">
        <v>104</v>
      </c>
      <c r="E19" s="193"/>
      <c r="F19" s="63"/>
      <c r="G19" s="51"/>
      <c r="H19" s="64"/>
      <c r="I19" s="88"/>
      <c r="J19" s="67"/>
      <c r="K19" s="75"/>
      <c r="L19" s="65"/>
      <c r="M19" s="69"/>
      <c r="N19" s="71"/>
      <c r="O19" s="66"/>
      <c r="P19" s="75"/>
      <c r="Q19" s="65"/>
      <c r="R19" s="66"/>
      <c r="S19" s="75"/>
      <c r="T19" s="65"/>
      <c r="U19" s="49"/>
      <c r="V19" s="76">
        <f t="shared" ref="V19:V20" si="72">U19*H19</f>
        <v>0</v>
      </c>
      <c r="W19" s="65"/>
      <c r="X19" s="49"/>
      <c r="Y19" s="76">
        <f t="shared" ref="Y19" si="73">X19*$H19</f>
        <v>0</v>
      </c>
      <c r="Z19" s="70">
        <f t="shared" ref="Z19" si="74">IFERROR(Y19/$I19,0)</f>
        <v>0</v>
      </c>
      <c r="AA19" s="49"/>
      <c r="AB19" s="76">
        <f t="shared" ref="AB19" si="75">AA19*$H19</f>
        <v>0</v>
      </c>
      <c r="AC19" s="70">
        <f t="shared" ref="AC19:AC20" si="76">IFERROR(AB19/$I19,0)</f>
        <v>0</v>
      </c>
      <c r="AD19" s="49"/>
      <c r="AE19" s="76">
        <f t="shared" ref="AE19" si="77">AD19*$H19</f>
        <v>0</v>
      </c>
      <c r="AF19" s="70">
        <f t="shared" ref="AF19:AF20" si="78">IFERROR(AE19/$I19,0)</f>
        <v>0</v>
      </c>
      <c r="AG19" s="49"/>
      <c r="AH19" s="76">
        <f t="shared" ref="AH19" si="79">AG19*$H19</f>
        <v>0</v>
      </c>
      <c r="AI19" s="70">
        <f t="shared" ref="AI19:AI20" si="80">IFERROR(AH19/$I19,0)</f>
        <v>0</v>
      </c>
      <c r="AJ19" s="49"/>
      <c r="AK19" s="76">
        <f t="shared" ref="AK19" si="81">AJ19*$H19</f>
        <v>0</v>
      </c>
      <c r="AL19" s="70">
        <f t="shared" ref="AL19:AL20" si="82">IFERROR(AK19/$I19,0)</f>
        <v>0</v>
      </c>
      <c r="AM19" s="49"/>
      <c r="AN19" s="76">
        <f t="shared" ref="AN19" si="83">AM19*$H19</f>
        <v>0</v>
      </c>
      <c r="AO19" s="70">
        <f t="shared" ref="AO19:AO20" si="84">IFERROR(AN19/$I19,0)</f>
        <v>0</v>
      </c>
    </row>
    <row r="20" spans="2:41" s="9" customFormat="1" ht="18" outlineLevel="2" x14ac:dyDescent="0.25">
      <c r="B20" s="23"/>
      <c r="C20" s="23"/>
      <c r="D20" s="163" t="s">
        <v>100</v>
      </c>
      <c r="E20" s="164"/>
      <c r="F20" s="63">
        <v>30.52</v>
      </c>
      <c r="G20" s="51" t="s">
        <v>68</v>
      </c>
      <c r="H20" s="64">
        <v>804.79</v>
      </c>
      <c r="I20" s="88">
        <f t="shared" ref="I20" si="85">F20*H20</f>
        <v>24562.1908</v>
      </c>
      <c r="J20" s="67">
        <f>SUM(O20,R20,U20,X20,AA20,AD20,AG20,AJ20,AM20)</f>
        <v>30.52</v>
      </c>
      <c r="K20" s="75">
        <f t="shared" ref="K20" si="86">J20*H20</f>
        <v>24562.1908</v>
      </c>
      <c r="L20" s="65">
        <f t="shared" ref="L20" si="87">IFERROR(K20/I20, 0)</f>
        <v>1</v>
      </c>
      <c r="M20" s="69">
        <f t="shared" ref="M20" si="88">F20-J20</f>
        <v>0</v>
      </c>
      <c r="N20" s="111">
        <f t="shared" ref="N20" si="89">M20*H20</f>
        <v>0</v>
      </c>
      <c r="O20" s="49"/>
      <c r="P20" s="76">
        <f t="shared" ref="P20" si="90">O20*$H20</f>
        <v>0</v>
      </c>
      <c r="Q20" s="70">
        <f t="shared" ref="Q20" si="91">IFERROR(P20/$I20,0)</f>
        <v>0</v>
      </c>
      <c r="R20" s="49"/>
      <c r="S20" s="76">
        <f>R20*H20</f>
        <v>0</v>
      </c>
      <c r="T20" s="70">
        <f>IFERROR(S20/$I20,0)</f>
        <v>0</v>
      </c>
      <c r="U20" s="49"/>
      <c r="V20" s="76">
        <f t="shared" si="72"/>
        <v>0</v>
      </c>
      <c r="W20" s="70">
        <f t="shared" ref="W20" si="92">IFERROR(V20/$I20,0)</f>
        <v>0</v>
      </c>
      <c r="X20" s="49"/>
      <c r="Y20" s="76"/>
      <c r="Z20" s="76"/>
      <c r="AA20" s="49"/>
      <c r="AB20" s="76"/>
      <c r="AC20" s="70">
        <f t="shared" si="76"/>
        <v>0</v>
      </c>
      <c r="AD20" s="63">
        <v>30.52</v>
      </c>
      <c r="AE20" s="76">
        <f>AD20*H20</f>
        <v>24562.1908</v>
      </c>
      <c r="AF20" s="70">
        <f t="shared" si="78"/>
        <v>1</v>
      </c>
      <c r="AG20" s="49"/>
      <c r="AH20" s="76"/>
      <c r="AI20" s="70">
        <f t="shared" si="80"/>
        <v>0</v>
      </c>
      <c r="AJ20" s="49"/>
      <c r="AK20" s="76"/>
      <c r="AL20" s="70">
        <f t="shared" si="82"/>
        <v>0</v>
      </c>
      <c r="AM20" s="49"/>
      <c r="AN20" s="76"/>
      <c r="AO20" s="70">
        <f t="shared" si="84"/>
        <v>0</v>
      </c>
    </row>
    <row r="21" spans="2:41" s="9" customFormat="1" ht="18" outlineLevel="2" x14ac:dyDescent="0.25">
      <c r="B21" s="23"/>
      <c r="C21" s="23"/>
      <c r="D21" s="114"/>
      <c r="E21" s="115"/>
      <c r="F21" s="63"/>
      <c r="G21" s="51"/>
      <c r="H21" s="64"/>
      <c r="I21" s="88"/>
      <c r="J21" s="67"/>
      <c r="K21" s="75"/>
      <c r="L21" s="65"/>
      <c r="M21" s="69"/>
      <c r="N21" s="111"/>
      <c r="O21" s="49"/>
      <c r="P21" s="76"/>
      <c r="Q21" s="70"/>
      <c r="R21" s="49"/>
      <c r="S21" s="76"/>
      <c r="T21" s="70"/>
      <c r="U21" s="49"/>
      <c r="V21" s="76"/>
      <c r="W21" s="70"/>
      <c r="X21" s="49"/>
      <c r="Y21" s="76"/>
      <c r="Z21" s="116"/>
      <c r="AA21" s="49"/>
      <c r="AB21" s="76"/>
      <c r="AC21" s="70"/>
      <c r="AD21" s="49"/>
      <c r="AE21" s="76"/>
      <c r="AF21" s="70"/>
      <c r="AG21" s="49"/>
      <c r="AH21" s="76"/>
      <c r="AI21" s="70"/>
      <c r="AJ21" s="49"/>
      <c r="AK21" s="76"/>
      <c r="AL21" s="70"/>
      <c r="AM21" s="49"/>
      <c r="AN21" s="76"/>
      <c r="AO21" s="70"/>
    </row>
    <row r="22" spans="2:41" s="50" customFormat="1" ht="25.35" customHeight="1" outlineLevel="2" x14ac:dyDescent="0.25">
      <c r="B22" s="61"/>
      <c r="C22" s="62"/>
      <c r="D22" s="166" t="s">
        <v>57</v>
      </c>
      <c r="E22" s="193"/>
      <c r="F22" s="63">
        <f>SUM(F23:F25)</f>
        <v>218.59</v>
      </c>
      <c r="G22" s="51"/>
      <c r="H22" s="64"/>
      <c r="I22" s="88">
        <f>SUM(I26:I30)</f>
        <v>415436.62195000006</v>
      </c>
      <c r="J22" s="67"/>
      <c r="K22" s="75"/>
      <c r="L22" s="65"/>
      <c r="M22" s="69"/>
      <c r="N22" s="71"/>
      <c r="O22" s="66"/>
      <c r="P22" s="75"/>
      <c r="Q22" s="65"/>
      <c r="R22" s="66"/>
      <c r="S22" s="75"/>
      <c r="T22" s="65"/>
      <c r="U22" s="49"/>
      <c r="V22" s="76">
        <f t="shared" ref="V22" si="93">U22*H22</f>
        <v>0</v>
      </c>
      <c r="W22" s="65"/>
      <c r="X22" s="49"/>
      <c r="Y22" s="76">
        <f t="shared" ref="Y22" si="94">X22*$H22</f>
        <v>0</v>
      </c>
      <c r="Z22" s="70">
        <f t="shared" ref="Z22" si="95">IFERROR(Y22/$I22,0)</f>
        <v>0</v>
      </c>
      <c r="AA22" s="49"/>
      <c r="AB22" s="76">
        <f t="shared" ref="AB22" si="96">AA22*$H22</f>
        <v>0</v>
      </c>
      <c r="AC22" s="70">
        <f t="shared" ref="AC22" si="97">IFERROR(AB22/$I22,0)</f>
        <v>0</v>
      </c>
      <c r="AD22" s="49"/>
      <c r="AE22" s="76">
        <f t="shared" ref="AE22" si="98">AD22*$H22</f>
        <v>0</v>
      </c>
      <c r="AF22" s="70">
        <f t="shared" ref="AF22" si="99">IFERROR(AE22/$I22,0)</f>
        <v>0</v>
      </c>
      <c r="AG22" s="49"/>
      <c r="AH22" s="76">
        <f t="shared" ref="AH22" si="100">AG22*$H22</f>
        <v>0</v>
      </c>
      <c r="AI22" s="70">
        <f t="shared" ref="AI22" si="101">IFERROR(AH22/$I22,0)</f>
        <v>0</v>
      </c>
      <c r="AJ22" s="49"/>
      <c r="AK22" s="76">
        <f t="shared" ref="AK22" si="102">AJ22*$H22</f>
        <v>0</v>
      </c>
      <c r="AL22" s="70">
        <f t="shared" ref="AL22" si="103">IFERROR(AK22/$I22,0)</f>
        <v>0</v>
      </c>
      <c r="AM22" s="49"/>
      <c r="AN22" s="76">
        <f t="shared" ref="AN22" si="104">AM22*$H22</f>
        <v>0</v>
      </c>
      <c r="AO22" s="70">
        <f t="shared" ref="AO22:AO85" si="105">IFERROR(AN22/$I22,0)</f>
        <v>0</v>
      </c>
    </row>
    <row r="23" spans="2:41" s="9" customFormat="1" ht="18" outlineLevel="2" x14ac:dyDescent="0.25">
      <c r="B23" s="23"/>
      <c r="C23" s="23"/>
      <c r="D23" s="163" t="s">
        <v>54</v>
      </c>
      <c r="E23" s="164"/>
      <c r="F23" s="63">
        <v>53.64</v>
      </c>
      <c r="G23" s="51" t="s">
        <v>68</v>
      </c>
      <c r="H23" s="64">
        <v>724.31100000000004</v>
      </c>
      <c r="I23" s="88">
        <f t="shared" ref="I23:I93" si="106">F23*H23</f>
        <v>38852.04204</v>
      </c>
      <c r="J23" s="67">
        <f t="shared" ref="J23:J27" si="107">SUM(O23,R23,U23,X23,AA23,AD23,AG23,AJ23)</f>
        <v>53.64</v>
      </c>
      <c r="K23" s="75">
        <f t="shared" ref="K23:K65" si="108">J23*H23</f>
        <v>38852.04204</v>
      </c>
      <c r="L23" s="65">
        <f t="shared" ref="L23:L65" si="109">IFERROR(K23/I23, 0)</f>
        <v>1</v>
      </c>
      <c r="M23" s="69">
        <f t="shared" ref="M23" si="110">F23-J23</f>
        <v>0</v>
      </c>
      <c r="N23" s="111">
        <f t="shared" ref="N23:N65" si="111">M23*H23</f>
        <v>0</v>
      </c>
      <c r="O23" s="117">
        <v>53.64</v>
      </c>
      <c r="P23" s="76">
        <f t="shared" ref="P23:P91" si="112">O23*$H23</f>
        <v>38852.04204</v>
      </c>
      <c r="Q23" s="70">
        <f t="shared" ref="Q23:Q91" si="113">IFERROR(P23/$I23,0)</f>
        <v>1</v>
      </c>
      <c r="R23" s="49"/>
      <c r="S23" s="76">
        <f t="shared" ref="S23:S91" si="114">R23*H23</f>
        <v>0</v>
      </c>
      <c r="T23" s="70">
        <f t="shared" ref="T23:T91" si="115">IFERROR(S23/$I23,0)</f>
        <v>0</v>
      </c>
      <c r="U23" s="49"/>
      <c r="V23" s="76">
        <f t="shared" si="16"/>
        <v>0</v>
      </c>
      <c r="W23" s="70">
        <f t="shared" ref="W23:W91" si="116">IFERROR(V23/$I23,0)</f>
        <v>0</v>
      </c>
      <c r="X23" s="49"/>
      <c r="Y23" s="76"/>
      <c r="Z23" s="76"/>
      <c r="AA23" s="49"/>
      <c r="AB23" s="76"/>
      <c r="AC23" s="70">
        <f t="shared" si="20"/>
        <v>0</v>
      </c>
      <c r="AD23" s="49"/>
      <c r="AE23" s="76"/>
      <c r="AF23" s="70">
        <f t="shared" si="22"/>
        <v>0</v>
      </c>
      <c r="AG23" s="49"/>
      <c r="AH23" s="76"/>
      <c r="AI23" s="70">
        <f t="shared" si="24"/>
        <v>0</v>
      </c>
      <c r="AJ23" s="49"/>
      <c r="AK23" s="76"/>
      <c r="AL23" s="70">
        <f t="shared" si="26"/>
        <v>0</v>
      </c>
      <c r="AM23" s="49"/>
      <c r="AN23" s="76"/>
      <c r="AO23" s="70">
        <f t="shared" si="105"/>
        <v>0</v>
      </c>
    </row>
    <row r="24" spans="2:41" s="9" customFormat="1" ht="18" outlineLevel="2" x14ac:dyDescent="0.25">
      <c r="B24" s="23"/>
      <c r="C24" s="23"/>
      <c r="D24" s="163" t="s">
        <v>55</v>
      </c>
      <c r="E24" s="164"/>
      <c r="F24" s="63">
        <v>60.94</v>
      </c>
      <c r="G24" s="51" t="s">
        <v>68</v>
      </c>
      <c r="H24" s="64">
        <v>724.31100000000004</v>
      </c>
      <c r="I24" s="88">
        <f t="shared" si="106"/>
        <v>44139.512340000001</v>
      </c>
      <c r="J24" s="67">
        <f t="shared" si="107"/>
        <v>60.94</v>
      </c>
      <c r="K24" s="75">
        <f t="shared" ref="K24:K27" si="117">J24*H24</f>
        <v>44139.512340000001</v>
      </c>
      <c r="L24" s="65">
        <f t="shared" ref="L24:L27" si="118">IFERROR(K24/I24, 0)</f>
        <v>1</v>
      </c>
      <c r="M24" s="69">
        <f t="shared" ref="M24:M27" si="119">F24-J24</f>
        <v>0</v>
      </c>
      <c r="N24" s="111">
        <f t="shared" ref="N24:N27" si="120">M24*H24</f>
        <v>0</v>
      </c>
      <c r="O24" s="117">
        <v>60.94</v>
      </c>
      <c r="P24" s="76">
        <f t="shared" si="112"/>
        <v>44139.512340000001</v>
      </c>
      <c r="Q24" s="70">
        <f t="shared" si="113"/>
        <v>1</v>
      </c>
      <c r="R24" s="49"/>
      <c r="S24" s="76">
        <f t="shared" si="114"/>
        <v>0</v>
      </c>
      <c r="T24" s="70">
        <f t="shared" si="115"/>
        <v>0</v>
      </c>
      <c r="U24" s="49"/>
      <c r="V24" s="76">
        <f t="shared" si="16"/>
        <v>0</v>
      </c>
      <c r="W24" s="70">
        <f t="shared" si="116"/>
        <v>0</v>
      </c>
      <c r="X24" s="49"/>
      <c r="Y24" s="76">
        <f t="shared" si="17"/>
        <v>0</v>
      </c>
      <c r="Z24" s="70">
        <f t="shared" ref="Z24:Z28" si="121">IFERROR(Y24/$I24,0)</f>
        <v>0</v>
      </c>
      <c r="AA24" s="49"/>
      <c r="AB24" s="76">
        <f t="shared" ref="AB24:AB28" si="122">AA24*$H24</f>
        <v>0</v>
      </c>
      <c r="AC24" s="70">
        <f t="shared" si="20"/>
        <v>0</v>
      </c>
      <c r="AD24" s="49"/>
      <c r="AE24" s="76">
        <f t="shared" ref="AE24:AE28" si="123">AD24*$H24</f>
        <v>0</v>
      </c>
      <c r="AF24" s="70">
        <f t="shared" si="22"/>
        <v>0</v>
      </c>
      <c r="AG24" s="49"/>
      <c r="AH24" s="76">
        <f t="shared" ref="AH24:AH28" si="124">AG24*$H24</f>
        <v>0</v>
      </c>
      <c r="AI24" s="70">
        <f t="shared" si="24"/>
        <v>0</v>
      </c>
      <c r="AJ24" s="49"/>
      <c r="AK24" s="76">
        <f t="shared" ref="AK24:AK28" si="125">AJ24*$H24</f>
        <v>0</v>
      </c>
      <c r="AL24" s="70">
        <f t="shared" si="26"/>
        <v>0</v>
      </c>
      <c r="AM24" s="49"/>
      <c r="AN24" s="76">
        <f t="shared" ref="AN24:AN28" si="126">AM24*$H24</f>
        <v>0</v>
      </c>
      <c r="AO24" s="70">
        <f t="shared" si="105"/>
        <v>0</v>
      </c>
    </row>
    <row r="25" spans="2:41" s="9" customFormat="1" ht="18" outlineLevel="2" x14ac:dyDescent="0.25">
      <c r="B25" s="23"/>
      <c r="C25" s="23"/>
      <c r="D25" s="163" t="s">
        <v>56</v>
      </c>
      <c r="E25" s="164"/>
      <c r="F25" s="63">
        <v>104.01</v>
      </c>
      <c r="G25" s="51" t="s">
        <v>68</v>
      </c>
      <c r="H25" s="64">
        <v>724.31100000000004</v>
      </c>
      <c r="I25" s="88">
        <f t="shared" si="106"/>
        <v>75335.587110000008</v>
      </c>
      <c r="J25" s="67">
        <f t="shared" si="107"/>
        <v>104.01</v>
      </c>
      <c r="K25" s="75">
        <f t="shared" si="117"/>
        <v>75335.587110000008</v>
      </c>
      <c r="L25" s="65">
        <f t="shared" si="118"/>
        <v>1</v>
      </c>
      <c r="M25" s="69">
        <f t="shared" si="119"/>
        <v>0</v>
      </c>
      <c r="N25" s="111">
        <f t="shared" si="120"/>
        <v>0</v>
      </c>
      <c r="O25" s="117">
        <v>104.01</v>
      </c>
      <c r="P25" s="76">
        <f t="shared" si="112"/>
        <v>75335.587110000008</v>
      </c>
      <c r="Q25" s="70">
        <f t="shared" si="113"/>
        <v>1</v>
      </c>
      <c r="R25" s="49"/>
      <c r="S25" s="76">
        <f t="shared" si="114"/>
        <v>0</v>
      </c>
      <c r="T25" s="70">
        <f t="shared" si="115"/>
        <v>0</v>
      </c>
      <c r="U25" s="49"/>
      <c r="V25" s="76">
        <f t="shared" si="16"/>
        <v>0</v>
      </c>
      <c r="W25" s="70">
        <f t="shared" si="116"/>
        <v>0</v>
      </c>
      <c r="X25" s="49"/>
      <c r="Y25" s="76">
        <f t="shared" si="17"/>
        <v>0</v>
      </c>
      <c r="Z25" s="70">
        <f t="shared" si="121"/>
        <v>0</v>
      </c>
      <c r="AA25" s="49"/>
      <c r="AB25" s="76">
        <f t="shared" si="122"/>
        <v>0</v>
      </c>
      <c r="AC25" s="70">
        <f t="shared" si="20"/>
        <v>0</v>
      </c>
      <c r="AD25" s="49"/>
      <c r="AE25" s="76">
        <f t="shared" si="123"/>
        <v>0</v>
      </c>
      <c r="AF25" s="70">
        <f t="shared" si="22"/>
        <v>0</v>
      </c>
      <c r="AG25" s="49"/>
      <c r="AH25" s="76">
        <f t="shared" si="124"/>
        <v>0</v>
      </c>
      <c r="AI25" s="70">
        <f t="shared" si="24"/>
        <v>0</v>
      </c>
      <c r="AJ25" s="49"/>
      <c r="AK25" s="76">
        <f t="shared" si="125"/>
        <v>0</v>
      </c>
      <c r="AL25" s="70">
        <f t="shared" si="26"/>
        <v>0</v>
      </c>
      <c r="AM25" s="49"/>
      <c r="AN25" s="76">
        <f t="shared" si="126"/>
        <v>0</v>
      </c>
      <c r="AO25" s="70">
        <f t="shared" si="105"/>
        <v>0</v>
      </c>
    </row>
    <row r="26" spans="2:41" s="9" customFormat="1" ht="18" outlineLevel="2" x14ac:dyDescent="0.25">
      <c r="B26" s="23"/>
      <c r="C26" s="23"/>
      <c r="D26" s="163" t="s">
        <v>96</v>
      </c>
      <c r="E26" s="164"/>
      <c r="F26" s="63">
        <f>F22</f>
        <v>218.59</v>
      </c>
      <c r="G26" s="51" t="s">
        <v>68</v>
      </c>
      <c r="H26" s="64">
        <v>40.2395</v>
      </c>
      <c r="I26" s="88">
        <f t="shared" si="106"/>
        <v>8795.9523050000007</v>
      </c>
      <c r="J26" s="67">
        <f t="shared" si="107"/>
        <v>218.59</v>
      </c>
      <c r="K26" s="75">
        <f t="shared" si="117"/>
        <v>8795.9523050000007</v>
      </c>
      <c r="L26" s="65">
        <f t="shared" si="118"/>
        <v>1</v>
      </c>
      <c r="M26" s="69">
        <f t="shared" si="119"/>
        <v>0</v>
      </c>
      <c r="N26" s="111">
        <f t="shared" si="120"/>
        <v>0</v>
      </c>
      <c r="O26" s="49"/>
      <c r="P26" s="76"/>
      <c r="Q26" s="70"/>
      <c r="R26" s="49">
        <v>218.59</v>
      </c>
      <c r="S26" s="76">
        <f t="shared" si="114"/>
        <v>8795.9523050000007</v>
      </c>
      <c r="T26" s="70">
        <f t="shared" si="115"/>
        <v>1</v>
      </c>
      <c r="U26" s="49"/>
      <c r="V26" s="76">
        <f t="shared" si="16"/>
        <v>0</v>
      </c>
      <c r="W26" s="70">
        <f t="shared" si="116"/>
        <v>0</v>
      </c>
      <c r="X26" s="49"/>
      <c r="Y26" s="76">
        <f t="shared" si="17"/>
        <v>0</v>
      </c>
      <c r="Z26" s="70">
        <f t="shared" si="121"/>
        <v>0</v>
      </c>
      <c r="AA26" s="49"/>
      <c r="AB26" s="76">
        <f t="shared" si="122"/>
        <v>0</v>
      </c>
      <c r="AC26" s="70">
        <f t="shared" si="20"/>
        <v>0</v>
      </c>
      <c r="AD26" s="49"/>
      <c r="AE26" s="76">
        <f t="shared" si="123"/>
        <v>0</v>
      </c>
      <c r="AF26" s="70">
        <f t="shared" si="22"/>
        <v>0</v>
      </c>
      <c r="AG26" s="49"/>
      <c r="AH26" s="76">
        <f t="shared" si="124"/>
        <v>0</v>
      </c>
      <c r="AI26" s="70">
        <f t="shared" si="24"/>
        <v>0</v>
      </c>
      <c r="AJ26" s="49"/>
      <c r="AK26" s="76">
        <f t="shared" si="125"/>
        <v>0</v>
      </c>
      <c r="AL26" s="70">
        <f t="shared" si="26"/>
        <v>0</v>
      </c>
      <c r="AM26" s="49"/>
      <c r="AN26" s="76">
        <f t="shared" si="126"/>
        <v>0</v>
      </c>
      <c r="AO26" s="70">
        <f t="shared" si="105"/>
        <v>0</v>
      </c>
    </row>
    <row r="27" spans="2:41" s="9" customFormat="1" ht="16.5" customHeight="1" outlineLevel="2" x14ac:dyDescent="0.25">
      <c r="B27" s="23"/>
      <c r="C27" s="23"/>
      <c r="D27" s="163" t="s">
        <v>97</v>
      </c>
      <c r="E27" s="164"/>
      <c r="F27" s="63">
        <f>F22</f>
        <v>218.59</v>
      </c>
      <c r="G27" s="51" t="s">
        <v>68</v>
      </c>
      <c r="H27" s="64">
        <v>40.2395</v>
      </c>
      <c r="I27" s="88">
        <f t="shared" si="106"/>
        <v>8795.9523050000007</v>
      </c>
      <c r="J27" s="67">
        <f t="shared" si="107"/>
        <v>218.59</v>
      </c>
      <c r="K27" s="75">
        <f t="shared" si="117"/>
        <v>8795.9523050000007</v>
      </c>
      <c r="L27" s="65">
        <f t="shared" si="118"/>
        <v>1</v>
      </c>
      <c r="M27" s="69">
        <f t="shared" si="119"/>
        <v>0</v>
      </c>
      <c r="N27" s="111">
        <f t="shared" si="120"/>
        <v>0</v>
      </c>
      <c r="O27" s="49"/>
      <c r="P27" s="76"/>
      <c r="Q27" s="70"/>
      <c r="R27" s="49"/>
      <c r="S27" s="76"/>
      <c r="T27" s="70"/>
      <c r="U27" s="49"/>
      <c r="V27" s="76">
        <f t="shared" si="16"/>
        <v>0</v>
      </c>
      <c r="W27" s="70">
        <f t="shared" si="116"/>
        <v>0</v>
      </c>
      <c r="X27" s="49"/>
      <c r="Y27" s="76">
        <f t="shared" si="17"/>
        <v>0</v>
      </c>
      <c r="Z27" s="70">
        <f t="shared" si="121"/>
        <v>0</v>
      </c>
      <c r="AA27" s="49"/>
      <c r="AB27" s="76">
        <f t="shared" si="122"/>
        <v>0</v>
      </c>
      <c r="AC27" s="70">
        <f t="shared" si="20"/>
        <v>0</v>
      </c>
      <c r="AD27" s="49">
        <f>F27</f>
        <v>218.59</v>
      </c>
      <c r="AE27" s="76">
        <f t="shared" si="123"/>
        <v>8795.9523050000007</v>
      </c>
      <c r="AF27" s="70">
        <f t="shared" si="22"/>
        <v>1</v>
      </c>
      <c r="AG27" s="49"/>
      <c r="AH27" s="76">
        <f t="shared" si="124"/>
        <v>0</v>
      </c>
      <c r="AI27" s="70">
        <f t="shared" si="24"/>
        <v>0</v>
      </c>
      <c r="AJ27" s="49"/>
      <c r="AK27" s="76">
        <f t="shared" si="125"/>
        <v>0</v>
      </c>
      <c r="AL27" s="70">
        <f t="shared" si="26"/>
        <v>0</v>
      </c>
      <c r="AM27" s="49"/>
      <c r="AN27" s="76">
        <f t="shared" si="126"/>
        <v>0</v>
      </c>
      <c r="AO27" s="70">
        <f t="shared" si="105"/>
        <v>0</v>
      </c>
    </row>
    <row r="28" spans="2:41" s="50" customFormat="1" ht="25.35" customHeight="1" outlineLevel="2" x14ac:dyDescent="0.25">
      <c r="B28" s="61"/>
      <c r="C28" s="62"/>
      <c r="D28" s="165" t="s">
        <v>58</v>
      </c>
      <c r="E28" s="166"/>
      <c r="F28" s="63">
        <f>SUM(F29:F31)</f>
        <v>307.02</v>
      </c>
      <c r="G28" s="51"/>
      <c r="H28" s="64"/>
      <c r="I28" s="88">
        <f>SUM(I29:I33)</f>
        <v>247086.62579999998</v>
      </c>
      <c r="J28" s="67"/>
      <c r="K28" s="75"/>
      <c r="L28" s="65"/>
      <c r="M28" s="69"/>
      <c r="N28" s="111"/>
      <c r="O28" s="66"/>
      <c r="P28" s="75"/>
      <c r="Q28" s="65"/>
      <c r="R28" s="66"/>
      <c r="S28" s="75"/>
      <c r="T28" s="65"/>
      <c r="U28" s="49"/>
      <c r="V28" s="76"/>
      <c r="W28" s="70"/>
      <c r="X28" s="49"/>
      <c r="Y28" s="76">
        <f t="shared" si="17"/>
        <v>0</v>
      </c>
      <c r="Z28" s="70">
        <f t="shared" si="121"/>
        <v>0</v>
      </c>
      <c r="AA28" s="49"/>
      <c r="AB28" s="76">
        <f t="shared" si="122"/>
        <v>0</v>
      </c>
      <c r="AC28" s="70">
        <f t="shared" si="20"/>
        <v>0</v>
      </c>
      <c r="AD28" s="49"/>
      <c r="AE28" s="76">
        <f t="shared" si="123"/>
        <v>0</v>
      </c>
      <c r="AF28" s="70">
        <f t="shared" si="22"/>
        <v>0</v>
      </c>
      <c r="AG28" s="49"/>
      <c r="AH28" s="76">
        <f t="shared" si="124"/>
        <v>0</v>
      </c>
      <c r="AI28" s="70">
        <f t="shared" si="24"/>
        <v>0</v>
      </c>
      <c r="AJ28" s="49"/>
      <c r="AK28" s="76">
        <f t="shared" si="125"/>
        <v>0</v>
      </c>
      <c r="AL28" s="70">
        <f t="shared" si="26"/>
        <v>0</v>
      </c>
      <c r="AM28" s="49"/>
      <c r="AN28" s="76">
        <f t="shared" si="126"/>
        <v>0</v>
      </c>
      <c r="AO28" s="70">
        <f t="shared" si="105"/>
        <v>0</v>
      </c>
    </row>
    <row r="29" spans="2:41" s="9" customFormat="1" ht="18" outlineLevel="2" x14ac:dyDescent="0.25">
      <c r="B29" s="23"/>
      <c r="C29" s="23"/>
      <c r="D29" s="163" t="s">
        <v>54</v>
      </c>
      <c r="E29" s="164"/>
      <c r="F29" s="63">
        <v>76.61</v>
      </c>
      <c r="G29" s="51" t="s">
        <v>68</v>
      </c>
      <c r="H29" s="64">
        <v>724.31100000000004</v>
      </c>
      <c r="I29" s="88">
        <f t="shared" si="106"/>
        <v>55489.465710000004</v>
      </c>
      <c r="J29" s="67">
        <f t="shared" ref="J29:J33" si="127">SUM(O29,R29,U29,X29,AA29,AD29,AG29,AJ29)</f>
        <v>76.61</v>
      </c>
      <c r="K29" s="75">
        <f t="shared" ref="K29" si="128">J29*H29</f>
        <v>55489.465710000004</v>
      </c>
      <c r="L29" s="65">
        <f t="shared" ref="L29" si="129">IFERROR(K29/I29, 0)</f>
        <v>1</v>
      </c>
      <c r="M29" s="69">
        <f t="shared" ref="M29" si="130">F29-J29</f>
        <v>0</v>
      </c>
      <c r="N29" s="111">
        <f t="shared" ref="N29" si="131">M29*H29</f>
        <v>0</v>
      </c>
      <c r="O29" s="49"/>
      <c r="P29" s="76">
        <f t="shared" si="112"/>
        <v>0</v>
      </c>
      <c r="Q29" s="70">
        <f t="shared" si="113"/>
        <v>0</v>
      </c>
      <c r="R29" s="49">
        <v>76.61</v>
      </c>
      <c r="S29" s="76">
        <f>R29*H29</f>
        <v>55489.465710000004</v>
      </c>
      <c r="T29" s="70">
        <f t="shared" si="115"/>
        <v>1</v>
      </c>
      <c r="U29" s="49"/>
      <c r="V29" s="76">
        <f t="shared" si="16"/>
        <v>0</v>
      </c>
      <c r="W29" s="70">
        <f t="shared" si="116"/>
        <v>0</v>
      </c>
      <c r="X29" s="49"/>
      <c r="Y29" s="76"/>
      <c r="Z29" s="76"/>
      <c r="AA29" s="49"/>
      <c r="AB29" s="76"/>
      <c r="AC29" s="70">
        <f t="shared" si="20"/>
        <v>0</v>
      </c>
      <c r="AD29" s="49"/>
      <c r="AE29" s="76"/>
      <c r="AF29" s="70">
        <f t="shared" si="22"/>
        <v>0</v>
      </c>
      <c r="AG29" s="49"/>
      <c r="AH29" s="76"/>
      <c r="AI29" s="70">
        <f t="shared" si="24"/>
        <v>0</v>
      </c>
      <c r="AJ29" s="49"/>
      <c r="AK29" s="76"/>
      <c r="AL29" s="70">
        <f t="shared" si="26"/>
        <v>0</v>
      </c>
      <c r="AM29" s="49"/>
      <c r="AN29" s="76"/>
      <c r="AO29" s="70">
        <f t="shared" si="105"/>
        <v>0</v>
      </c>
    </row>
    <row r="30" spans="2:41" s="9" customFormat="1" ht="18" outlineLevel="2" x14ac:dyDescent="0.25">
      <c r="B30" s="23"/>
      <c r="C30" s="23"/>
      <c r="D30" s="163" t="s">
        <v>55</v>
      </c>
      <c r="E30" s="164"/>
      <c r="F30" s="63">
        <v>131.53</v>
      </c>
      <c r="G30" s="51" t="s">
        <v>68</v>
      </c>
      <c r="H30" s="64">
        <v>724.31100000000004</v>
      </c>
      <c r="I30" s="88">
        <f t="shared" si="106"/>
        <v>95268.625830000004</v>
      </c>
      <c r="J30" s="67">
        <f t="shared" si="127"/>
        <v>131.53</v>
      </c>
      <c r="K30" s="75">
        <f t="shared" ref="K30:K33" si="132">J30*H30</f>
        <v>95268.625830000004</v>
      </c>
      <c r="L30" s="65">
        <f t="shared" ref="L30:L33" si="133">IFERROR(K30/I30, 0)</f>
        <v>1</v>
      </c>
      <c r="M30" s="69">
        <f t="shared" ref="M30:M33" si="134">F30-J30</f>
        <v>0</v>
      </c>
      <c r="N30" s="111">
        <f t="shared" ref="N30:N33" si="135">M30*H30</f>
        <v>0</v>
      </c>
      <c r="O30" s="49"/>
      <c r="P30" s="76">
        <f t="shared" si="112"/>
        <v>0</v>
      </c>
      <c r="Q30" s="70">
        <f t="shared" si="113"/>
        <v>0</v>
      </c>
      <c r="R30" s="49">
        <v>131.53</v>
      </c>
      <c r="S30" s="76">
        <f t="shared" si="114"/>
        <v>95268.625830000004</v>
      </c>
      <c r="T30" s="70">
        <f t="shared" si="115"/>
        <v>1</v>
      </c>
      <c r="U30" s="49"/>
      <c r="V30" s="76">
        <f t="shared" si="16"/>
        <v>0</v>
      </c>
      <c r="W30" s="70">
        <f t="shared" si="116"/>
        <v>0</v>
      </c>
      <c r="X30" s="49"/>
      <c r="Y30" s="76">
        <f t="shared" si="17"/>
        <v>0</v>
      </c>
      <c r="Z30" s="70">
        <f t="shared" ref="Z30:Z33" si="136">IFERROR(Y30/$I30,0)</f>
        <v>0</v>
      </c>
      <c r="AA30" s="49"/>
      <c r="AB30" s="76">
        <f t="shared" ref="AB30:AB33" si="137">AA30*$H30</f>
        <v>0</v>
      </c>
      <c r="AC30" s="70">
        <f t="shared" si="20"/>
        <v>0</v>
      </c>
      <c r="AD30" s="49"/>
      <c r="AE30" s="76">
        <f t="shared" ref="AE30:AE33" si="138">AD30*$H30</f>
        <v>0</v>
      </c>
      <c r="AF30" s="70">
        <f t="shared" si="22"/>
        <v>0</v>
      </c>
      <c r="AG30" s="49"/>
      <c r="AH30" s="76">
        <f t="shared" ref="AH30:AH33" si="139">AG30*$H30</f>
        <v>0</v>
      </c>
      <c r="AI30" s="70">
        <f t="shared" si="24"/>
        <v>0</v>
      </c>
      <c r="AJ30" s="49"/>
      <c r="AK30" s="76">
        <f t="shared" ref="AK30:AK33" si="140">AJ30*$H30</f>
        <v>0</v>
      </c>
      <c r="AL30" s="70">
        <f t="shared" si="26"/>
        <v>0</v>
      </c>
      <c r="AM30" s="49"/>
      <c r="AN30" s="76">
        <f t="shared" ref="AN30:AN33" si="141">AM30*$H30</f>
        <v>0</v>
      </c>
      <c r="AO30" s="70">
        <f t="shared" si="105"/>
        <v>0</v>
      </c>
    </row>
    <row r="31" spans="2:41" s="9" customFormat="1" ht="18" outlineLevel="2" x14ac:dyDescent="0.25">
      <c r="B31" s="23"/>
      <c r="C31" s="23"/>
      <c r="D31" s="163" t="s">
        <v>56</v>
      </c>
      <c r="E31" s="164"/>
      <c r="F31" s="63">
        <v>98.88</v>
      </c>
      <c r="G31" s="51" t="s">
        <v>68</v>
      </c>
      <c r="H31" s="64">
        <v>724.31100000000004</v>
      </c>
      <c r="I31" s="88">
        <f t="shared" si="106"/>
        <v>71619.871679999997</v>
      </c>
      <c r="J31" s="67">
        <f t="shared" si="127"/>
        <v>98.88</v>
      </c>
      <c r="K31" s="75">
        <f t="shared" si="132"/>
        <v>71619.871679999997</v>
      </c>
      <c r="L31" s="65">
        <f t="shared" si="133"/>
        <v>1</v>
      </c>
      <c r="M31" s="69">
        <f t="shared" si="134"/>
        <v>0</v>
      </c>
      <c r="N31" s="111">
        <f t="shared" si="135"/>
        <v>0</v>
      </c>
      <c r="O31" s="49"/>
      <c r="P31" s="76">
        <f t="shared" si="112"/>
        <v>0</v>
      </c>
      <c r="Q31" s="70">
        <f t="shared" si="113"/>
        <v>0</v>
      </c>
      <c r="R31" s="49">
        <v>98.88</v>
      </c>
      <c r="S31" s="76">
        <f t="shared" si="114"/>
        <v>71619.871679999997</v>
      </c>
      <c r="T31" s="70">
        <f t="shared" si="115"/>
        <v>1</v>
      </c>
      <c r="U31" s="49"/>
      <c r="V31" s="76">
        <f t="shared" si="16"/>
        <v>0</v>
      </c>
      <c r="W31" s="70">
        <f t="shared" si="116"/>
        <v>0</v>
      </c>
      <c r="X31" s="49"/>
      <c r="Y31" s="76">
        <f t="shared" si="17"/>
        <v>0</v>
      </c>
      <c r="Z31" s="70">
        <f t="shared" si="136"/>
        <v>0</v>
      </c>
      <c r="AA31" s="49"/>
      <c r="AB31" s="76">
        <f t="shared" si="137"/>
        <v>0</v>
      </c>
      <c r="AC31" s="70">
        <f t="shared" si="20"/>
        <v>0</v>
      </c>
      <c r="AD31" s="49"/>
      <c r="AE31" s="76">
        <f t="shared" si="138"/>
        <v>0</v>
      </c>
      <c r="AF31" s="70">
        <f t="shared" si="22"/>
        <v>0</v>
      </c>
      <c r="AG31" s="49"/>
      <c r="AH31" s="76">
        <f t="shared" si="139"/>
        <v>0</v>
      </c>
      <c r="AI31" s="70">
        <f t="shared" si="24"/>
        <v>0</v>
      </c>
      <c r="AJ31" s="49"/>
      <c r="AK31" s="76">
        <f t="shared" si="140"/>
        <v>0</v>
      </c>
      <c r="AL31" s="70">
        <f t="shared" si="26"/>
        <v>0</v>
      </c>
      <c r="AM31" s="49"/>
      <c r="AN31" s="76">
        <f t="shared" si="141"/>
        <v>0</v>
      </c>
      <c r="AO31" s="70">
        <f t="shared" si="105"/>
        <v>0</v>
      </c>
    </row>
    <row r="32" spans="2:41" s="9" customFormat="1" ht="18" outlineLevel="2" x14ac:dyDescent="0.25">
      <c r="B32" s="23"/>
      <c r="C32" s="23"/>
      <c r="D32" s="163" t="s">
        <v>96</v>
      </c>
      <c r="E32" s="164"/>
      <c r="F32" s="63">
        <f>F28</f>
        <v>307.02</v>
      </c>
      <c r="G32" s="51" t="s">
        <v>68</v>
      </c>
      <c r="H32" s="64">
        <v>40.2395</v>
      </c>
      <c r="I32" s="88">
        <f t="shared" si="106"/>
        <v>12354.331289999998</v>
      </c>
      <c r="J32" s="67">
        <f t="shared" si="127"/>
        <v>307.02</v>
      </c>
      <c r="K32" s="75">
        <f t="shared" si="132"/>
        <v>12354.331289999998</v>
      </c>
      <c r="L32" s="65">
        <f t="shared" si="133"/>
        <v>1</v>
      </c>
      <c r="M32" s="69">
        <f t="shared" si="134"/>
        <v>0</v>
      </c>
      <c r="N32" s="111">
        <f t="shared" si="135"/>
        <v>0</v>
      </c>
      <c r="O32" s="49"/>
      <c r="P32" s="76"/>
      <c r="Q32" s="70"/>
      <c r="R32" s="49"/>
      <c r="S32" s="76"/>
      <c r="T32" s="70"/>
      <c r="U32" s="49">
        <v>307.02</v>
      </c>
      <c r="V32" s="76">
        <f t="shared" ref="V32" si="142">U32*H32</f>
        <v>12354.331289999998</v>
      </c>
      <c r="W32" s="70">
        <f t="shared" ref="W32" si="143">IFERROR(V32/$I32,0)</f>
        <v>1</v>
      </c>
      <c r="X32" s="49"/>
      <c r="Y32" s="76">
        <f t="shared" si="17"/>
        <v>0</v>
      </c>
      <c r="Z32" s="70">
        <f t="shared" si="136"/>
        <v>0</v>
      </c>
      <c r="AA32" s="49"/>
      <c r="AB32" s="76">
        <f t="shared" si="137"/>
        <v>0</v>
      </c>
      <c r="AC32" s="70">
        <f t="shared" si="20"/>
        <v>0</v>
      </c>
      <c r="AD32" s="49"/>
      <c r="AE32" s="76">
        <f t="shared" si="138"/>
        <v>0</v>
      </c>
      <c r="AF32" s="70">
        <f t="shared" si="22"/>
        <v>0</v>
      </c>
      <c r="AG32" s="49"/>
      <c r="AH32" s="76">
        <f t="shared" si="139"/>
        <v>0</v>
      </c>
      <c r="AI32" s="70">
        <f t="shared" si="24"/>
        <v>0</v>
      </c>
      <c r="AJ32" s="49"/>
      <c r="AK32" s="76">
        <f t="shared" si="140"/>
        <v>0</v>
      </c>
      <c r="AL32" s="70">
        <f t="shared" si="26"/>
        <v>0</v>
      </c>
      <c r="AM32" s="49"/>
      <c r="AN32" s="76">
        <f t="shared" si="141"/>
        <v>0</v>
      </c>
      <c r="AO32" s="70">
        <f t="shared" si="105"/>
        <v>0</v>
      </c>
    </row>
    <row r="33" spans="2:41" s="9" customFormat="1" ht="18" outlineLevel="2" x14ac:dyDescent="0.25">
      <c r="B33" s="23"/>
      <c r="C33" s="23"/>
      <c r="D33" s="163" t="s">
        <v>97</v>
      </c>
      <c r="E33" s="164"/>
      <c r="F33" s="63">
        <f>F28</f>
        <v>307.02</v>
      </c>
      <c r="G33" s="51" t="s">
        <v>68</v>
      </c>
      <c r="H33" s="64">
        <v>40.2395</v>
      </c>
      <c r="I33" s="88">
        <f t="shared" si="106"/>
        <v>12354.331289999998</v>
      </c>
      <c r="J33" s="67">
        <f t="shared" si="127"/>
        <v>307.02</v>
      </c>
      <c r="K33" s="75">
        <f t="shared" si="132"/>
        <v>12354.331289999998</v>
      </c>
      <c r="L33" s="65">
        <f t="shared" si="133"/>
        <v>1</v>
      </c>
      <c r="M33" s="69">
        <f t="shared" si="134"/>
        <v>0</v>
      </c>
      <c r="N33" s="111">
        <f t="shared" si="135"/>
        <v>0</v>
      </c>
      <c r="O33" s="49"/>
      <c r="P33" s="76"/>
      <c r="Q33" s="70"/>
      <c r="R33" s="49"/>
      <c r="S33" s="76"/>
      <c r="T33" s="70"/>
      <c r="U33" s="49"/>
      <c r="V33" s="76"/>
      <c r="W33" s="70"/>
      <c r="X33" s="49"/>
      <c r="Y33" s="76">
        <f t="shared" si="17"/>
        <v>0</v>
      </c>
      <c r="Z33" s="70">
        <f t="shared" si="136"/>
        <v>0</v>
      </c>
      <c r="AA33" s="49"/>
      <c r="AB33" s="76">
        <f t="shared" si="137"/>
        <v>0</v>
      </c>
      <c r="AC33" s="70">
        <f t="shared" si="20"/>
        <v>0</v>
      </c>
      <c r="AD33" s="49">
        <f>F33</f>
        <v>307.02</v>
      </c>
      <c r="AE33" s="76">
        <f t="shared" si="138"/>
        <v>12354.331289999998</v>
      </c>
      <c r="AF33" s="70">
        <f t="shared" si="22"/>
        <v>1</v>
      </c>
      <c r="AG33" s="49"/>
      <c r="AH33" s="76">
        <f t="shared" si="139"/>
        <v>0</v>
      </c>
      <c r="AI33" s="70">
        <f t="shared" si="24"/>
        <v>0</v>
      </c>
      <c r="AJ33" s="49"/>
      <c r="AK33" s="76">
        <f t="shared" si="140"/>
        <v>0</v>
      </c>
      <c r="AL33" s="70">
        <f t="shared" si="26"/>
        <v>0</v>
      </c>
      <c r="AM33" s="49"/>
      <c r="AN33" s="76">
        <f t="shared" si="141"/>
        <v>0</v>
      </c>
      <c r="AO33" s="70">
        <f t="shared" si="105"/>
        <v>0</v>
      </c>
    </row>
    <row r="34" spans="2:41" s="50" customFormat="1" ht="25.35" customHeight="1" outlineLevel="2" x14ac:dyDescent="0.25">
      <c r="B34" s="61"/>
      <c r="C34" s="62"/>
      <c r="D34" s="165" t="s">
        <v>59</v>
      </c>
      <c r="E34" s="166"/>
      <c r="F34" s="63">
        <f>SUM(F35:F37)</f>
        <v>220.73</v>
      </c>
      <c r="G34" s="51"/>
      <c r="H34" s="64"/>
      <c r="I34" s="88">
        <f>SUM(I35:I39)</f>
        <v>177641.29670000001</v>
      </c>
      <c r="J34" s="67"/>
      <c r="K34" s="75"/>
      <c r="L34" s="65"/>
      <c r="M34" s="69"/>
      <c r="N34" s="80"/>
      <c r="O34" s="66"/>
      <c r="P34" s="75"/>
      <c r="Q34" s="65"/>
      <c r="R34" s="66"/>
      <c r="S34" s="75"/>
      <c r="T34" s="65"/>
      <c r="U34" s="49"/>
      <c r="V34" s="76">
        <f t="shared" si="16"/>
        <v>0</v>
      </c>
      <c r="W34" s="65"/>
      <c r="X34" s="49"/>
      <c r="Y34" s="76"/>
      <c r="Z34" s="76"/>
      <c r="AA34" s="49"/>
      <c r="AB34" s="76"/>
      <c r="AC34" s="70">
        <f t="shared" si="20"/>
        <v>0</v>
      </c>
      <c r="AD34" s="49"/>
      <c r="AE34" s="76"/>
      <c r="AF34" s="70">
        <f t="shared" si="22"/>
        <v>0</v>
      </c>
      <c r="AG34" s="49"/>
      <c r="AH34" s="76"/>
      <c r="AI34" s="70">
        <f t="shared" si="24"/>
        <v>0</v>
      </c>
      <c r="AJ34" s="49"/>
      <c r="AK34" s="76"/>
      <c r="AL34" s="70">
        <f t="shared" si="26"/>
        <v>0</v>
      </c>
      <c r="AM34" s="49"/>
      <c r="AN34" s="76"/>
      <c r="AO34" s="70">
        <f t="shared" si="105"/>
        <v>0</v>
      </c>
    </row>
    <row r="35" spans="2:41" s="9" customFormat="1" ht="18" outlineLevel="2" x14ac:dyDescent="0.25">
      <c r="B35" s="23"/>
      <c r="C35" s="23"/>
      <c r="D35" s="163" t="s">
        <v>54</v>
      </c>
      <c r="E35" s="164"/>
      <c r="F35" s="63">
        <v>51.05</v>
      </c>
      <c r="G35" s="51" t="s">
        <v>68</v>
      </c>
      <c r="H35" s="64">
        <v>724.31100000000004</v>
      </c>
      <c r="I35" s="88">
        <f t="shared" si="106"/>
        <v>36976.076549999998</v>
      </c>
      <c r="J35" s="67">
        <f t="shared" ref="J35:J39" si="144">SUM(O35,R35,U35,X35,AA35,AD35,AG35,AJ35)</f>
        <v>51.05</v>
      </c>
      <c r="K35" s="75">
        <f t="shared" si="108"/>
        <v>36976.076549999998</v>
      </c>
      <c r="L35" s="65">
        <f t="shared" si="109"/>
        <v>1</v>
      </c>
      <c r="M35" s="69">
        <f t="shared" ref="M35:M65" si="145">F35-J35</f>
        <v>0</v>
      </c>
      <c r="N35" s="111">
        <f t="shared" si="111"/>
        <v>0</v>
      </c>
      <c r="O35" s="49"/>
      <c r="P35" s="76">
        <f t="shared" si="112"/>
        <v>0</v>
      </c>
      <c r="Q35" s="70">
        <f t="shared" si="113"/>
        <v>0</v>
      </c>
      <c r="R35" s="49">
        <v>51.05</v>
      </c>
      <c r="S35" s="76">
        <f t="shared" si="114"/>
        <v>36976.076549999998</v>
      </c>
      <c r="T35" s="70">
        <f t="shared" si="115"/>
        <v>1</v>
      </c>
      <c r="U35" s="49"/>
      <c r="V35" s="76">
        <f t="shared" si="16"/>
        <v>0</v>
      </c>
      <c r="W35" s="70">
        <f t="shared" si="116"/>
        <v>0</v>
      </c>
      <c r="X35" s="49"/>
      <c r="Y35" s="76">
        <f t="shared" si="17"/>
        <v>0</v>
      </c>
      <c r="Z35" s="70">
        <f t="shared" ref="Z35:Z39" si="146">IFERROR(Y35/$I35,0)</f>
        <v>0</v>
      </c>
      <c r="AA35" s="49"/>
      <c r="AB35" s="76">
        <f t="shared" ref="AB35:AB39" si="147">AA35*$H35</f>
        <v>0</v>
      </c>
      <c r="AC35" s="70">
        <f t="shared" si="20"/>
        <v>0</v>
      </c>
      <c r="AD35" s="49"/>
      <c r="AE35" s="76">
        <f t="shared" ref="AE35:AE39" si="148">AD35*$H35</f>
        <v>0</v>
      </c>
      <c r="AF35" s="70">
        <f t="shared" si="22"/>
        <v>0</v>
      </c>
      <c r="AG35" s="49"/>
      <c r="AH35" s="76">
        <f t="shared" ref="AH35:AH39" si="149">AG35*$H35</f>
        <v>0</v>
      </c>
      <c r="AI35" s="70">
        <f t="shared" si="24"/>
        <v>0</v>
      </c>
      <c r="AJ35" s="49"/>
      <c r="AK35" s="76">
        <f t="shared" ref="AK35:AK39" si="150">AJ35*$H35</f>
        <v>0</v>
      </c>
      <c r="AL35" s="70">
        <f t="shared" si="26"/>
        <v>0</v>
      </c>
      <c r="AM35" s="49"/>
      <c r="AN35" s="76">
        <f t="shared" ref="AN35:AN39" si="151">AM35*$H35</f>
        <v>0</v>
      </c>
      <c r="AO35" s="70">
        <f t="shared" si="105"/>
        <v>0</v>
      </c>
    </row>
    <row r="36" spans="2:41" s="9" customFormat="1" ht="18" outlineLevel="2" x14ac:dyDescent="0.25">
      <c r="B36" s="23"/>
      <c r="C36" s="23"/>
      <c r="D36" s="163" t="s">
        <v>55</v>
      </c>
      <c r="E36" s="164"/>
      <c r="F36" s="63">
        <v>57.71</v>
      </c>
      <c r="G36" s="51" t="s">
        <v>68</v>
      </c>
      <c r="H36" s="64">
        <v>724.31100000000004</v>
      </c>
      <c r="I36" s="88">
        <f t="shared" si="106"/>
        <v>41799.987810000006</v>
      </c>
      <c r="J36" s="67">
        <f t="shared" si="144"/>
        <v>57.71</v>
      </c>
      <c r="K36" s="75">
        <f t="shared" ref="K36:K39" si="152">J36*H36</f>
        <v>41799.987810000006</v>
      </c>
      <c r="L36" s="65">
        <f t="shared" ref="L36:L39" si="153">IFERROR(K36/I36, 0)</f>
        <v>1</v>
      </c>
      <c r="M36" s="69">
        <f t="shared" ref="M36:M39" si="154">F36-J36</f>
        <v>0</v>
      </c>
      <c r="N36" s="111">
        <f t="shared" ref="N36:N39" si="155">M36*H36</f>
        <v>0</v>
      </c>
      <c r="O36" s="49"/>
      <c r="P36" s="76">
        <f t="shared" si="112"/>
        <v>0</v>
      </c>
      <c r="Q36" s="70">
        <f t="shared" si="113"/>
        <v>0</v>
      </c>
      <c r="R36" s="49">
        <v>57.71</v>
      </c>
      <c r="S36" s="76">
        <f t="shared" si="114"/>
        <v>41799.987810000006</v>
      </c>
      <c r="T36" s="70">
        <f t="shared" si="115"/>
        <v>1</v>
      </c>
      <c r="U36" s="49"/>
      <c r="V36" s="76">
        <f t="shared" si="16"/>
        <v>0</v>
      </c>
      <c r="W36" s="70">
        <f t="shared" si="116"/>
        <v>0</v>
      </c>
      <c r="X36" s="49"/>
      <c r="Y36" s="76">
        <f t="shared" si="17"/>
        <v>0</v>
      </c>
      <c r="Z36" s="70">
        <f t="shared" si="146"/>
        <v>0</v>
      </c>
      <c r="AA36" s="49"/>
      <c r="AB36" s="76">
        <f t="shared" si="147"/>
        <v>0</v>
      </c>
      <c r="AC36" s="70">
        <f t="shared" si="20"/>
        <v>0</v>
      </c>
      <c r="AD36" s="49"/>
      <c r="AE36" s="76">
        <f t="shared" si="148"/>
        <v>0</v>
      </c>
      <c r="AF36" s="70">
        <f t="shared" si="22"/>
        <v>0</v>
      </c>
      <c r="AG36" s="49"/>
      <c r="AH36" s="76">
        <f t="shared" si="149"/>
        <v>0</v>
      </c>
      <c r="AI36" s="70">
        <f t="shared" si="24"/>
        <v>0</v>
      </c>
      <c r="AJ36" s="49"/>
      <c r="AK36" s="76">
        <f t="shared" si="150"/>
        <v>0</v>
      </c>
      <c r="AL36" s="70">
        <f t="shared" si="26"/>
        <v>0</v>
      </c>
      <c r="AM36" s="49"/>
      <c r="AN36" s="76">
        <f t="shared" si="151"/>
        <v>0</v>
      </c>
      <c r="AO36" s="70">
        <f t="shared" si="105"/>
        <v>0</v>
      </c>
    </row>
    <row r="37" spans="2:41" s="9" customFormat="1" ht="18" outlineLevel="2" x14ac:dyDescent="0.25">
      <c r="B37" s="23"/>
      <c r="C37" s="23"/>
      <c r="D37" s="163" t="s">
        <v>56</v>
      </c>
      <c r="E37" s="164"/>
      <c r="F37" s="63">
        <v>111.97</v>
      </c>
      <c r="G37" s="51" t="s">
        <v>68</v>
      </c>
      <c r="H37" s="64">
        <v>724.31100000000004</v>
      </c>
      <c r="I37" s="88">
        <f t="shared" si="106"/>
        <v>81101.102670000007</v>
      </c>
      <c r="J37" s="67">
        <f t="shared" si="144"/>
        <v>111.97</v>
      </c>
      <c r="K37" s="75">
        <f t="shared" si="152"/>
        <v>81101.102670000007</v>
      </c>
      <c r="L37" s="65">
        <f t="shared" si="153"/>
        <v>1</v>
      </c>
      <c r="M37" s="69">
        <f t="shared" si="154"/>
        <v>0</v>
      </c>
      <c r="N37" s="111">
        <f t="shared" si="155"/>
        <v>0</v>
      </c>
      <c r="O37" s="49"/>
      <c r="P37" s="76">
        <f t="shared" si="112"/>
        <v>0</v>
      </c>
      <c r="Q37" s="70">
        <f t="shared" si="113"/>
        <v>0</v>
      </c>
      <c r="R37" s="49">
        <v>111.97</v>
      </c>
      <c r="S37" s="76">
        <f t="shared" si="114"/>
        <v>81101.102670000007</v>
      </c>
      <c r="T37" s="70">
        <f t="shared" si="115"/>
        <v>1</v>
      </c>
      <c r="U37" s="49"/>
      <c r="V37" s="76">
        <f t="shared" si="16"/>
        <v>0</v>
      </c>
      <c r="W37" s="70">
        <f t="shared" si="116"/>
        <v>0</v>
      </c>
      <c r="X37" s="49"/>
      <c r="Y37" s="76">
        <f t="shared" si="17"/>
        <v>0</v>
      </c>
      <c r="Z37" s="70">
        <f t="shared" si="146"/>
        <v>0</v>
      </c>
      <c r="AA37" s="49"/>
      <c r="AB37" s="76">
        <f t="shared" si="147"/>
        <v>0</v>
      </c>
      <c r="AC37" s="70">
        <f t="shared" si="20"/>
        <v>0</v>
      </c>
      <c r="AD37" s="49"/>
      <c r="AE37" s="76">
        <f t="shared" si="148"/>
        <v>0</v>
      </c>
      <c r="AF37" s="70">
        <f t="shared" si="22"/>
        <v>0</v>
      </c>
      <c r="AG37" s="49"/>
      <c r="AH37" s="76">
        <f t="shared" si="149"/>
        <v>0</v>
      </c>
      <c r="AI37" s="70">
        <f t="shared" si="24"/>
        <v>0</v>
      </c>
      <c r="AJ37" s="49"/>
      <c r="AK37" s="76">
        <f t="shared" si="150"/>
        <v>0</v>
      </c>
      <c r="AL37" s="70">
        <f t="shared" si="26"/>
        <v>0</v>
      </c>
      <c r="AM37" s="49"/>
      <c r="AN37" s="76">
        <f t="shared" si="151"/>
        <v>0</v>
      </c>
      <c r="AO37" s="70">
        <f t="shared" si="105"/>
        <v>0</v>
      </c>
    </row>
    <row r="38" spans="2:41" s="9" customFormat="1" ht="18" outlineLevel="2" x14ac:dyDescent="0.25">
      <c r="B38" s="23"/>
      <c r="C38" s="23"/>
      <c r="D38" s="163" t="s">
        <v>96</v>
      </c>
      <c r="E38" s="164"/>
      <c r="F38" s="63">
        <f>F34</f>
        <v>220.73</v>
      </c>
      <c r="G38" s="51" t="s">
        <v>68</v>
      </c>
      <c r="H38" s="64">
        <v>40.2395</v>
      </c>
      <c r="I38" s="88">
        <f t="shared" si="106"/>
        <v>8882.0648349999992</v>
      </c>
      <c r="J38" s="67">
        <f t="shared" si="144"/>
        <v>220.73</v>
      </c>
      <c r="K38" s="75">
        <f t="shared" si="152"/>
        <v>8882.0648349999992</v>
      </c>
      <c r="L38" s="65">
        <f t="shared" si="153"/>
        <v>1</v>
      </c>
      <c r="M38" s="69">
        <f t="shared" si="154"/>
        <v>0</v>
      </c>
      <c r="N38" s="111">
        <f t="shared" si="155"/>
        <v>0</v>
      </c>
      <c r="O38" s="49"/>
      <c r="P38" s="76"/>
      <c r="Q38" s="70"/>
      <c r="R38" s="49"/>
      <c r="S38" s="76"/>
      <c r="T38" s="70"/>
      <c r="U38" s="49">
        <v>220.73</v>
      </c>
      <c r="V38" s="76">
        <f t="shared" si="16"/>
        <v>8882.0648349999992</v>
      </c>
      <c r="W38" s="70">
        <f t="shared" si="116"/>
        <v>1</v>
      </c>
      <c r="X38" s="49"/>
      <c r="Y38" s="76">
        <f t="shared" si="17"/>
        <v>0</v>
      </c>
      <c r="Z38" s="70">
        <f t="shared" si="146"/>
        <v>0</v>
      </c>
      <c r="AA38" s="49"/>
      <c r="AB38" s="76">
        <f t="shared" si="147"/>
        <v>0</v>
      </c>
      <c r="AC38" s="70">
        <f t="shared" si="20"/>
        <v>0</v>
      </c>
      <c r="AD38" s="49"/>
      <c r="AE38" s="76">
        <f t="shared" si="148"/>
        <v>0</v>
      </c>
      <c r="AF38" s="70">
        <f t="shared" si="22"/>
        <v>0</v>
      </c>
      <c r="AG38" s="49"/>
      <c r="AH38" s="76">
        <f t="shared" si="149"/>
        <v>0</v>
      </c>
      <c r="AI38" s="70">
        <f t="shared" si="24"/>
        <v>0</v>
      </c>
      <c r="AJ38" s="49"/>
      <c r="AK38" s="76">
        <f t="shared" si="150"/>
        <v>0</v>
      </c>
      <c r="AL38" s="70">
        <f t="shared" si="26"/>
        <v>0</v>
      </c>
      <c r="AM38" s="49"/>
      <c r="AN38" s="76">
        <f t="shared" si="151"/>
        <v>0</v>
      </c>
      <c r="AO38" s="70">
        <f t="shared" si="105"/>
        <v>0</v>
      </c>
    </row>
    <row r="39" spans="2:41" s="9" customFormat="1" ht="18" outlineLevel="2" x14ac:dyDescent="0.25">
      <c r="B39" s="23"/>
      <c r="C39" s="23"/>
      <c r="D39" s="163" t="s">
        <v>97</v>
      </c>
      <c r="E39" s="164"/>
      <c r="F39" s="63">
        <f>F34</f>
        <v>220.73</v>
      </c>
      <c r="G39" s="51" t="s">
        <v>68</v>
      </c>
      <c r="H39" s="64">
        <v>40.2395</v>
      </c>
      <c r="I39" s="88">
        <f t="shared" si="106"/>
        <v>8882.0648349999992</v>
      </c>
      <c r="J39" s="67">
        <f t="shared" si="144"/>
        <v>220.73</v>
      </c>
      <c r="K39" s="75">
        <f t="shared" si="152"/>
        <v>8882.0648349999992</v>
      </c>
      <c r="L39" s="65">
        <f t="shared" si="153"/>
        <v>1</v>
      </c>
      <c r="M39" s="69">
        <f t="shared" si="154"/>
        <v>0</v>
      </c>
      <c r="N39" s="111">
        <f t="shared" si="155"/>
        <v>0</v>
      </c>
      <c r="O39" s="49"/>
      <c r="P39" s="76"/>
      <c r="Q39" s="70"/>
      <c r="R39" s="49"/>
      <c r="S39" s="76"/>
      <c r="T39" s="70"/>
      <c r="U39" s="49"/>
      <c r="V39" s="76"/>
      <c r="W39" s="70"/>
      <c r="X39" s="49"/>
      <c r="Y39" s="76">
        <f t="shared" si="17"/>
        <v>0</v>
      </c>
      <c r="Z39" s="70">
        <f t="shared" si="146"/>
        <v>0</v>
      </c>
      <c r="AA39" s="49"/>
      <c r="AB39" s="76">
        <f t="shared" si="147"/>
        <v>0</v>
      </c>
      <c r="AC39" s="70">
        <f t="shared" si="20"/>
        <v>0</v>
      </c>
      <c r="AD39" s="49">
        <f>F39</f>
        <v>220.73</v>
      </c>
      <c r="AE39" s="76">
        <f t="shared" si="148"/>
        <v>8882.0648349999992</v>
      </c>
      <c r="AF39" s="70">
        <f t="shared" si="22"/>
        <v>1</v>
      </c>
      <c r="AG39" s="49"/>
      <c r="AH39" s="76">
        <f t="shared" si="149"/>
        <v>0</v>
      </c>
      <c r="AI39" s="70">
        <f t="shared" si="24"/>
        <v>0</v>
      </c>
      <c r="AJ39" s="49"/>
      <c r="AK39" s="76">
        <f t="shared" si="150"/>
        <v>0</v>
      </c>
      <c r="AL39" s="70">
        <f t="shared" si="26"/>
        <v>0</v>
      </c>
      <c r="AM39" s="49"/>
      <c r="AN39" s="76">
        <f t="shared" si="151"/>
        <v>0</v>
      </c>
      <c r="AO39" s="70">
        <f t="shared" si="105"/>
        <v>0</v>
      </c>
    </row>
    <row r="40" spans="2:41" s="50" customFormat="1" ht="25.35" customHeight="1" outlineLevel="2" x14ac:dyDescent="0.25">
      <c r="B40" s="61"/>
      <c r="C40" s="62"/>
      <c r="D40" s="165" t="s">
        <v>61</v>
      </c>
      <c r="E40" s="166"/>
      <c r="F40" s="63">
        <f>SUM(F41:F43)</f>
        <v>227.28</v>
      </c>
      <c r="G40" s="51"/>
      <c r="H40" s="64"/>
      <c r="I40" s="88">
        <f>SUM(I41:I45)</f>
        <v>182912.67119999998</v>
      </c>
      <c r="J40" s="67"/>
      <c r="K40" s="75"/>
      <c r="L40" s="65"/>
      <c r="M40" s="69"/>
      <c r="N40" s="80"/>
      <c r="O40" s="66"/>
      <c r="P40" s="75"/>
      <c r="Q40" s="65"/>
      <c r="R40" s="66"/>
      <c r="S40" s="75"/>
      <c r="T40" s="65"/>
      <c r="U40" s="49"/>
      <c r="V40" s="76">
        <f t="shared" si="16"/>
        <v>0</v>
      </c>
      <c r="W40" s="65"/>
      <c r="X40" s="49"/>
      <c r="Y40" s="76"/>
      <c r="Z40" s="76"/>
      <c r="AA40" s="49"/>
      <c r="AB40" s="76"/>
      <c r="AC40" s="70">
        <f t="shared" si="20"/>
        <v>0</v>
      </c>
      <c r="AD40" s="49"/>
      <c r="AE40" s="76"/>
      <c r="AF40" s="70">
        <f t="shared" si="22"/>
        <v>0</v>
      </c>
      <c r="AG40" s="49"/>
      <c r="AH40" s="76"/>
      <c r="AI40" s="70">
        <f t="shared" si="24"/>
        <v>0</v>
      </c>
      <c r="AJ40" s="49"/>
      <c r="AK40" s="76"/>
      <c r="AL40" s="70">
        <f t="shared" si="26"/>
        <v>0</v>
      </c>
      <c r="AM40" s="49"/>
      <c r="AN40" s="76"/>
      <c r="AO40" s="70">
        <f t="shared" si="105"/>
        <v>0</v>
      </c>
    </row>
    <row r="41" spans="2:41" s="9" customFormat="1" ht="18" outlineLevel="2" x14ac:dyDescent="0.25">
      <c r="B41" s="23"/>
      <c r="C41" s="23"/>
      <c r="D41" s="163" t="s">
        <v>54</v>
      </c>
      <c r="E41" s="164"/>
      <c r="F41" s="66">
        <v>50.79</v>
      </c>
      <c r="G41" s="51" t="s">
        <v>68</v>
      </c>
      <c r="H41" s="64">
        <v>724.31100000000004</v>
      </c>
      <c r="I41" s="88">
        <f t="shared" si="106"/>
        <v>36787.755689999998</v>
      </c>
      <c r="J41" s="67">
        <f t="shared" ref="J41:J45" si="156">SUM(O41,R41,U41,X41,AA41,AD41,AG41,AJ41)</f>
        <v>50.79</v>
      </c>
      <c r="K41" s="75">
        <f t="shared" si="108"/>
        <v>36787.755689999998</v>
      </c>
      <c r="L41" s="65">
        <f t="shared" si="109"/>
        <v>1</v>
      </c>
      <c r="M41" s="69">
        <f t="shared" si="145"/>
        <v>0</v>
      </c>
      <c r="N41" s="111">
        <f t="shared" si="111"/>
        <v>0</v>
      </c>
      <c r="O41" s="49"/>
      <c r="P41" s="76">
        <f t="shared" si="112"/>
        <v>0</v>
      </c>
      <c r="Q41" s="70">
        <f t="shared" si="113"/>
        <v>0</v>
      </c>
      <c r="R41" s="49"/>
      <c r="S41" s="76">
        <f t="shared" si="114"/>
        <v>0</v>
      </c>
      <c r="T41" s="70">
        <f t="shared" si="115"/>
        <v>0</v>
      </c>
      <c r="U41" s="49">
        <v>50.79</v>
      </c>
      <c r="V41" s="76">
        <f t="shared" si="16"/>
        <v>36787.755689999998</v>
      </c>
      <c r="W41" s="70">
        <f t="shared" si="116"/>
        <v>1</v>
      </c>
      <c r="X41" s="49"/>
      <c r="Y41" s="76">
        <f t="shared" si="17"/>
        <v>0</v>
      </c>
      <c r="Z41" s="70">
        <f t="shared" ref="Z41:Z45" si="157">IFERROR(Y41/$I41,0)</f>
        <v>0</v>
      </c>
      <c r="AA41" s="49"/>
      <c r="AB41" s="76">
        <f t="shared" ref="AB41:AB45" si="158">AA41*$H41</f>
        <v>0</v>
      </c>
      <c r="AC41" s="70">
        <f t="shared" si="20"/>
        <v>0</v>
      </c>
      <c r="AD41" s="49"/>
      <c r="AE41" s="76">
        <f t="shared" ref="AE41:AE45" si="159">AD41*$H41</f>
        <v>0</v>
      </c>
      <c r="AF41" s="70">
        <f t="shared" si="22"/>
        <v>0</v>
      </c>
      <c r="AG41" s="49"/>
      <c r="AH41" s="76">
        <f t="shared" ref="AH41:AH45" si="160">AG41*$H41</f>
        <v>0</v>
      </c>
      <c r="AI41" s="70">
        <f t="shared" si="24"/>
        <v>0</v>
      </c>
      <c r="AJ41" s="49"/>
      <c r="AK41" s="76">
        <f t="shared" ref="AK41:AK45" si="161">AJ41*$H41</f>
        <v>0</v>
      </c>
      <c r="AL41" s="70">
        <f t="shared" si="26"/>
        <v>0</v>
      </c>
      <c r="AM41" s="49"/>
      <c r="AN41" s="76">
        <f t="shared" ref="AN41:AN45" si="162">AM41*$H41</f>
        <v>0</v>
      </c>
      <c r="AO41" s="70">
        <f t="shared" si="105"/>
        <v>0</v>
      </c>
    </row>
    <row r="42" spans="2:41" s="9" customFormat="1" ht="18" outlineLevel="2" x14ac:dyDescent="0.25">
      <c r="B42" s="23"/>
      <c r="C42" s="23"/>
      <c r="D42" s="163" t="s">
        <v>55</v>
      </c>
      <c r="E42" s="164"/>
      <c r="F42" s="66">
        <v>64.739999999999995</v>
      </c>
      <c r="G42" s="51" t="s">
        <v>68</v>
      </c>
      <c r="H42" s="64">
        <v>724.31100000000004</v>
      </c>
      <c r="I42" s="88">
        <f t="shared" si="106"/>
        <v>46891.894139999997</v>
      </c>
      <c r="J42" s="67">
        <f t="shared" si="156"/>
        <v>64.739999999999995</v>
      </c>
      <c r="K42" s="75">
        <f t="shared" ref="K42:K45" si="163">J42*H42</f>
        <v>46891.894139999997</v>
      </c>
      <c r="L42" s="65">
        <f t="shared" ref="L42:L45" si="164">IFERROR(K42/I42, 0)</f>
        <v>1</v>
      </c>
      <c r="M42" s="69">
        <f t="shared" ref="M42:M45" si="165">F42-J42</f>
        <v>0</v>
      </c>
      <c r="N42" s="111">
        <f t="shared" ref="N42:N45" si="166">M42*H42</f>
        <v>0</v>
      </c>
      <c r="O42" s="49"/>
      <c r="P42" s="76">
        <f t="shared" si="112"/>
        <v>0</v>
      </c>
      <c r="Q42" s="70">
        <f t="shared" si="113"/>
        <v>0</v>
      </c>
      <c r="R42" s="49"/>
      <c r="S42" s="76">
        <f t="shared" si="114"/>
        <v>0</v>
      </c>
      <c r="T42" s="70">
        <f t="shared" si="115"/>
        <v>0</v>
      </c>
      <c r="U42" s="49">
        <v>64.739999999999995</v>
      </c>
      <c r="V42" s="76">
        <f t="shared" si="16"/>
        <v>46891.894139999997</v>
      </c>
      <c r="W42" s="70">
        <f t="shared" si="116"/>
        <v>1</v>
      </c>
      <c r="X42" s="49"/>
      <c r="Y42" s="76">
        <f t="shared" si="17"/>
        <v>0</v>
      </c>
      <c r="Z42" s="70">
        <f t="shared" si="157"/>
        <v>0</v>
      </c>
      <c r="AA42" s="49"/>
      <c r="AB42" s="76">
        <f t="shared" si="158"/>
        <v>0</v>
      </c>
      <c r="AC42" s="70">
        <f t="shared" si="20"/>
        <v>0</v>
      </c>
      <c r="AD42" s="49"/>
      <c r="AE42" s="76">
        <f t="shared" si="159"/>
        <v>0</v>
      </c>
      <c r="AF42" s="70">
        <f t="shared" si="22"/>
        <v>0</v>
      </c>
      <c r="AG42" s="49"/>
      <c r="AH42" s="76">
        <f t="shared" si="160"/>
        <v>0</v>
      </c>
      <c r="AI42" s="70">
        <f t="shared" si="24"/>
        <v>0</v>
      </c>
      <c r="AJ42" s="49"/>
      <c r="AK42" s="76">
        <f t="shared" si="161"/>
        <v>0</v>
      </c>
      <c r="AL42" s="70">
        <f t="shared" si="26"/>
        <v>0</v>
      </c>
      <c r="AM42" s="49"/>
      <c r="AN42" s="76">
        <f t="shared" si="162"/>
        <v>0</v>
      </c>
      <c r="AO42" s="70">
        <f t="shared" si="105"/>
        <v>0</v>
      </c>
    </row>
    <row r="43" spans="2:41" s="9" customFormat="1" ht="18" outlineLevel="2" x14ac:dyDescent="0.25">
      <c r="B43" s="23"/>
      <c r="C43" s="23"/>
      <c r="D43" s="163" t="s">
        <v>56</v>
      </c>
      <c r="E43" s="164"/>
      <c r="F43" s="66">
        <v>111.75</v>
      </c>
      <c r="G43" s="51" t="s">
        <v>68</v>
      </c>
      <c r="H43" s="64">
        <v>724.31100000000004</v>
      </c>
      <c r="I43" s="88">
        <f t="shared" si="106"/>
        <v>80941.754249999998</v>
      </c>
      <c r="J43" s="67">
        <f t="shared" si="156"/>
        <v>111.75</v>
      </c>
      <c r="K43" s="75">
        <f t="shared" si="163"/>
        <v>80941.754249999998</v>
      </c>
      <c r="L43" s="65">
        <f t="shared" si="164"/>
        <v>1</v>
      </c>
      <c r="M43" s="69">
        <f t="shared" si="165"/>
        <v>0</v>
      </c>
      <c r="N43" s="111">
        <f t="shared" si="166"/>
        <v>0</v>
      </c>
      <c r="O43" s="49"/>
      <c r="P43" s="76">
        <f t="shared" si="112"/>
        <v>0</v>
      </c>
      <c r="Q43" s="70">
        <f t="shared" si="113"/>
        <v>0</v>
      </c>
      <c r="R43" s="49"/>
      <c r="S43" s="76">
        <f t="shared" si="114"/>
        <v>0</v>
      </c>
      <c r="T43" s="70">
        <f t="shared" si="115"/>
        <v>0</v>
      </c>
      <c r="U43" s="49">
        <v>111.75</v>
      </c>
      <c r="V43" s="76">
        <f t="shared" si="16"/>
        <v>80941.754249999998</v>
      </c>
      <c r="W43" s="70">
        <f t="shared" si="116"/>
        <v>1</v>
      </c>
      <c r="X43" s="49"/>
      <c r="Y43" s="76">
        <f t="shared" si="17"/>
        <v>0</v>
      </c>
      <c r="Z43" s="70">
        <f t="shared" si="157"/>
        <v>0</v>
      </c>
      <c r="AA43" s="49"/>
      <c r="AB43" s="76">
        <f t="shared" si="158"/>
        <v>0</v>
      </c>
      <c r="AC43" s="70">
        <f t="shared" si="20"/>
        <v>0</v>
      </c>
      <c r="AD43" s="49"/>
      <c r="AE43" s="76">
        <f t="shared" si="159"/>
        <v>0</v>
      </c>
      <c r="AF43" s="70">
        <f t="shared" si="22"/>
        <v>0</v>
      </c>
      <c r="AG43" s="49"/>
      <c r="AH43" s="76">
        <f t="shared" si="160"/>
        <v>0</v>
      </c>
      <c r="AI43" s="70">
        <f t="shared" si="24"/>
        <v>0</v>
      </c>
      <c r="AJ43" s="49"/>
      <c r="AK43" s="76">
        <f t="shared" si="161"/>
        <v>0</v>
      </c>
      <c r="AL43" s="70">
        <f t="shared" si="26"/>
        <v>0</v>
      </c>
      <c r="AM43" s="49"/>
      <c r="AN43" s="76">
        <f t="shared" si="162"/>
        <v>0</v>
      </c>
      <c r="AO43" s="70">
        <f t="shared" si="105"/>
        <v>0</v>
      </c>
    </row>
    <row r="44" spans="2:41" s="9" customFormat="1" ht="18" outlineLevel="2" x14ac:dyDescent="0.25">
      <c r="B44" s="23"/>
      <c r="C44" s="23"/>
      <c r="D44" s="163" t="s">
        <v>96</v>
      </c>
      <c r="E44" s="164"/>
      <c r="F44" s="63">
        <f>F40</f>
        <v>227.28</v>
      </c>
      <c r="G44" s="51" t="s">
        <v>68</v>
      </c>
      <c r="H44" s="64">
        <v>40.2395</v>
      </c>
      <c r="I44" s="88">
        <f t="shared" si="106"/>
        <v>9145.6335600000002</v>
      </c>
      <c r="J44" s="67">
        <f t="shared" si="156"/>
        <v>227.28</v>
      </c>
      <c r="K44" s="75">
        <f t="shared" si="163"/>
        <v>9145.6335600000002</v>
      </c>
      <c r="L44" s="65">
        <f t="shared" si="164"/>
        <v>1</v>
      </c>
      <c r="M44" s="69">
        <f t="shared" si="165"/>
        <v>0</v>
      </c>
      <c r="N44" s="111">
        <f t="shared" si="166"/>
        <v>0</v>
      </c>
      <c r="O44" s="49"/>
      <c r="P44" s="76"/>
      <c r="Q44" s="70"/>
      <c r="R44" s="49"/>
      <c r="S44" s="76"/>
      <c r="T44" s="70"/>
      <c r="U44" s="49"/>
      <c r="V44" s="76"/>
      <c r="W44" s="70"/>
      <c r="X44" s="49"/>
      <c r="Y44" s="76">
        <f t="shared" si="17"/>
        <v>0</v>
      </c>
      <c r="Z44" s="70">
        <f t="shared" si="157"/>
        <v>0</v>
      </c>
      <c r="AA44" s="49"/>
      <c r="AB44" s="76">
        <f t="shared" si="158"/>
        <v>0</v>
      </c>
      <c r="AC44" s="70">
        <f t="shared" si="20"/>
        <v>0</v>
      </c>
      <c r="AD44" s="49">
        <f>F44</f>
        <v>227.28</v>
      </c>
      <c r="AE44" s="76">
        <f t="shared" si="159"/>
        <v>9145.6335600000002</v>
      </c>
      <c r="AF44" s="70">
        <f t="shared" si="22"/>
        <v>1</v>
      </c>
      <c r="AG44" s="49"/>
      <c r="AH44" s="76">
        <f t="shared" si="160"/>
        <v>0</v>
      </c>
      <c r="AI44" s="70">
        <f t="shared" si="24"/>
        <v>0</v>
      </c>
      <c r="AJ44" s="49"/>
      <c r="AK44" s="76">
        <f t="shared" si="161"/>
        <v>0</v>
      </c>
      <c r="AL44" s="70">
        <f t="shared" si="26"/>
        <v>0</v>
      </c>
      <c r="AM44" s="49"/>
      <c r="AN44" s="76">
        <f t="shared" si="162"/>
        <v>0</v>
      </c>
      <c r="AO44" s="70">
        <f t="shared" si="105"/>
        <v>0</v>
      </c>
    </row>
    <row r="45" spans="2:41" s="9" customFormat="1" ht="18" outlineLevel="2" x14ac:dyDescent="0.25">
      <c r="B45" s="23"/>
      <c r="C45" s="23"/>
      <c r="D45" s="163" t="s">
        <v>97</v>
      </c>
      <c r="E45" s="164"/>
      <c r="F45" s="63">
        <f>F40</f>
        <v>227.28</v>
      </c>
      <c r="G45" s="51" t="s">
        <v>68</v>
      </c>
      <c r="H45" s="64">
        <v>40.2395</v>
      </c>
      <c r="I45" s="88">
        <f t="shared" si="106"/>
        <v>9145.6335600000002</v>
      </c>
      <c r="J45" s="67">
        <f t="shared" si="156"/>
        <v>227.28</v>
      </c>
      <c r="K45" s="75">
        <f t="shared" si="163"/>
        <v>9145.6335600000002</v>
      </c>
      <c r="L45" s="65">
        <f t="shared" si="164"/>
        <v>1</v>
      </c>
      <c r="M45" s="69">
        <f t="shared" si="165"/>
        <v>0</v>
      </c>
      <c r="N45" s="111">
        <f t="shared" si="166"/>
        <v>0</v>
      </c>
      <c r="O45" s="49"/>
      <c r="P45" s="76"/>
      <c r="Q45" s="70"/>
      <c r="R45" s="49"/>
      <c r="S45" s="76"/>
      <c r="T45" s="70"/>
      <c r="U45" s="49"/>
      <c r="V45" s="76"/>
      <c r="W45" s="70"/>
      <c r="X45" s="49"/>
      <c r="Y45" s="76">
        <f t="shared" si="17"/>
        <v>0</v>
      </c>
      <c r="Z45" s="70">
        <f t="shared" si="157"/>
        <v>0</v>
      </c>
      <c r="AA45" s="49"/>
      <c r="AB45" s="76">
        <f t="shared" si="158"/>
        <v>0</v>
      </c>
      <c r="AC45" s="70">
        <f t="shared" si="20"/>
        <v>0</v>
      </c>
      <c r="AD45" s="49">
        <f>F45</f>
        <v>227.28</v>
      </c>
      <c r="AE45" s="76">
        <f t="shared" si="159"/>
        <v>9145.6335600000002</v>
      </c>
      <c r="AF45" s="70">
        <f t="shared" si="22"/>
        <v>1</v>
      </c>
      <c r="AG45" s="49"/>
      <c r="AH45" s="76">
        <f t="shared" si="160"/>
        <v>0</v>
      </c>
      <c r="AI45" s="70">
        <f t="shared" si="24"/>
        <v>0</v>
      </c>
      <c r="AJ45" s="49"/>
      <c r="AK45" s="76">
        <f t="shared" si="161"/>
        <v>0</v>
      </c>
      <c r="AL45" s="70">
        <f t="shared" si="26"/>
        <v>0</v>
      </c>
      <c r="AM45" s="49"/>
      <c r="AN45" s="76">
        <f t="shared" si="162"/>
        <v>0</v>
      </c>
      <c r="AO45" s="70">
        <f t="shared" si="105"/>
        <v>0</v>
      </c>
    </row>
    <row r="46" spans="2:41" s="50" customFormat="1" ht="25.35" customHeight="1" outlineLevel="2" x14ac:dyDescent="0.25">
      <c r="B46" s="61"/>
      <c r="C46" s="62"/>
      <c r="D46" s="165" t="s">
        <v>62</v>
      </c>
      <c r="E46" s="166"/>
      <c r="F46" s="63">
        <f>SUM(F47:F49)</f>
        <v>314.91999999999996</v>
      </c>
      <c r="G46" s="51"/>
      <c r="H46" s="64"/>
      <c r="I46" s="88">
        <f>SUM(I47:I51)</f>
        <v>253444.46679999999</v>
      </c>
      <c r="J46" s="67"/>
      <c r="K46" s="75"/>
      <c r="L46" s="65"/>
      <c r="M46" s="69"/>
      <c r="N46" s="80"/>
      <c r="O46" s="66"/>
      <c r="P46" s="75"/>
      <c r="Q46" s="65"/>
      <c r="R46" s="66"/>
      <c r="S46" s="75"/>
      <c r="T46" s="65"/>
      <c r="U46" s="49"/>
      <c r="V46" s="76">
        <f t="shared" si="16"/>
        <v>0</v>
      </c>
      <c r="W46" s="65"/>
      <c r="X46" s="49"/>
      <c r="Y46" s="76"/>
      <c r="Z46" s="76"/>
      <c r="AA46" s="49"/>
      <c r="AB46" s="76"/>
      <c r="AC46" s="70">
        <f t="shared" si="20"/>
        <v>0</v>
      </c>
      <c r="AD46" s="49"/>
      <c r="AE46" s="76"/>
      <c r="AF46" s="70">
        <f t="shared" si="22"/>
        <v>0</v>
      </c>
      <c r="AG46" s="49"/>
      <c r="AH46" s="76"/>
      <c r="AI46" s="70">
        <f t="shared" si="24"/>
        <v>0</v>
      </c>
      <c r="AJ46" s="49"/>
      <c r="AK46" s="76"/>
      <c r="AL46" s="70">
        <f t="shared" si="26"/>
        <v>0</v>
      </c>
      <c r="AM46" s="49"/>
      <c r="AN46" s="76"/>
      <c r="AO46" s="70">
        <f t="shared" si="105"/>
        <v>0</v>
      </c>
    </row>
    <row r="47" spans="2:41" s="9" customFormat="1" ht="18" outlineLevel="2" x14ac:dyDescent="0.25">
      <c r="B47" s="23"/>
      <c r="C47" s="23"/>
      <c r="D47" s="163" t="s">
        <v>54</v>
      </c>
      <c r="E47" s="164"/>
      <c r="F47" s="63">
        <v>53.4</v>
      </c>
      <c r="G47" s="51" t="s">
        <v>68</v>
      </c>
      <c r="H47" s="64">
        <v>724.31100000000004</v>
      </c>
      <c r="I47" s="88">
        <f t="shared" si="106"/>
        <v>38678.207399999999</v>
      </c>
      <c r="J47" s="67">
        <f t="shared" ref="J47:J51" si="167">SUM(O47,R47,U47,X47,AA47,AD47,AG47,AJ47)</f>
        <v>53.4</v>
      </c>
      <c r="K47" s="75">
        <f t="shared" si="108"/>
        <v>38678.207399999999</v>
      </c>
      <c r="L47" s="65">
        <f t="shared" si="109"/>
        <v>1</v>
      </c>
      <c r="M47" s="69">
        <f t="shared" si="145"/>
        <v>0</v>
      </c>
      <c r="N47" s="111">
        <f t="shared" si="111"/>
        <v>0</v>
      </c>
      <c r="O47" s="49"/>
      <c r="P47" s="76">
        <f t="shared" si="112"/>
        <v>0</v>
      </c>
      <c r="Q47" s="70">
        <f t="shared" si="113"/>
        <v>0</v>
      </c>
      <c r="R47" s="49"/>
      <c r="S47" s="76">
        <f t="shared" si="114"/>
        <v>0</v>
      </c>
      <c r="T47" s="70">
        <f t="shared" si="115"/>
        <v>0</v>
      </c>
      <c r="U47" s="63">
        <v>53.4</v>
      </c>
      <c r="V47" s="76">
        <f t="shared" si="16"/>
        <v>38678.207399999999</v>
      </c>
      <c r="W47" s="70">
        <f t="shared" si="116"/>
        <v>1</v>
      </c>
      <c r="X47" s="49"/>
      <c r="Y47" s="76">
        <f t="shared" si="17"/>
        <v>0</v>
      </c>
      <c r="Z47" s="70">
        <f t="shared" ref="Z47:Z51" si="168">IFERROR(Y47/$I47,0)</f>
        <v>0</v>
      </c>
      <c r="AA47" s="49"/>
      <c r="AB47" s="76">
        <f t="shared" ref="AB47:AB51" si="169">AA47*$H47</f>
        <v>0</v>
      </c>
      <c r="AC47" s="70">
        <f t="shared" si="20"/>
        <v>0</v>
      </c>
      <c r="AD47" s="49"/>
      <c r="AE47" s="76">
        <f t="shared" ref="AE47:AE51" si="170">AD47*$H47</f>
        <v>0</v>
      </c>
      <c r="AF47" s="70">
        <f t="shared" si="22"/>
        <v>0</v>
      </c>
      <c r="AG47" s="49"/>
      <c r="AH47" s="76">
        <f t="shared" ref="AH47:AH51" si="171">AG47*$H47</f>
        <v>0</v>
      </c>
      <c r="AI47" s="70">
        <f t="shared" si="24"/>
        <v>0</v>
      </c>
      <c r="AJ47" s="49"/>
      <c r="AK47" s="76">
        <f t="shared" ref="AK47:AK51" si="172">AJ47*$H47</f>
        <v>0</v>
      </c>
      <c r="AL47" s="70">
        <f t="shared" si="26"/>
        <v>0</v>
      </c>
      <c r="AM47" s="49"/>
      <c r="AN47" s="76">
        <f t="shared" ref="AN47:AN51" si="173">AM47*$H47</f>
        <v>0</v>
      </c>
      <c r="AO47" s="70">
        <f t="shared" si="105"/>
        <v>0</v>
      </c>
    </row>
    <row r="48" spans="2:41" s="9" customFormat="1" ht="18" outlineLevel="2" x14ac:dyDescent="0.25">
      <c r="B48" s="23"/>
      <c r="C48" s="23"/>
      <c r="D48" s="163" t="s">
        <v>55</v>
      </c>
      <c r="E48" s="164"/>
      <c r="F48" s="63">
        <v>119.58</v>
      </c>
      <c r="G48" s="51" t="s">
        <v>68</v>
      </c>
      <c r="H48" s="64">
        <v>724.31100000000004</v>
      </c>
      <c r="I48" s="88">
        <f t="shared" si="106"/>
        <v>86613.109380000009</v>
      </c>
      <c r="J48" s="67">
        <f t="shared" si="167"/>
        <v>119.58</v>
      </c>
      <c r="K48" s="75">
        <f t="shared" ref="K48:K51" si="174">J48*H48</f>
        <v>86613.109380000009</v>
      </c>
      <c r="L48" s="65">
        <f t="shared" ref="L48:L51" si="175">IFERROR(K48/I48, 0)</f>
        <v>1</v>
      </c>
      <c r="M48" s="69">
        <f t="shared" ref="M48:M51" si="176">F48-J48</f>
        <v>0</v>
      </c>
      <c r="N48" s="111">
        <f t="shared" ref="N48:N51" si="177">M48*H48</f>
        <v>0</v>
      </c>
      <c r="O48" s="49"/>
      <c r="P48" s="76">
        <f t="shared" si="112"/>
        <v>0</v>
      </c>
      <c r="Q48" s="70">
        <f t="shared" si="113"/>
        <v>0</v>
      </c>
      <c r="R48" s="49"/>
      <c r="S48" s="76">
        <f t="shared" si="114"/>
        <v>0</v>
      </c>
      <c r="T48" s="70">
        <f t="shared" si="115"/>
        <v>0</v>
      </c>
      <c r="U48" s="63">
        <v>119.58</v>
      </c>
      <c r="V48" s="76">
        <f t="shared" si="16"/>
        <v>86613.109380000009</v>
      </c>
      <c r="W48" s="70">
        <f t="shared" si="116"/>
        <v>1</v>
      </c>
      <c r="X48" s="49"/>
      <c r="Y48" s="76">
        <f t="shared" si="17"/>
        <v>0</v>
      </c>
      <c r="Z48" s="70">
        <f t="shared" si="168"/>
        <v>0</v>
      </c>
      <c r="AA48" s="49"/>
      <c r="AB48" s="76">
        <f t="shared" si="169"/>
        <v>0</v>
      </c>
      <c r="AC48" s="70">
        <f t="shared" si="20"/>
        <v>0</v>
      </c>
      <c r="AD48" s="49"/>
      <c r="AE48" s="76">
        <f t="shared" si="170"/>
        <v>0</v>
      </c>
      <c r="AF48" s="70">
        <f t="shared" si="22"/>
        <v>0</v>
      </c>
      <c r="AG48" s="49"/>
      <c r="AH48" s="76">
        <f t="shared" si="171"/>
        <v>0</v>
      </c>
      <c r="AI48" s="70">
        <f t="shared" si="24"/>
        <v>0</v>
      </c>
      <c r="AJ48" s="49"/>
      <c r="AK48" s="76">
        <f t="shared" si="172"/>
        <v>0</v>
      </c>
      <c r="AL48" s="70">
        <f t="shared" si="26"/>
        <v>0</v>
      </c>
      <c r="AM48" s="49"/>
      <c r="AN48" s="76">
        <f t="shared" si="173"/>
        <v>0</v>
      </c>
      <c r="AO48" s="70">
        <f t="shared" si="105"/>
        <v>0</v>
      </c>
    </row>
    <row r="49" spans="2:41" s="9" customFormat="1" ht="18" outlineLevel="2" x14ac:dyDescent="0.25">
      <c r="B49" s="23"/>
      <c r="C49" s="23"/>
      <c r="D49" s="163" t="s">
        <v>56</v>
      </c>
      <c r="E49" s="164"/>
      <c r="F49" s="63">
        <v>141.94</v>
      </c>
      <c r="G49" s="51" t="s">
        <v>68</v>
      </c>
      <c r="H49" s="64">
        <v>724.31100000000004</v>
      </c>
      <c r="I49" s="88">
        <f t="shared" si="106"/>
        <v>102808.70334000001</v>
      </c>
      <c r="J49" s="67">
        <f t="shared" si="167"/>
        <v>141.94</v>
      </c>
      <c r="K49" s="75">
        <f t="shared" si="174"/>
        <v>102808.70334000001</v>
      </c>
      <c r="L49" s="65">
        <f t="shared" si="175"/>
        <v>1</v>
      </c>
      <c r="M49" s="69">
        <f t="shared" si="176"/>
        <v>0</v>
      </c>
      <c r="N49" s="111">
        <f t="shared" si="177"/>
        <v>0</v>
      </c>
      <c r="O49" s="49"/>
      <c r="P49" s="76">
        <f t="shared" si="112"/>
        <v>0</v>
      </c>
      <c r="Q49" s="70">
        <f t="shared" si="113"/>
        <v>0</v>
      </c>
      <c r="R49" s="49"/>
      <c r="S49" s="76">
        <f t="shared" si="114"/>
        <v>0</v>
      </c>
      <c r="T49" s="70">
        <f t="shared" si="115"/>
        <v>0</v>
      </c>
      <c r="U49" s="63">
        <v>141.94</v>
      </c>
      <c r="V49" s="76">
        <f t="shared" si="16"/>
        <v>102808.70334000001</v>
      </c>
      <c r="W49" s="70">
        <f t="shared" si="116"/>
        <v>1</v>
      </c>
      <c r="X49" s="49"/>
      <c r="Y49" s="76">
        <f t="shared" si="17"/>
        <v>0</v>
      </c>
      <c r="Z49" s="70">
        <f t="shared" si="168"/>
        <v>0</v>
      </c>
      <c r="AA49" s="49"/>
      <c r="AB49" s="76">
        <f t="shared" si="169"/>
        <v>0</v>
      </c>
      <c r="AC49" s="70">
        <f t="shared" si="20"/>
        <v>0</v>
      </c>
      <c r="AD49" s="49"/>
      <c r="AE49" s="76">
        <f t="shared" si="170"/>
        <v>0</v>
      </c>
      <c r="AF49" s="70">
        <f t="shared" si="22"/>
        <v>0</v>
      </c>
      <c r="AG49" s="49"/>
      <c r="AH49" s="76">
        <f t="shared" si="171"/>
        <v>0</v>
      </c>
      <c r="AI49" s="70">
        <f t="shared" si="24"/>
        <v>0</v>
      </c>
      <c r="AJ49" s="49"/>
      <c r="AK49" s="76">
        <f t="shared" si="172"/>
        <v>0</v>
      </c>
      <c r="AL49" s="70">
        <f t="shared" si="26"/>
        <v>0</v>
      </c>
      <c r="AM49" s="49"/>
      <c r="AN49" s="76">
        <f t="shared" si="173"/>
        <v>0</v>
      </c>
      <c r="AO49" s="70">
        <f t="shared" si="105"/>
        <v>0</v>
      </c>
    </row>
    <row r="50" spans="2:41" s="9" customFormat="1" ht="18" outlineLevel="2" x14ac:dyDescent="0.25">
      <c r="B50" s="23"/>
      <c r="C50" s="23"/>
      <c r="D50" s="163" t="s">
        <v>96</v>
      </c>
      <c r="E50" s="164"/>
      <c r="F50" s="63">
        <f>F46</f>
        <v>314.91999999999996</v>
      </c>
      <c r="G50" s="51" t="s">
        <v>68</v>
      </c>
      <c r="H50" s="64">
        <v>40.2395</v>
      </c>
      <c r="I50" s="88">
        <f t="shared" si="106"/>
        <v>12672.223339999999</v>
      </c>
      <c r="J50" s="67">
        <f t="shared" si="167"/>
        <v>314.91999999999996</v>
      </c>
      <c r="K50" s="75">
        <f t="shared" si="174"/>
        <v>12672.223339999999</v>
      </c>
      <c r="L50" s="65">
        <f t="shared" si="175"/>
        <v>1</v>
      </c>
      <c r="M50" s="69">
        <f t="shared" si="176"/>
        <v>0</v>
      </c>
      <c r="N50" s="111">
        <f t="shared" si="177"/>
        <v>0</v>
      </c>
      <c r="O50" s="49"/>
      <c r="P50" s="76"/>
      <c r="Q50" s="70"/>
      <c r="R50" s="49"/>
      <c r="S50" s="76"/>
      <c r="T50" s="70"/>
      <c r="U50" s="49"/>
      <c r="V50" s="76"/>
      <c r="W50" s="70"/>
      <c r="X50" s="49"/>
      <c r="Y50" s="76">
        <f t="shared" si="17"/>
        <v>0</v>
      </c>
      <c r="Z50" s="70">
        <f t="shared" si="168"/>
        <v>0</v>
      </c>
      <c r="AA50" s="49"/>
      <c r="AB50" s="76">
        <f t="shared" si="169"/>
        <v>0</v>
      </c>
      <c r="AC50" s="70">
        <f t="shared" si="20"/>
        <v>0</v>
      </c>
      <c r="AD50" s="49">
        <f>F50</f>
        <v>314.91999999999996</v>
      </c>
      <c r="AE50" s="76">
        <f t="shared" si="170"/>
        <v>12672.223339999999</v>
      </c>
      <c r="AF50" s="70">
        <f t="shared" si="22"/>
        <v>1</v>
      </c>
      <c r="AG50" s="49"/>
      <c r="AH50" s="76">
        <f t="shared" si="171"/>
        <v>0</v>
      </c>
      <c r="AI50" s="70">
        <f t="shared" si="24"/>
        <v>0</v>
      </c>
      <c r="AJ50" s="49"/>
      <c r="AK50" s="76">
        <f t="shared" si="172"/>
        <v>0</v>
      </c>
      <c r="AL50" s="70">
        <f t="shared" si="26"/>
        <v>0</v>
      </c>
      <c r="AM50" s="49"/>
      <c r="AN50" s="76">
        <f t="shared" si="173"/>
        <v>0</v>
      </c>
      <c r="AO50" s="70">
        <f t="shared" si="105"/>
        <v>0</v>
      </c>
    </row>
    <row r="51" spans="2:41" s="9" customFormat="1" ht="18" outlineLevel="2" x14ac:dyDescent="0.25">
      <c r="B51" s="23"/>
      <c r="C51" s="23"/>
      <c r="D51" s="163" t="s">
        <v>97</v>
      </c>
      <c r="E51" s="164"/>
      <c r="F51" s="63">
        <f>F46</f>
        <v>314.91999999999996</v>
      </c>
      <c r="G51" s="51" t="s">
        <v>68</v>
      </c>
      <c r="H51" s="64">
        <v>40.2395</v>
      </c>
      <c r="I51" s="88">
        <f t="shared" si="106"/>
        <v>12672.223339999999</v>
      </c>
      <c r="J51" s="67">
        <f t="shared" si="167"/>
        <v>314.91999999999996</v>
      </c>
      <c r="K51" s="75">
        <f t="shared" si="174"/>
        <v>12672.223339999999</v>
      </c>
      <c r="L51" s="65">
        <f t="shared" si="175"/>
        <v>1</v>
      </c>
      <c r="M51" s="69">
        <f t="shared" si="176"/>
        <v>0</v>
      </c>
      <c r="N51" s="111">
        <f t="shared" si="177"/>
        <v>0</v>
      </c>
      <c r="O51" s="49"/>
      <c r="P51" s="76"/>
      <c r="Q51" s="70"/>
      <c r="R51" s="49"/>
      <c r="S51" s="76"/>
      <c r="T51" s="70"/>
      <c r="U51" s="49"/>
      <c r="V51" s="76"/>
      <c r="W51" s="70"/>
      <c r="X51" s="49"/>
      <c r="Y51" s="76">
        <f t="shared" si="17"/>
        <v>0</v>
      </c>
      <c r="Z51" s="70">
        <f t="shared" si="168"/>
        <v>0</v>
      </c>
      <c r="AA51" s="49"/>
      <c r="AB51" s="76">
        <f t="shared" si="169"/>
        <v>0</v>
      </c>
      <c r="AC51" s="70">
        <f t="shared" si="20"/>
        <v>0</v>
      </c>
      <c r="AD51" s="49">
        <f>F51</f>
        <v>314.91999999999996</v>
      </c>
      <c r="AE51" s="76">
        <f t="shared" si="170"/>
        <v>12672.223339999999</v>
      </c>
      <c r="AF51" s="70">
        <f t="shared" si="22"/>
        <v>1</v>
      </c>
      <c r="AG51" s="49"/>
      <c r="AH51" s="76">
        <f t="shared" si="171"/>
        <v>0</v>
      </c>
      <c r="AI51" s="70">
        <f t="shared" si="24"/>
        <v>0</v>
      </c>
      <c r="AJ51" s="49"/>
      <c r="AK51" s="76">
        <f t="shared" si="172"/>
        <v>0</v>
      </c>
      <c r="AL51" s="70">
        <f t="shared" si="26"/>
        <v>0</v>
      </c>
      <c r="AM51" s="49"/>
      <c r="AN51" s="76">
        <f t="shared" si="173"/>
        <v>0</v>
      </c>
      <c r="AO51" s="70">
        <f t="shared" si="105"/>
        <v>0</v>
      </c>
    </row>
    <row r="52" spans="2:41" s="50" customFormat="1" ht="25.35" customHeight="1" outlineLevel="2" x14ac:dyDescent="0.25">
      <c r="B52" s="61"/>
      <c r="C52" s="62"/>
      <c r="D52" s="165" t="s">
        <v>63</v>
      </c>
      <c r="E52" s="166"/>
      <c r="F52" s="63">
        <f>SUM(F53:F55)</f>
        <v>164.56</v>
      </c>
      <c r="G52" s="51"/>
      <c r="H52" s="64"/>
      <c r="I52" s="88">
        <f>SUM(I53:I57)</f>
        <v>132436.24240000002</v>
      </c>
      <c r="J52" s="67"/>
      <c r="K52" s="75"/>
      <c r="L52" s="65"/>
      <c r="M52" s="69"/>
      <c r="N52" s="80"/>
      <c r="O52" s="66"/>
      <c r="P52" s="75"/>
      <c r="Q52" s="65"/>
      <c r="R52" s="66"/>
      <c r="S52" s="75"/>
      <c r="T52" s="65"/>
      <c r="U52" s="49"/>
      <c r="V52" s="76">
        <f t="shared" si="16"/>
        <v>0</v>
      </c>
      <c r="W52" s="65"/>
      <c r="X52" s="49"/>
      <c r="Y52" s="76"/>
      <c r="Z52" s="76"/>
      <c r="AA52" s="49"/>
      <c r="AB52" s="76"/>
      <c r="AC52" s="70">
        <f t="shared" si="20"/>
        <v>0</v>
      </c>
      <c r="AD52" s="49"/>
      <c r="AE52" s="76"/>
      <c r="AF52" s="70">
        <f t="shared" si="22"/>
        <v>0</v>
      </c>
      <c r="AG52" s="49"/>
      <c r="AH52" s="76"/>
      <c r="AI52" s="70">
        <f t="shared" si="24"/>
        <v>0</v>
      </c>
      <c r="AJ52" s="49"/>
      <c r="AK52" s="76"/>
      <c r="AL52" s="70">
        <f t="shared" si="26"/>
        <v>0</v>
      </c>
      <c r="AM52" s="49"/>
      <c r="AN52" s="76"/>
      <c r="AO52" s="70">
        <f t="shared" si="105"/>
        <v>0</v>
      </c>
    </row>
    <row r="53" spans="2:41" s="9" customFormat="1" ht="18" outlineLevel="2" x14ac:dyDescent="0.25">
      <c r="B53" s="23"/>
      <c r="C53" s="23"/>
      <c r="D53" s="163" t="s">
        <v>54</v>
      </c>
      <c r="E53" s="164"/>
      <c r="F53" s="63">
        <v>54.83</v>
      </c>
      <c r="G53" s="51" t="s">
        <v>68</v>
      </c>
      <c r="H53" s="64">
        <v>724.31100000000004</v>
      </c>
      <c r="I53" s="88">
        <f t="shared" si="106"/>
        <v>39713.972130000002</v>
      </c>
      <c r="J53" s="67">
        <f t="shared" ref="J53:J57" si="178">SUM(O53,R53,U53,X53,AA53,AD53,AG53,AJ53)</f>
        <v>54.83</v>
      </c>
      <c r="K53" s="75">
        <f t="shared" si="108"/>
        <v>39713.972130000002</v>
      </c>
      <c r="L53" s="65">
        <f t="shared" si="109"/>
        <v>1</v>
      </c>
      <c r="M53" s="69">
        <f t="shared" si="145"/>
        <v>0</v>
      </c>
      <c r="N53" s="111">
        <f t="shared" si="111"/>
        <v>0</v>
      </c>
      <c r="O53" s="49"/>
      <c r="P53" s="76">
        <f t="shared" si="112"/>
        <v>0</v>
      </c>
      <c r="Q53" s="70">
        <f t="shared" si="113"/>
        <v>0</v>
      </c>
      <c r="R53" s="49"/>
      <c r="S53" s="76">
        <f t="shared" si="114"/>
        <v>0</v>
      </c>
      <c r="T53" s="70">
        <f t="shared" si="115"/>
        <v>0</v>
      </c>
      <c r="U53" s="49">
        <v>54.83</v>
      </c>
      <c r="V53" s="76">
        <f t="shared" si="16"/>
        <v>39713.972130000002</v>
      </c>
      <c r="W53" s="70">
        <f t="shared" si="116"/>
        <v>1</v>
      </c>
      <c r="X53" s="49"/>
      <c r="Y53" s="76">
        <f t="shared" si="17"/>
        <v>0</v>
      </c>
      <c r="Z53" s="70">
        <f t="shared" ref="Z53:Z57" si="179">IFERROR(Y53/$I53,0)</f>
        <v>0</v>
      </c>
      <c r="AA53" s="49"/>
      <c r="AB53" s="76">
        <f t="shared" ref="AB53:AB57" si="180">AA53*$H53</f>
        <v>0</v>
      </c>
      <c r="AC53" s="70">
        <f t="shared" si="20"/>
        <v>0</v>
      </c>
      <c r="AD53" s="49"/>
      <c r="AE53" s="76">
        <f t="shared" ref="AE53:AE57" si="181">AD53*$H53</f>
        <v>0</v>
      </c>
      <c r="AF53" s="70">
        <f t="shared" si="22"/>
        <v>0</v>
      </c>
      <c r="AG53" s="49"/>
      <c r="AH53" s="76">
        <f t="shared" ref="AH53:AH57" si="182">AG53*$H53</f>
        <v>0</v>
      </c>
      <c r="AI53" s="70">
        <f t="shared" si="24"/>
        <v>0</v>
      </c>
      <c r="AJ53" s="49"/>
      <c r="AK53" s="76">
        <f t="shared" ref="AK53:AK57" si="183">AJ53*$H53</f>
        <v>0</v>
      </c>
      <c r="AL53" s="70">
        <f t="shared" si="26"/>
        <v>0</v>
      </c>
      <c r="AM53" s="49"/>
      <c r="AN53" s="76">
        <f t="shared" ref="AN53:AN57" si="184">AM53*$H53</f>
        <v>0</v>
      </c>
      <c r="AO53" s="70">
        <f t="shared" si="105"/>
        <v>0</v>
      </c>
    </row>
    <row r="54" spans="2:41" s="9" customFormat="1" ht="18" outlineLevel="2" x14ac:dyDescent="0.25">
      <c r="B54" s="23"/>
      <c r="C54" s="23"/>
      <c r="D54" s="163" t="s">
        <v>55</v>
      </c>
      <c r="E54" s="164"/>
      <c r="F54" s="63">
        <v>33.72</v>
      </c>
      <c r="G54" s="51" t="s">
        <v>68</v>
      </c>
      <c r="H54" s="64">
        <v>724.31100000000004</v>
      </c>
      <c r="I54" s="88">
        <f t="shared" si="106"/>
        <v>24423.766920000002</v>
      </c>
      <c r="J54" s="67">
        <f t="shared" si="178"/>
        <v>33.72</v>
      </c>
      <c r="K54" s="75">
        <f t="shared" ref="K54:K57" si="185">J54*H54</f>
        <v>24423.766920000002</v>
      </c>
      <c r="L54" s="65">
        <f t="shared" ref="L54:L57" si="186">IFERROR(K54/I54, 0)</f>
        <v>1</v>
      </c>
      <c r="M54" s="69">
        <f t="shared" ref="M54:M57" si="187">F54-J54</f>
        <v>0</v>
      </c>
      <c r="N54" s="111">
        <f t="shared" ref="N54:N57" si="188">M54*H54</f>
        <v>0</v>
      </c>
      <c r="O54" s="49"/>
      <c r="P54" s="76">
        <f t="shared" si="112"/>
        <v>0</v>
      </c>
      <c r="Q54" s="70">
        <f t="shared" si="113"/>
        <v>0</v>
      </c>
      <c r="R54" s="49"/>
      <c r="S54" s="76">
        <f t="shared" si="114"/>
        <v>0</v>
      </c>
      <c r="T54" s="70">
        <f t="shared" si="115"/>
        <v>0</v>
      </c>
      <c r="U54" s="49">
        <v>33.72</v>
      </c>
      <c r="V54" s="76">
        <f t="shared" si="16"/>
        <v>24423.766920000002</v>
      </c>
      <c r="W54" s="70">
        <f t="shared" si="116"/>
        <v>1</v>
      </c>
      <c r="X54" s="49"/>
      <c r="Y54" s="76">
        <f t="shared" si="17"/>
        <v>0</v>
      </c>
      <c r="Z54" s="70">
        <f t="shared" si="179"/>
        <v>0</v>
      </c>
      <c r="AA54" s="49"/>
      <c r="AB54" s="76">
        <f t="shared" si="180"/>
        <v>0</v>
      </c>
      <c r="AC54" s="70">
        <f t="shared" si="20"/>
        <v>0</v>
      </c>
      <c r="AD54" s="49"/>
      <c r="AE54" s="76">
        <f t="shared" si="181"/>
        <v>0</v>
      </c>
      <c r="AF54" s="70">
        <f t="shared" si="22"/>
        <v>0</v>
      </c>
      <c r="AG54" s="49"/>
      <c r="AH54" s="76">
        <f t="shared" si="182"/>
        <v>0</v>
      </c>
      <c r="AI54" s="70">
        <f t="shared" si="24"/>
        <v>0</v>
      </c>
      <c r="AJ54" s="49"/>
      <c r="AK54" s="76">
        <f t="shared" si="183"/>
        <v>0</v>
      </c>
      <c r="AL54" s="70">
        <f t="shared" si="26"/>
        <v>0</v>
      </c>
      <c r="AM54" s="49"/>
      <c r="AN54" s="76">
        <f t="shared" si="184"/>
        <v>0</v>
      </c>
      <c r="AO54" s="70">
        <f t="shared" si="105"/>
        <v>0</v>
      </c>
    </row>
    <row r="55" spans="2:41" s="9" customFormat="1" ht="18" outlineLevel="2" x14ac:dyDescent="0.25">
      <c r="B55" s="23"/>
      <c r="C55" s="23"/>
      <c r="D55" s="163" t="s">
        <v>56</v>
      </c>
      <c r="E55" s="164"/>
      <c r="F55" s="63">
        <v>76.010000000000005</v>
      </c>
      <c r="G55" s="51" t="s">
        <v>68</v>
      </c>
      <c r="H55" s="64">
        <v>724.31100000000004</v>
      </c>
      <c r="I55" s="88">
        <f t="shared" si="106"/>
        <v>55054.879110000009</v>
      </c>
      <c r="J55" s="67">
        <f t="shared" si="178"/>
        <v>76.010000000000005</v>
      </c>
      <c r="K55" s="75">
        <f t="shared" si="185"/>
        <v>55054.879110000009</v>
      </c>
      <c r="L55" s="65">
        <f t="shared" si="186"/>
        <v>1</v>
      </c>
      <c r="M55" s="69">
        <f t="shared" si="187"/>
        <v>0</v>
      </c>
      <c r="N55" s="111">
        <f t="shared" si="188"/>
        <v>0</v>
      </c>
      <c r="O55" s="49"/>
      <c r="P55" s="76">
        <f t="shared" si="112"/>
        <v>0</v>
      </c>
      <c r="Q55" s="70">
        <f t="shared" si="113"/>
        <v>0</v>
      </c>
      <c r="R55" s="49"/>
      <c r="S55" s="76">
        <f t="shared" si="114"/>
        <v>0</v>
      </c>
      <c r="T55" s="70">
        <f t="shared" si="115"/>
        <v>0</v>
      </c>
      <c r="U55" s="49">
        <v>76.010000000000005</v>
      </c>
      <c r="V55" s="76">
        <f t="shared" si="16"/>
        <v>55054.879110000009</v>
      </c>
      <c r="W55" s="70">
        <f t="shared" si="116"/>
        <v>1</v>
      </c>
      <c r="X55" s="49"/>
      <c r="Y55" s="76">
        <f t="shared" si="17"/>
        <v>0</v>
      </c>
      <c r="Z55" s="70">
        <f t="shared" si="179"/>
        <v>0</v>
      </c>
      <c r="AA55" s="49"/>
      <c r="AB55" s="76">
        <f t="shared" si="180"/>
        <v>0</v>
      </c>
      <c r="AC55" s="70">
        <f t="shared" si="20"/>
        <v>0</v>
      </c>
      <c r="AD55" s="49"/>
      <c r="AE55" s="76">
        <f t="shared" si="181"/>
        <v>0</v>
      </c>
      <c r="AF55" s="70">
        <f t="shared" si="22"/>
        <v>0</v>
      </c>
      <c r="AG55" s="49"/>
      <c r="AH55" s="76">
        <f t="shared" si="182"/>
        <v>0</v>
      </c>
      <c r="AI55" s="70">
        <f t="shared" si="24"/>
        <v>0</v>
      </c>
      <c r="AJ55" s="49"/>
      <c r="AK55" s="76">
        <f t="shared" si="183"/>
        <v>0</v>
      </c>
      <c r="AL55" s="70">
        <f t="shared" si="26"/>
        <v>0</v>
      </c>
      <c r="AM55" s="49"/>
      <c r="AN55" s="76">
        <f t="shared" si="184"/>
        <v>0</v>
      </c>
      <c r="AO55" s="70">
        <f t="shared" si="105"/>
        <v>0</v>
      </c>
    </row>
    <row r="56" spans="2:41" s="9" customFormat="1" ht="18" outlineLevel="2" x14ac:dyDescent="0.25">
      <c r="B56" s="23"/>
      <c r="C56" s="23"/>
      <c r="D56" s="163" t="s">
        <v>96</v>
      </c>
      <c r="E56" s="164"/>
      <c r="F56" s="63">
        <f>F52</f>
        <v>164.56</v>
      </c>
      <c r="G56" s="51" t="s">
        <v>68</v>
      </c>
      <c r="H56" s="64">
        <v>40.2395</v>
      </c>
      <c r="I56" s="88">
        <f t="shared" si="106"/>
        <v>6621.8121199999996</v>
      </c>
      <c r="J56" s="67">
        <f t="shared" si="178"/>
        <v>164.56</v>
      </c>
      <c r="K56" s="75">
        <f t="shared" si="185"/>
        <v>6621.8121199999996</v>
      </c>
      <c r="L56" s="65">
        <f t="shared" si="186"/>
        <v>1</v>
      </c>
      <c r="M56" s="69">
        <f t="shared" si="187"/>
        <v>0</v>
      </c>
      <c r="N56" s="111">
        <f t="shared" si="188"/>
        <v>0</v>
      </c>
      <c r="O56" s="49"/>
      <c r="P56" s="76"/>
      <c r="Q56" s="70"/>
      <c r="R56" s="49"/>
      <c r="S56" s="76"/>
      <c r="T56" s="70"/>
      <c r="U56" s="49"/>
      <c r="V56" s="76"/>
      <c r="W56" s="70"/>
      <c r="X56" s="49"/>
      <c r="Y56" s="76">
        <f t="shared" si="17"/>
        <v>0</v>
      </c>
      <c r="Z56" s="70">
        <f t="shared" si="179"/>
        <v>0</v>
      </c>
      <c r="AA56" s="49"/>
      <c r="AB56" s="76">
        <f t="shared" si="180"/>
        <v>0</v>
      </c>
      <c r="AC56" s="70">
        <f t="shared" si="20"/>
        <v>0</v>
      </c>
      <c r="AD56" s="49">
        <f>F56</f>
        <v>164.56</v>
      </c>
      <c r="AE56" s="76">
        <f t="shared" si="181"/>
        <v>6621.8121199999996</v>
      </c>
      <c r="AF56" s="70">
        <f t="shared" si="22"/>
        <v>1</v>
      </c>
      <c r="AG56" s="49"/>
      <c r="AH56" s="76">
        <f t="shared" si="182"/>
        <v>0</v>
      </c>
      <c r="AI56" s="70">
        <f t="shared" si="24"/>
        <v>0</v>
      </c>
      <c r="AJ56" s="49"/>
      <c r="AK56" s="76">
        <f t="shared" si="183"/>
        <v>0</v>
      </c>
      <c r="AL56" s="70">
        <f t="shared" si="26"/>
        <v>0</v>
      </c>
      <c r="AM56" s="49"/>
      <c r="AN56" s="76">
        <f t="shared" si="184"/>
        <v>0</v>
      </c>
      <c r="AO56" s="70">
        <f t="shared" si="105"/>
        <v>0</v>
      </c>
    </row>
    <row r="57" spans="2:41" s="9" customFormat="1" ht="18" outlineLevel="2" x14ac:dyDescent="0.25">
      <c r="B57" s="23"/>
      <c r="C57" s="23"/>
      <c r="D57" s="163" t="s">
        <v>97</v>
      </c>
      <c r="E57" s="164"/>
      <c r="F57" s="63">
        <f>F52</f>
        <v>164.56</v>
      </c>
      <c r="G57" s="51" t="s">
        <v>68</v>
      </c>
      <c r="H57" s="64">
        <v>40.2395</v>
      </c>
      <c r="I57" s="88">
        <f t="shared" si="106"/>
        <v>6621.8121199999996</v>
      </c>
      <c r="J57" s="67">
        <f t="shared" si="178"/>
        <v>164.56</v>
      </c>
      <c r="K57" s="75">
        <f t="shared" si="185"/>
        <v>6621.8121199999996</v>
      </c>
      <c r="L57" s="65">
        <f t="shared" si="186"/>
        <v>1</v>
      </c>
      <c r="M57" s="69">
        <f t="shared" si="187"/>
        <v>0</v>
      </c>
      <c r="N57" s="111">
        <f t="shared" si="188"/>
        <v>0</v>
      </c>
      <c r="O57" s="49"/>
      <c r="P57" s="76"/>
      <c r="Q57" s="70"/>
      <c r="R57" s="49"/>
      <c r="S57" s="76"/>
      <c r="T57" s="70"/>
      <c r="U57" s="49"/>
      <c r="V57" s="76"/>
      <c r="W57" s="70"/>
      <c r="X57" s="49"/>
      <c r="Y57" s="76">
        <f t="shared" si="17"/>
        <v>0</v>
      </c>
      <c r="Z57" s="70">
        <f t="shared" si="179"/>
        <v>0</v>
      </c>
      <c r="AA57" s="49"/>
      <c r="AB57" s="76">
        <f t="shared" si="180"/>
        <v>0</v>
      </c>
      <c r="AC57" s="70">
        <f t="shared" si="20"/>
        <v>0</v>
      </c>
      <c r="AD57" s="49">
        <f>F57</f>
        <v>164.56</v>
      </c>
      <c r="AE57" s="76">
        <f t="shared" si="181"/>
        <v>6621.8121199999996</v>
      </c>
      <c r="AF57" s="70">
        <f t="shared" si="22"/>
        <v>1</v>
      </c>
      <c r="AG57" s="49"/>
      <c r="AH57" s="76">
        <f t="shared" si="182"/>
        <v>0</v>
      </c>
      <c r="AI57" s="70">
        <f t="shared" si="24"/>
        <v>0</v>
      </c>
      <c r="AJ57" s="49"/>
      <c r="AK57" s="76">
        <f t="shared" si="183"/>
        <v>0</v>
      </c>
      <c r="AL57" s="70">
        <f t="shared" si="26"/>
        <v>0</v>
      </c>
      <c r="AM57" s="49"/>
      <c r="AN57" s="76">
        <f t="shared" si="184"/>
        <v>0</v>
      </c>
      <c r="AO57" s="70">
        <f t="shared" si="105"/>
        <v>0</v>
      </c>
    </row>
    <row r="58" spans="2:41" s="50" customFormat="1" ht="25.35" customHeight="1" outlineLevel="2" x14ac:dyDescent="0.25">
      <c r="B58" s="61"/>
      <c r="C58" s="62"/>
      <c r="D58" s="165" t="s">
        <v>60</v>
      </c>
      <c r="E58" s="166"/>
      <c r="F58" s="63">
        <f>SUM(F59:F61)</f>
        <v>159.37</v>
      </c>
      <c r="G58" s="51"/>
      <c r="H58" s="64"/>
      <c r="I58" s="88">
        <f>SUM(I59:I63)</f>
        <v>128259.3823</v>
      </c>
      <c r="J58" s="67"/>
      <c r="K58" s="75"/>
      <c r="L58" s="65"/>
      <c r="M58" s="69"/>
      <c r="N58" s="80"/>
      <c r="O58" s="66"/>
      <c r="P58" s="75"/>
      <c r="Q58" s="65"/>
      <c r="R58" s="66"/>
      <c r="S58" s="75"/>
      <c r="T58" s="65"/>
      <c r="U58" s="49"/>
      <c r="V58" s="76">
        <f t="shared" si="16"/>
        <v>0</v>
      </c>
      <c r="W58" s="65"/>
      <c r="X58" s="49"/>
      <c r="Y58" s="76"/>
      <c r="Z58" s="76"/>
      <c r="AA58" s="49"/>
      <c r="AB58" s="76"/>
      <c r="AC58" s="70">
        <f t="shared" si="20"/>
        <v>0</v>
      </c>
      <c r="AD58" s="49"/>
      <c r="AE58" s="76"/>
      <c r="AF58" s="70">
        <f t="shared" si="22"/>
        <v>0</v>
      </c>
      <c r="AG58" s="49"/>
      <c r="AH58" s="76"/>
      <c r="AI58" s="70">
        <f t="shared" si="24"/>
        <v>0</v>
      </c>
      <c r="AJ58" s="49"/>
      <c r="AK58" s="76"/>
      <c r="AL58" s="70">
        <f t="shared" si="26"/>
        <v>0</v>
      </c>
      <c r="AM58" s="49"/>
      <c r="AN58" s="76"/>
      <c r="AO58" s="70">
        <f t="shared" si="105"/>
        <v>0</v>
      </c>
    </row>
    <row r="59" spans="2:41" s="9" customFormat="1" ht="18" outlineLevel="2" x14ac:dyDescent="0.25">
      <c r="B59" s="23"/>
      <c r="C59" s="23"/>
      <c r="D59" s="163" t="s">
        <v>54</v>
      </c>
      <c r="E59" s="164"/>
      <c r="F59" s="63">
        <v>42.66</v>
      </c>
      <c r="G59" s="51" t="s">
        <v>68</v>
      </c>
      <c r="H59" s="64">
        <v>724.31100000000004</v>
      </c>
      <c r="I59" s="88">
        <f t="shared" si="106"/>
        <v>30899.107260000001</v>
      </c>
      <c r="J59" s="67">
        <f t="shared" ref="J59:J63" si="189">SUM(O59,R59,U59,X59,AA59,AD59,AG59,AJ59)</f>
        <v>42.66</v>
      </c>
      <c r="K59" s="75">
        <f t="shared" si="108"/>
        <v>30899.107260000001</v>
      </c>
      <c r="L59" s="65">
        <f t="shared" si="109"/>
        <v>1</v>
      </c>
      <c r="M59" s="69">
        <f t="shared" si="145"/>
        <v>0</v>
      </c>
      <c r="N59" s="111">
        <f t="shared" si="111"/>
        <v>0</v>
      </c>
      <c r="O59" s="49"/>
      <c r="P59" s="76">
        <f t="shared" si="112"/>
        <v>0</v>
      </c>
      <c r="Q59" s="70">
        <f t="shared" si="113"/>
        <v>0</v>
      </c>
      <c r="R59" s="49"/>
      <c r="S59" s="76">
        <f t="shared" si="114"/>
        <v>0</v>
      </c>
      <c r="T59" s="70">
        <f t="shared" si="115"/>
        <v>0</v>
      </c>
      <c r="U59" s="49">
        <v>42.66</v>
      </c>
      <c r="V59" s="76">
        <f t="shared" si="16"/>
        <v>30899.107260000001</v>
      </c>
      <c r="W59" s="70">
        <f t="shared" si="116"/>
        <v>1</v>
      </c>
      <c r="X59" s="49"/>
      <c r="Y59" s="76">
        <f t="shared" si="17"/>
        <v>0</v>
      </c>
      <c r="Z59" s="70">
        <f t="shared" ref="Z59:Z63" si="190">IFERROR(Y59/$I59,0)</f>
        <v>0</v>
      </c>
      <c r="AA59" s="49"/>
      <c r="AB59" s="76">
        <f t="shared" ref="AB59:AB63" si="191">AA59*$H59</f>
        <v>0</v>
      </c>
      <c r="AC59" s="70">
        <f t="shared" si="20"/>
        <v>0</v>
      </c>
      <c r="AD59" s="49"/>
      <c r="AE59" s="76">
        <f t="shared" ref="AE59:AE63" si="192">AD59*$H59</f>
        <v>0</v>
      </c>
      <c r="AF59" s="70">
        <f t="shared" si="22"/>
        <v>0</v>
      </c>
      <c r="AG59" s="49"/>
      <c r="AH59" s="76">
        <f t="shared" ref="AH59:AH63" si="193">AG59*$H59</f>
        <v>0</v>
      </c>
      <c r="AI59" s="70">
        <f t="shared" si="24"/>
        <v>0</v>
      </c>
      <c r="AJ59" s="49"/>
      <c r="AK59" s="76">
        <f t="shared" ref="AK59:AK63" si="194">AJ59*$H59</f>
        <v>0</v>
      </c>
      <c r="AL59" s="70">
        <f t="shared" si="26"/>
        <v>0</v>
      </c>
      <c r="AM59" s="49"/>
      <c r="AN59" s="76">
        <f t="shared" ref="AN59:AN63" si="195">AM59*$H59</f>
        <v>0</v>
      </c>
      <c r="AO59" s="70">
        <f t="shared" si="105"/>
        <v>0</v>
      </c>
    </row>
    <row r="60" spans="2:41" s="9" customFormat="1" ht="18" outlineLevel="2" x14ac:dyDescent="0.25">
      <c r="B60" s="23"/>
      <c r="C60" s="23"/>
      <c r="D60" s="163" t="s">
        <v>55</v>
      </c>
      <c r="E60" s="164"/>
      <c r="F60" s="63">
        <v>28.82</v>
      </c>
      <c r="G60" s="51" t="s">
        <v>68</v>
      </c>
      <c r="H60" s="64">
        <v>724.31100000000004</v>
      </c>
      <c r="I60" s="88">
        <f t="shared" si="106"/>
        <v>20874.64302</v>
      </c>
      <c r="J60" s="67">
        <f t="shared" si="189"/>
        <v>28.82</v>
      </c>
      <c r="K60" s="75">
        <f t="shared" ref="K60:K63" si="196">J60*H60</f>
        <v>20874.64302</v>
      </c>
      <c r="L60" s="65">
        <f t="shared" ref="L60:L63" si="197">IFERROR(K60/I60, 0)</f>
        <v>1</v>
      </c>
      <c r="M60" s="69">
        <f t="shared" ref="M60:M63" si="198">F60-J60</f>
        <v>0</v>
      </c>
      <c r="N60" s="111">
        <f t="shared" ref="N60:N63" si="199">M60*H60</f>
        <v>0</v>
      </c>
      <c r="O60" s="49"/>
      <c r="P60" s="76">
        <f t="shared" si="112"/>
        <v>0</v>
      </c>
      <c r="Q60" s="70">
        <f t="shared" si="113"/>
        <v>0</v>
      </c>
      <c r="R60" s="49"/>
      <c r="S60" s="76">
        <f t="shared" si="114"/>
        <v>0</v>
      </c>
      <c r="T60" s="70">
        <f t="shared" si="115"/>
        <v>0</v>
      </c>
      <c r="U60" s="49">
        <v>28.82</v>
      </c>
      <c r="V60" s="76">
        <f t="shared" si="16"/>
        <v>20874.64302</v>
      </c>
      <c r="W60" s="70">
        <f t="shared" si="116"/>
        <v>1</v>
      </c>
      <c r="X60" s="49"/>
      <c r="Y60" s="76">
        <f t="shared" si="17"/>
        <v>0</v>
      </c>
      <c r="Z60" s="70">
        <f t="shared" si="190"/>
        <v>0</v>
      </c>
      <c r="AA60" s="49"/>
      <c r="AB60" s="76">
        <f t="shared" si="191"/>
        <v>0</v>
      </c>
      <c r="AC60" s="70">
        <f t="shared" si="20"/>
        <v>0</v>
      </c>
      <c r="AD60" s="49"/>
      <c r="AE60" s="76">
        <f t="shared" si="192"/>
        <v>0</v>
      </c>
      <c r="AF60" s="70">
        <f t="shared" si="22"/>
        <v>0</v>
      </c>
      <c r="AG60" s="49"/>
      <c r="AH60" s="76">
        <f t="shared" si="193"/>
        <v>0</v>
      </c>
      <c r="AI60" s="70">
        <f t="shared" si="24"/>
        <v>0</v>
      </c>
      <c r="AJ60" s="49"/>
      <c r="AK60" s="76">
        <f t="shared" si="194"/>
        <v>0</v>
      </c>
      <c r="AL60" s="70">
        <f t="shared" si="26"/>
        <v>0</v>
      </c>
      <c r="AM60" s="49"/>
      <c r="AN60" s="76">
        <f t="shared" si="195"/>
        <v>0</v>
      </c>
      <c r="AO60" s="70">
        <f t="shared" si="105"/>
        <v>0</v>
      </c>
    </row>
    <row r="61" spans="2:41" s="9" customFormat="1" ht="18" outlineLevel="2" x14ac:dyDescent="0.25">
      <c r="B61" s="23"/>
      <c r="C61" s="23"/>
      <c r="D61" s="163" t="s">
        <v>56</v>
      </c>
      <c r="E61" s="164"/>
      <c r="F61" s="32">
        <v>87.89</v>
      </c>
      <c r="G61" s="51" t="s">
        <v>68</v>
      </c>
      <c r="H61" s="64">
        <v>724.31100000000004</v>
      </c>
      <c r="I61" s="88">
        <f t="shared" si="106"/>
        <v>63659.693790000005</v>
      </c>
      <c r="J61" s="67">
        <f t="shared" si="189"/>
        <v>87.89</v>
      </c>
      <c r="K61" s="75">
        <f t="shared" si="196"/>
        <v>63659.693790000005</v>
      </c>
      <c r="L61" s="65">
        <f t="shared" si="197"/>
        <v>1</v>
      </c>
      <c r="M61" s="69">
        <f t="shared" si="198"/>
        <v>0</v>
      </c>
      <c r="N61" s="111">
        <f t="shared" si="199"/>
        <v>0</v>
      </c>
      <c r="O61" s="49"/>
      <c r="P61" s="76">
        <f t="shared" si="112"/>
        <v>0</v>
      </c>
      <c r="Q61" s="70">
        <f t="shared" si="113"/>
        <v>0</v>
      </c>
      <c r="R61" s="49"/>
      <c r="S61" s="76">
        <f t="shared" si="114"/>
        <v>0</v>
      </c>
      <c r="T61" s="70">
        <f t="shared" si="115"/>
        <v>0</v>
      </c>
      <c r="U61" s="49">
        <v>87.89</v>
      </c>
      <c r="V61" s="76">
        <f t="shared" si="16"/>
        <v>63659.693790000005</v>
      </c>
      <c r="W61" s="70">
        <f t="shared" si="116"/>
        <v>1</v>
      </c>
      <c r="X61" s="49"/>
      <c r="Y61" s="76">
        <f t="shared" si="17"/>
        <v>0</v>
      </c>
      <c r="Z61" s="70">
        <f t="shared" si="190"/>
        <v>0</v>
      </c>
      <c r="AA61" s="49"/>
      <c r="AB61" s="76">
        <f t="shared" si="191"/>
        <v>0</v>
      </c>
      <c r="AC61" s="70">
        <f t="shared" si="20"/>
        <v>0</v>
      </c>
      <c r="AD61" s="49"/>
      <c r="AE61" s="76">
        <f t="shared" si="192"/>
        <v>0</v>
      </c>
      <c r="AF61" s="70">
        <f t="shared" si="22"/>
        <v>0</v>
      </c>
      <c r="AG61" s="49"/>
      <c r="AH61" s="76">
        <f t="shared" si="193"/>
        <v>0</v>
      </c>
      <c r="AI61" s="70">
        <f t="shared" si="24"/>
        <v>0</v>
      </c>
      <c r="AJ61" s="49"/>
      <c r="AK61" s="76">
        <f t="shared" si="194"/>
        <v>0</v>
      </c>
      <c r="AL61" s="70">
        <f t="shared" si="26"/>
        <v>0</v>
      </c>
      <c r="AM61" s="49"/>
      <c r="AN61" s="76">
        <f t="shared" si="195"/>
        <v>0</v>
      </c>
      <c r="AO61" s="70">
        <f t="shared" si="105"/>
        <v>0</v>
      </c>
    </row>
    <row r="62" spans="2:41" s="9" customFormat="1" ht="18" outlineLevel="2" x14ac:dyDescent="0.25">
      <c r="B62" s="23"/>
      <c r="C62" s="23"/>
      <c r="D62" s="163" t="s">
        <v>96</v>
      </c>
      <c r="E62" s="164"/>
      <c r="F62" s="63">
        <f>F58</f>
        <v>159.37</v>
      </c>
      <c r="G62" s="51" t="s">
        <v>68</v>
      </c>
      <c r="H62" s="64">
        <v>40.2395</v>
      </c>
      <c r="I62" s="88">
        <f t="shared" si="106"/>
        <v>6412.9691149999999</v>
      </c>
      <c r="J62" s="67">
        <f t="shared" si="189"/>
        <v>159.37</v>
      </c>
      <c r="K62" s="75">
        <f t="shared" si="196"/>
        <v>6412.9691149999999</v>
      </c>
      <c r="L62" s="65">
        <f t="shared" si="197"/>
        <v>1</v>
      </c>
      <c r="M62" s="69">
        <f t="shared" si="198"/>
        <v>0</v>
      </c>
      <c r="N62" s="111">
        <f t="shared" si="199"/>
        <v>0</v>
      </c>
      <c r="O62" s="49"/>
      <c r="P62" s="76"/>
      <c r="Q62" s="70"/>
      <c r="R62" s="49"/>
      <c r="S62" s="76"/>
      <c r="T62" s="70"/>
      <c r="U62" s="49"/>
      <c r="V62" s="76"/>
      <c r="W62" s="70"/>
      <c r="X62" s="49"/>
      <c r="Y62" s="76">
        <f t="shared" si="17"/>
        <v>0</v>
      </c>
      <c r="Z62" s="70">
        <f t="shared" si="190"/>
        <v>0</v>
      </c>
      <c r="AA62" s="49"/>
      <c r="AB62" s="76">
        <f t="shared" si="191"/>
        <v>0</v>
      </c>
      <c r="AC62" s="70">
        <f t="shared" si="20"/>
        <v>0</v>
      </c>
      <c r="AD62" s="49">
        <f>F62</f>
        <v>159.37</v>
      </c>
      <c r="AE62" s="76">
        <f t="shared" si="192"/>
        <v>6412.9691149999999</v>
      </c>
      <c r="AF62" s="70">
        <f t="shared" si="22"/>
        <v>1</v>
      </c>
      <c r="AG62" s="49"/>
      <c r="AH62" s="76">
        <f t="shared" si="193"/>
        <v>0</v>
      </c>
      <c r="AI62" s="70">
        <f t="shared" si="24"/>
        <v>0</v>
      </c>
      <c r="AJ62" s="49"/>
      <c r="AK62" s="76">
        <f t="shared" si="194"/>
        <v>0</v>
      </c>
      <c r="AL62" s="70">
        <f t="shared" si="26"/>
        <v>0</v>
      </c>
      <c r="AM62" s="49"/>
      <c r="AN62" s="76">
        <f t="shared" si="195"/>
        <v>0</v>
      </c>
      <c r="AO62" s="70">
        <f t="shared" si="105"/>
        <v>0</v>
      </c>
    </row>
    <row r="63" spans="2:41" s="9" customFormat="1" ht="18" outlineLevel="2" x14ac:dyDescent="0.25">
      <c r="B63" s="23"/>
      <c r="C63" s="23"/>
      <c r="D63" s="163" t="s">
        <v>97</v>
      </c>
      <c r="E63" s="164"/>
      <c r="F63" s="63">
        <f>F58</f>
        <v>159.37</v>
      </c>
      <c r="G63" s="51" t="s">
        <v>68</v>
      </c>
      <c r="H63" s="64">
        <v>40.2395</v>
      </c>
      <c r="I63" s="88">
        <f t="shared" si="106"/>
        <v>6412.9691149999999</v>
      </c>
      <c r="J63" s="67">
        <f t="shared" si="189"/>
        <v>159.37</v>
      </c>
      <c r="K63" s="75">
        <f t="shared" si="196"/>
        <v>6412.9691149999999</v>
      </c>
      <c r="L63" s="65">
        <f t="shared" si="197"/>
        <v>1</v>
      </c>
      <c r="M63" s="69">
        <f t="shared" si="198"/>
        <v>0</v>
      </c>
      <c r="N63" s="111">
        <f t="shared" si="199"/>
        <v>0</v>
      </c>
      <c r="O63" s="49"/>
      <c r="P63" s="76"/>
      <c r="Q63" s="70"/>
      <c r="R63" s="49"/>
      <c r="S63" s="76"/>
      <c r="T63" s="70"/>
      <c r="U63" s="49"/>
      <c r="V63" s="76"/>
      <c r="W63" s="70"/>
      <c r="X63" s="49"/>
      <c r="Y63" s="76">
        <f t="shared" si="17"/>
        <v>0</v>
      </c>
      <c r="Z63" s="70">
        <f t="shared" si="190"/>
        <v>0</v>
      </c>
      <c r="AA63" s="49"/>
      <c r="AB63" s="76">
        <f t="shared" si="191"/>
        <v>0</v>
      </c>
      <c r="AC63" s="70">
        <f t="shared" si="20"/>
        <v>0</v>
      </c>
      <c r="AD63" s="49">
        <f>F63</f>
        <v>159.37</v>
      </c>
      <c r="AE63" s="76">
        <f t="shared" si="192"/>
        <v>6412.9691149999999</v>
      </c>
      <c r="AF63" s="70">
        <f t="shared" si="22"/>
        <v>1</v>
      </c>
      <c r="AG63" s="49"/>
      <c r="AH63" s="76">
        <f t="shared" si="193"/>
        <v>0</v>
      </c>
      <c r="AI63" s="70">
        <f t="shared" si="24"/>
        <v>0</v>
      </c>
      <c r="AJ63" s="49"/>
      <c r="AK63" s="76">
        <f t="shared" si="194"/>
        <v>0</v>
      </c>
      <c r="AL63" s="70">
        <f t="shared" si="26"/>
        <v>0</v>
      </c>
      <c r="AM63" s="49"/>
      <c r="AN63" s="76">
        <f t="shared" si="195"/>
        <v>0</v>
      </c>
      <c r="AO63" s="70">
        <f t="shared" si="105"/>
        <v>0</v>
      </c>
    </row>
    <row r="64" spans="2:41" s="50" customFormat="1" ht="25.35" customHeight="1" outlineLevel="2" x14ac:dyDescent="0.25">
      <c r="B64" s="61"/>
      <c r="C64" s="62"/>
      <c r="D64" s="165" t="s">
        <v>64</v>
      </c>
      <c r="E64" s="166"/>
      <c r="F64" s="63">
        <f>SUM(F65:F67)</f>
        <v>156.96999999999997</v>
      </c>
      <c r="G64" s="51"/>
      <c r="H64" s="64"/>
      <c r="I64" s="88">
        <f>SUM(I65:I69)</f>
        <v>126327.8863</v>
      </c>
      <c r="J64" s="67"/>
      <c r="K64" s="75"/>
      <c r="L64" s="65"/>
      <c r="M64" s="69"/>
      <c r="N64" s="80"/>
      <c r="O64" s="66"/>
      <c r="P64" s="75"/>
      <c r="Q64" s="65"/>
      <c r="R64" s="66"/>
      <c r="S64" s="75"/>
      <c r="T64" s="65"/>
      <c r="U64" s="49"/>
      <c r="V64" s="76">
        <f t="shared" si="16"/>
        <v>0</v>
      </c>
      <c r="W64" s="65"/>
      <c r="X64" s="49"/>
      <c r="Y64" s="76"/>
      <c r="Z64" s="76"/>
      <c r="AA64" s="49"/>
      <c r="AB64" s="76"/>
      <c r="AC64" s="70">
        <f t="shared" si="20"/>
        <v>0</v>
      </c>
      <c r="AD64" s="49"/>
      <c r="AE64" s="76"/>
      <c r="AF64" s="70">
        <f t="shared" si="22"/>
        <v>0</v>
      </c>
      <c r="AG64" s="49"/>
      <c r="AH64" s="76"/>
      <c r="AI64" s="70">
        <f t="shared" si="24"/>
        <v>0</v>
      </c>
      <c r="AJ64" s="49"/>
      <c r="AK64" s="76"/>
      <c r="AL64" s="70">
        <f t="shared" si="26"/>
        <v>0</v>
      </c>
      <c r="AM64" s="49"/>
      <c r="AN64" s="76"/>
      <c r="AO64" s="70">
        <f t="shared" si="105"/>
        <v>0</v>
      </c>
    </row>
    <row r="65" spans="2:41" s="9" customFormat="1" ht="18" outlineLevel="2" x14ac:dyDescent="0.25">
      <c r="B65" s="23"/>
      <c r="C65" s="23"/>
      <c r="D65" s="163" t="s">
        <v>54</v>
      </c>
      <c r="E65" s="164"/>
      <c r="F65" s="63">
        <v>42.66</v>
      </c>
      <c r="G65" s="51" t="s">
        <v>68</v>
      </c>
      <c r="H65" s="64">
        <v>724.31100000000004</v>
      </c>
      <c r="I65" s="88">
        <f t="shared" si="106"/>
        <v>30899.107260000001</v>
      </c>
      <c r="J65" s="67">
        <f t="shared" ref="J65:J69" si="200">SUM(O65,R65,U65,X65,AA65,AD65,AG65,AJ65)</f>
        <v>42.66</v>
      </c>
      <c r="K65" s="83">
        <f t="shared" si="108"/>
        <v>30899.107260000001</v>
      </c>
      <c r="L65" s="37">
        <f t="shared" si="109"/>
        <v>1</v>
      </c>
      <c r="M65" s="68">
        <f t="shared" si="145"/>
        <v>0</v>
      </c>
      <c r="N65" s="81">
        <f t="shared" si="111"/>
        <v>0</v>
      </c>
      <c r="O65" s="49"/>
      <c r="P65" s="76">
        <f t="shared" si="112"/>
        <v>0</v>
      </c>
      <c r="Q65" s="70">
        <f t="shared" si="113"/>
        <v>0</v>
      </c>
      <c r="R65" s="49"/>
      <c r="S65" s="76">
        <f t="shared" si="114"/>
        <v>0</v>
      </c>
      <c r="T65" s="70">
        <f t="shared" si="115"/>
        <v>0</v>
      </c>
      <c r="U65" s="49"/>
      <c r="V65" s="76">
        <f t="shared" si="16"/>
        <v>0</v>
      </c>
      <c r="W65" s="70">
        <f t="shared" si="116"/>
        <v>0</v>
      </c>
      <c r="X65" s="63">
        <v>42.66</v>
      </c>
      <c r="Y65" s="76">
        <f t="shared" si="17"/>
        <v>30899.107260000001</v>
      </c>
      <c r="Z65" s="70">
        <f t="shared" ref="Z65:Z69" si="201">IFERROR(Y65/$I65,0)</f>
        <v>1</v>
      </c>
      <c r="AA65" s="49"/>
      <c r="AB65" s="76">
        <f t="shared" ref="AB65:AB69" si="202">AA65*$H65</f>
        <v>0</v>
      </c>
      <c r="AC65" s="70">
        <f t="shared" si="20"/>
        <v>0</v>
      </c>
      <c r="AD65" s="49"/>
      <c r="AE65" s="76">
        <f t="shared" ref="AE65:AE69" si="203">AD65*$H65</f>
        <v>0</v>
      </c>
      <c r="AF65" s="70">
        <f t="shared" si="22"/>
        <v>0</v>
      </c>
      <c r="AG65" s="49"/>
      <c r="AH65" s="76">
        <f t="shared" ref="AH65:AH69" si="204">AG65*$H65</f>
        <v>0</v>
      </c>
      <c r="AI65" s="70">
        <f t="shared" si="24"/>
        <v>0</v>
      </c>
      <c r="AJ65" s="49"/>
      <c r="AK65" s="76">
        <f t="shared" ref="AK65:AK69" si="205">AJ65*$H65</f>
        <v>0</v>
      </c>
      <c r="AL65" s="70">
        <f t="shared" si="26"/>
        <v>0</v>
      </c>
      <c r="AM65" s="49"/>
      <c r="AN65" s="76">
        <f t="shared" ref="AN65:AN69" si="206">AM65*$H65</f>
        <v>0</v>
      </c>
      <c r="AO65" s="70">
        <f t="shared" si="105"/>
        <v>0</v>
      </c>
    </row>
    <row r="66" spans="2:41" s="9" customFormat="1" ht="18" outlineLevel="2" x14ac:dyDescent="0.25">
      <c r="B66" s="23"/>
      <c r="C66" s="23"/>
      <c r="D66" s="163" t="s">
        <v>55</v>
      </c>
      <c r="E66" s="164"/>
      <c r="F66" s="63">
        <v>28.82</v>
      </c>
      <c r="G66" s="51" t="s">
        <v>68</v>
      </c>
      <c r="H66" s="64">
        <v>724.31100000000004</v>
      </c>
      <c r="I66" s="88">
        <f t="shared" si="106"/>
        <v>20874.64302</v>
      </c>
      <c r="J66" s="67">
        <f t="shared" si="200"/>
        <v>28.82</v>
      </c>
      <c r="K66" s="83">
        <f t="shared" ref="K66:K69" si="207">J66*H66</f>
        <v>20874.64302</v>
      </c>
      <c r="L66" s="37">
        <f t="shared" ref="L66:L69" si="208">IFERROR(K66/I66, 0)</f>
        <v>1</v>
      </c>
      <c r="M66" s="68">
        <f t="shared" ref="M66:M69" si="209">F66-J66</f>
        <v>0</v>
      </c>
      <c r="N66" s="81">
        <f t="shared" ref="N66:N69" si="210">M66*H66</f>
        <v>0</v>
      </c>
      <c r="O66" s="49"/>
      <c r="P66" s="76">
        <f t="shared" si="112"/>
        <v>0</v>
      </c>
      <c r="Q66" s="70">
        <f t="shared" si="113"/>
        <v>0</v>
      </c>
      <c r="R66" s="49"/>
      <c r="S66" s="76">
        <f t="shared" si="114"/>
        <v>0</v>
      </c>
      <c r="T66" s="70">
        <f t="shared" si="115"/>
        <v>0</v>
      </c>
      <c r="U66" s="49"/>
      <c r="V66" s="76">
        <f t="shared" si="16"/>
        <v>0</v>
      </c>
      <c r="W66" s="70">
        <f t="shared" si="116"/>
        <v>0</v>
      </c>
      <c r="X66" s="63">
        <v>28.82</v>
      </c>
      <c r="Y66" s="76">
        <f t="shared" si="17"/>
        <v>20874.64302</v>
      </c>
      <c r="Z66" s="70">
        <f t="shared" si="201"/>
        <v>1</v>
      </c>
      <c r="AA66" s="49"/>
      <c r="AB66" s="76">
        <f t="shared" si="202"/>
        <v>0</v>
      </c>
      <c r="AC66" s="70">
        <f t="shared" si="20"/>
        <v>0</v>
      </c>
      <c r="AD66" s="49"/>
      <c r="AE66" s="76">
        <f t="shared" si="203"/>
        <v>0</v>
      </c>
      <c r="AF66" s="70">
        <f t="shared" si="22"/>
        <v>0</v>
      </c>
      <c r="AG66" s="49"/>
      <c r="AH66" s="76">
        <f t="shared" si="204"/>
        <v>0</v>
      </c>
      <c r="AI66" s="70">
        <f t="shared" si="24"/>
        <v>0</v>
      </c>
      <c r="AJ66" s="49"/>
      <c r="AK66" s="76">
        <f t="shared" si="205"/>
        <v>0</v>
      </c>
      <c r="AL66" s="70">
        <f t="shared" si="26"/>
        <v>0</v>
      </c>
      <c r="AM66" s="49"/>
      <c r="AN66" s="76">
        <f t="shared" si="206"/>
        <v>0</v>
      </c>
      <c r="AO66" s="70">
        <f t="shared" si="105"/>
        <v>0</v>
      </c>
    </row>
    <row r="67" spans="2:41" s="9" customFormat="1" ht="18" outlineLevel="2" x14ac:dyDescent="0.25">
      <c r="B67" s="23"/>
      <c r="C67" s="23"/>
      <c r="D67" s="163" t="s">
        <v>56</v>
      </c>
      <c r="E67" s="164"/>
      <c r="F67" s="32">
        <v>85.49</v>
      </c>
      <c r="G67" s="51" t="s">
        <v>68</v>
      </c>
      <c r="H67" s="64">
        <v>724.31100000000004</v>
      </c>
      <c r="I67" s="88">
        <f t="shared" si="106"/>
        <v>61921.347390000003</v>
      </c>
      <c r="J67" s="67">
        <f t="shared" si="200"/>
        <v>85.49</v>
      </c>
      <c r="K67" s="83">
        <f t="shared" si="207"/>
        <v>61921.347390000003</v>
      </c>
      <c r="L67" s="37">
        <f t="shared" si="208"/>
        <v>1</v>
      </c>
      <c r="M67" s="68">
        <f t="shared" si="209"/>
        <v>0</v>
      </c>
      <c r="N67" s="81">
        <f t="shared" si="210"/>
        <v>0</v>
      </c>
      <c r="O67" s="49"/>
      <c r="P67" s="76">
        <f t="shared" si="112"/>
        <v>0</v>
      </c>
      <c r="Q67" s="70">
        <f t="shared" si="113"/>
        <v>0</v>
      </c>
      <c r="R67" s="49"/>
      <c r="S67" s="76">
        <f t="shared" si="114"/>
        <v>0</v>
      </c>
      <c r="T67" s="70">
        <f t="shared" si="115"/>
        <v>0</v>
      </c>
      <c r="U67" s="49"/>
      <c r="V67" s="76">
        <f t="shared" si="16"/>
        <v>0</v>
      </c>
      <c r="W67" s="70">
        <f t="shared" si="116"/>
        <v>0</v>
      </c>
      <c r="X67" s="32">
        <v>85.49</v>
      </c>
      <c r="Y67" s="76">
        <f t="shared" si="17"/>
        <v>61921.347390000003</v>
      </c>
      <c r="Z67" s="70">
        <f t="shared" si="201"/>
        <v>1</v>
      </c>
      <c r="AA67" s="49"/>
      <c r="AB67" s="76">
        <f t="shared" si="202"/>
        <v>0</v>
      </c>
      <c r="AC67" s="70">
        <f t="shared" si="20"/>
        <v>0</v>
      </c>
      <c r="AD67" s="49"/>
      <c r="AE67" s="76">
        <f t="shared" si="203"/>
        <v>0</v>
      </c>
      <c r="AF67" s="70">
        <f t="shared" si="22"/>
        <v>0</v>
      </c>
      <c r="AG67" s="49"/>
      <c r="AH67" s="76">
        <f t="shared" si="204"/>
        <v>0</v>
      </c>
      <c r="AI67" s="70">
        <f t="shared" si="24"/>
        <v>0</v>
      </c>
      <c r="AJ67" s="49"/>
      <c r="AK67" s="76">
        <f t="shared" si="205"/>
        <v>0</v>
      </c>
      <c r="AL67" s="70">
        <f t="shared" si="26"/>
        <v>0</v>
      </c>
      <c r="AM67" s="49"/>
      <c r="AN67" s="76">
        <f t="shared" si="206"/>
        <v>0</v>
      </c>
      <c r="AO67" s="70">
        <f t="shared" si="105"/>
        <v>0</v>
      </c>
    </row>
    <row r="68" spans="2:41" s="9" customFormat="1" ht="18" outlineLevel="2" x14ac:dyDescent="0.25">
      <c r="B68" s="23"/>
      <c r="C68" s="23"/>
      <c r="D68" s="163" t="s">
        <v>96</v>
      </c>
      <c r="E68" s="164"/>
      <c r="F68" s="63">
        <f>F64</f>
        <v>156.96999999999997</v>
      </c>
      <c r="G68" s="51" t="s">
        <v>68</v>
      </c>
      <c r="H68" s="64">
        <v>40.2395</v>
      </c>
      <c r="I68" s="88">
        <f t="shared" si="106"/>
        <v>6316.3943149999986</v>
      </c>
      <c r="J68" s="67">
        <f t="shared" si="200"/>
        <v>156.96999999999997</v>
      </c>
      <c r="K68" s="83">
        <f t="shared" si="207"/>
        <v>6316.3943149999986</v>
      </c>
      <c r="L68" s="37">
        <f t="shared" si="208"/>
        <v>1</v>
      </c>
      <c r="M68" s="68">
        <f t="shared" si="209"/>
        <v>0</v>
      </c>
      <c r="N68" s="81">
        <f t="shared" si="210"/>
        <v>0</v>
      </c>
      <c r="O68" s="49"/>
      <c r="P68" s="76"/>
      <c r="Q68" s="70"/>
      <c r="R68" s="49"/>
      <c r="S68" s="76"/>
      <c r="T68" s="70"/>
      <c r="U68" s="49"/>
      <c r="V68" s="76"/>
      <c r="W68" s="70"/>
      <c r="X68" s="49"/>
      <c r="Y68" s="76">
        <f t="shared" si="17"/>
        <v>0</v>
      </c>
      <c r="Z68" s="70">
        <f t="shared" si="201"/>
        <v>0</v>
      </c>
      <c r="AA68" s="49"/>
      <c r="AB68" s="76">
        <f t="shared" si="202"/>
        <v>0</v>
      </c>
      <c r="AC68" s="70">
        <f t="shared" si="20"/>
        <v>0</v>
      </c>
      <c r="AD68" s="49">
        <f>F68</f>
        <v>156.96999999999997</v>
      </c>
      <c r="AE68" s="76">
        <f t="shared" si="203"/>
        <v>6316.3943149999986</v>
      </c>
      <c r="AF68" s="70">
        <f t="shared" si="22"/>
        <v>1</v>
      </c>
      <c r="AG68" s="49"/>
      <c r="AH68" s="76">
        <f t="shared" si="204"/>
        <v>0</v>
      </c>
      <c r="AI68" s="70">
        <f t="shared" si="24"/>
        <v>0</v>
      </c>
      <c r="AJ68" s="49"/>
      <c r="AK68" s="76">
        <f t="shared" si="205"/>
        <v>0</v>
      </c>
      <c r="AL68" s="70">
        <f t="shared" si="26"/>
        <v>0</v>
      </c>
      <c r="AM68" s="49"/>
      <c r="AN68" s="76">
        <f t="shared" si="206"/>
        <v>0</v>
      </c>
      <c r="AO68" s="70">
        <f t="shared" si="105"/>
        <v>0</v>
      </c>
    </row>
    <row r="69" spans="2:41" s="9" customFormat="1" ht="18" outlineLevel="2" x14ac:dyDescent="0.25">
      <c r="B69" s="23"/>
      <c r="C69" s="23"/>
      <c r="D69" s="163" t="s">
        <v>97</v>
      </c>
      <c r="E69" s="164"/>
      <c r="F69" s="63">
        <f>F64</f>
        <v>156.96999999999997</v>
      </c>
      <c r="G69" s="51" t="s">
        <v>68</v>
      </c>
      <c r="H69" s="64">
        <v>40.2395</v>
      </c>
      <c r="I69" s="88">
        <f t="shared" si="106"/>
        <v>6316.3943149999986</v>
      </c>
      <c r="J69" s="67">
        <f t="shared" si="200"/>
        <v>156.96999999999997</v>
      </c>
      <c r="K69" s="83">
        <f t="shared" si="207"/>
        <v>6316.3943149999986</v>
      </c>
      <c r="L69" s="37">
        <f t="shared" si="208"/>
        <v>1</v>
      </c>
      <c r="M69" s="68">
        <f t="shared" si="209"/>
        <v>0</v>
      </c>
      <c r="N69" s="81">
        <f t="shared" si="210"/>
        <v>0</v>
      </c>
      <c r="O69" s="49"/>
      <c r="P69" s="76"/>
      <c r="Q69" s="70"/>
      <c r="R69" s="49"/>
      <c r="S69" s="76"/>
      <c r="T69" s="70"/>
      <c r="U69" s="49"/>
      <c r="V69" s="76"/>
      <c r="W69" s="70"/>
      <c r="X69" s="49"/>
      <c r="Y69" s="76">
        <f t="shared" si="17"/>
        <v>0</v>
      </c>
      <c r="Z69" s="70">
        <f t="shared" si="201"/>
        <v>0</v>
      </c>
      <c r="AA69" s="49"/>
      <c r="AB69" s="76">
        <f t="shared" si="202"/>
        <v>0</v>
      </c>
      <c r="AC69" s="70">
        <f t="shared" si="20"/>
        <v>0</v>
      </c>
      <c r="AD69" s="49">
        <f>F69</f>
        <v>156.96999999999997</v>
      </c>
      <c r="AE69" s="76">
        <f t="shared" si="203"/>
        <v>6316.3943149999986</v>
      </c>
      <c r="AF69" s="70">
        <f t="shared" si="22"/>
        <v>1</v>
      </c>
      <c r="AG69" s="49"/>
      <c r="AH69" s="76">
        <f t="shared" si="204"/>
        <v>0</v>
      </c>
      <c r="AI69" s="70">
        <f t="shared" si="24"/>
        <v>0</v>
      </c>
      <c r="AJ69" s="49"/>
      <c r="AK69" s="76">
        <f t="shared" si="205"/>
        <v>0</v>
      </c>
      <c r="AL69" s="70">
        <f t="shared" si="26"/>
        <v>0</v>
      </c>
      <c r="AM69" s="49"/>
      <c r="AN69" s="76">
        <f t="shared" si="206"/>
        <v>0</v>
      </c>
      <c r="AO69" s="70">
        <f t="shared" si="105"/>
        <v>0</v>
      </c>
    </row>
    <row r="70" spans="2:41" s="50" customFormat="1" ht="25.35" customHeight="1" outlineLevel="2" x14ac:dyDescent="0.25">
      <c r="B70" s="61"/>
      <c r="C70" s="23"/>
      <c r="D70" s="165" t="s">
        <v>65</v>
      </c>
      <c r="E70" s="166"/>
      <c r="F70" s="63">
        <f>SUM(F71:F73)</f>
        <v>156.96999999999997</v>
      </c>
      <c r="G70" s="51"/>
      <c r="H70" s="64"/>
      <c r="I70" s="88">
        <f>SUM(I71:I75)</f>
        <v>126327.8863</v>
      </c>
      <c r="J70" s="67"/>
      <c r="K70" s="75"/>
      <c r="L70" s="65"/>
      <c r="M70" s="69"/>
      <c r="N70" s="80"/>
      <c r="O70" s="66"/>
      <c r="P70" s="75"/>
      <c r="Q70" s="65"/>
      <c r="R70" s="66"/>
      <c r="S70" s="75"/>
      <c r="T70" s="65"/>
      <c r="U70" s="49"/>
      <c r="V70" s="76">
        <f t="shared" si="16"/>
        <v>0</v>
      </c>
      <c r="W70" s="65"/>
      <c r="X70" s="49"/>
      <c r="Y70" s="76"/>
      <c r="Z70" s="76"/>
      <c r="AA70" s="49"/>
      <c r="AB70" s="76"/>
      <c r="AC70" s="70">
        <f t="shared" si="20"/>
        <v>0</v>
      </c>
      <c r="AD70" s="49"/>
      <c r="AE70" s="76"/>
      <c r="AF70" s="70">
        <f t="shared" si="22"/>
        <v>0</v>
      </c>
      <c r="AG70" s="49"/>
      <c r="AH70" s="76"/>
      <c r="AI70" s="70">
        <f t="shared" si="24"/>
        <v>0</v>
      </c>
      <c r="AJ70" s="49"/>
      <c r="AK70" s="76"/>
      <c r="AL70" s="70">
        <f t="shared" si="26"/>
        <v>0</v>
      </c>
      <c r="AM70" s="49"/>
      <c r="AN70" s="76"/>
      <c r="AO70" s="70">
        <f t="shared" si="105"/>
        <v>0</v>
      </c>
    </row>
    <row r="71" spans="2:41" s="9" customFormat="1" ht="18" outlineLevel="2" collapsed="1" x14ac:dyDescent="0.25">
      <c r="B71" s="23"/>
      <c r="C71" s="23"/>
      <c r="D71" s="163" t="s">
        <v>54</v>
      </c>
      <c r="E71" s="164"/>
      <c r="F71" s="63">
        <v>42.66</v>
      </c>
      <c r="G71" s="51" t="s">
        <v>68</v>
      </c>
      <c r="H71" s="64">
        <v>724.31100000000004</v>
      </c>
      <c r="I71" s="88">
        <f t="shared" si="106"/>
        <v>30899.107260000001</v>
      </c>
      <c r="J71" s="67">
        <f t="shared" ref="J71:J75" si="211">SUM(O71,R71,U71,X71,AA71,AD71,AG71,AJ71)</f>
        <v>42.66</v>
      </c>
      <c r="K71" s="83">
        <f t="shared" ref="K71:K167" si="212">J71*H71</f>
        <v>30899.107260000001</v>
      </c>
      <c r="L71" s="37">
        <f t="shared" ref="L71:L167" si="213">IFERROR(K71/I71, 0)</f>
        <v>1</v>
      </c>
      <c r="M71" s="68">
        <f t="shared" ref="M71:M167" si="214">F71-J71</f>
        <v>0</v>
      </c>
      <c r="N71" s="81">
        <f t="shared" ref="N71:N167" si="215">M71*H71</f>
        <v>0</v>
      </c>
      <c r="O71" s="49"/>
      <c r="P71" s="76">
        <f t="shared" si="112"/>
        <v>0</v>
      </c>
      <c r="Q71" s="70">
        <f t="shared" si="113"/>
        <v>0</v>
      </c>
      <c r="R71" s="49"/>
      <c r="S71" s="76">
        <f t="shared" si="114"/>
        <v>0</v>
      </c>
      <c r="T71" s="70">
        <f t="shared" si="115"/>
        <v>0</v>
      </c>
      <c r="U71" s="49"/>
      <c r="V71" s="76">
        <f t="shared" si="16"/>
        <v>0</v>
      </c>
      <c r="W71" s="70">
        <f t="shared" si="116"/>
        <v>0</v>
      </c>
      <c r="X71" s="63">
        <v>42.66</v>
      </c>
      <c r="Y71" s="76">
        <f t="shared" si="17"/>
        <v>30899.107260000001</v>
      </c>
      <c r="Z71" s="70">
        <f t="shared" ref="Z71:Z75" si="216">IFERROR(Y71/$I71,0)</f>
        <v>1</v>
      </c>
      <c r="AA71" s="49"/>
      <c r="AB71" s="76">
        <f t="shared" ref="AB71:AB75" si="217">AA71*$H71</f>
        <v>0</v>
      </c>
      <c r="AC71" s="70">
        <f t="shared" si="20"/>
        <v>0</v>
      </c>
      <c r="AD71" s="49"/>
      <c r="AE71" s="76">
        <f t="shared" ref="AE71:AE75" si="218">AD71*$H71</f>
        <v>0</v>
      </c>
      <c r="AF71" s="70">
        <f t="shared" si="22"/>
        <v>0</v>
      </c>
      <c r="AG71" s="49"/>
      <c r="AH71" s="76">
        <f t="shared" ref="AH71:AH75" si="219">AG71*$H71</f>
        <v>0</v>
      </c>
      <c r="AI71" s="70">
        <f t="shared" si="24"/>
        <v>0</v>
      </c>
      <c r="AJ71" s="49"/>
      <c r="AK71" s="76">
        <f t="shared" ref="AK71:AK75" si="220">AJ71*$H71</f>
        <v>0</v>
      </c>
      <c r="AL71" s="70">
        <f t="shared" si="26"/>
        <v>0</v>
      </c>
      <c r="AM71" s="49"/>
      <c r="AN71" s="76">
        <f t="shared" ref="AN71:AN75" si="221">AM71*$H71</f>
        <v>0</v>
      </c>
      <c r="AO71" s="70">
        <f t="shared" si="105"/>
        <v>0</v>
      </c>
    </row>
    <row r="72" spans="2:41" s="9" customFormat="1" ht="18" outlineLevel="2" x14ac:dyDescent="0.25">
      <c r="B72" s="23"/>
      <c r="C72" s="23"/>
      <c r="D72" s="163" t="s">
        <v>55</v>
      </c>
      <c r="E72" s="164"/>
      <c r="F72" s="63">
        <v>28.82</v>
      </c>
      <c r="G72" s="51" t="s">
        <v>68</v>
      </c>
      <c r="H72" s="64">
        <v>724.31100000000004</v>
      </c>
      <c r="I72" s="88">
        <f t="shared" si="106"/>
        <v>20874.64302</v>
      </c>
      <c r="J72" s="67">
        <f t="shared" si="211"/>
        <v>28.82</v>
      </c>
      <c r="K72" s="83">
        <f t="shared" ref="K72:K75" si="222">J72*H72</f>
        <v>20874.64302</v>
      </c>
      <c r="L72" s="37">
        <f t="shared" ref="L72:L75" si="223">IFERROR(K72/I72, 0)</f>
        <v>1</v>
      </c>
      <c r="M72" s="68">
        <f t="shared" ref="M72:M75" si="224">F72-J72</f>
        <v>0</v>
      </c>
      <c r="N72" s="81">
        <f t="shared" ref="N72:N75" si="225">M72*H72</f>
        <v>0</v>
      </c>
      <c r="O72" s="49"/>
      <c r="P72" s="76">
        <f t="shared" si="112"/>
        <v>0</v>
      </c>
      <c r="Q72" s="70">
        <f t="shared" si="113"/>
        <v>0</v>
      </c>
      <c r="R72" s="49"/>
      <c r="S72" s="76">
        <f t="shared" si="114"/>
        <v>0</v>
      </c>
      <c r="T72" s="70">
        <f t="shared" si="115"/>
        <v>0</v>
      </c>
      <c r="U72" s="49"/>
      <c r="V72" s="76">
        <f t="shared" si="16"/>
        <v>0</v>
      </c>
      <c r="W72" s="70">
        <f t="shared" si="116"/>
        <v>0</v>
      </c>
      <c r="X72" s="63">
        <v>28.82</v>
      </c>
      <c r="Y72" s="76">
        <f t="shared" si="17"/>
        <v>20874.64302</v>
      </c>
      <c r="Z72" s="70">
        <f t="shared" si="216"/>
        <v>1</v>
      </c>
      <c r="AA72" s="49"/>
      <c r="AB72" s="76">
        <f t="shared" si="217"/>
        <v>0</v>
      </c>
      <c r="AC72" s="70">
        <f t="shared" si="20"/>
        <v>0</v>
      </c>
      <c r="AD72" s="49"/>
      <c r="AE72" s="76">
        <f t="shared" si="218"/>
        <v>0</v>
      </c>
      <c r="AF72" s="70">
        <f t="shared" si="22"/>
        <v>0</v>
      </c>
      <c r="AG72" s="49"/>
      <c r="AH72" s="76">
        <f t="shared" si="219"/>
        <v>0</v>
      </c>
      <c r="AI72" s="70">
        <f t="shared" si="24"/>
        <v>0</v>
      </c>
      <c r="AJ72" s="49"/>
      <c r="AK72" s="76">
        <f t="shared" si="220"/>
        <v>0</v>
      </c>
      <c r="AL72" s="70">
        <f t="shared" si="26"/>
        <v>0</v>
      </c>
      <c r="AM72" s="49"/>
      <c r="AN72" s="76">
        <f t="shared" si="221"/>
        <v>0</v>
      </c>
      <c r="AO72" s="70">
        <f t="shared" si="105"/>
        <v>0</v>
      </c>
    </row>
    <row r="73" spans="2:41" s="9" customFormat="1" ht="18" outlineLevel="2" x14ac:dyDescent="0.25">
      <c r="B73" s="23"/>
      <c r="C73" s="23"/>
      <c r="D73" s="163" t="s">
        <v>56</v>
      </c>
      <c r="E73" s="164"/>
      <c r="F73" s="32">
        <v>85.49</v>
      </c>
      <c r="G73" s="51" t="s">
        <v>68</v>
      </c>
      <c r="H73" s="64">
        <v>724.31100000000004</v>
      </c>
      <c r="I73" s="88">
        <f t="shared" si="106"/>
        <v>61921.347390000003</v>
      </c>
      <c r="J73" s="67">
        <f t="shared" si="211"/>
        <v>85.49</v>
      </c>
      <c r="K73" s="83">
        <f t="shared" si="222"/>
        <v>61921.347390000003</v>
      </c>
      <c r="L73" s="37">
        <f t="shared" si="223"/>
        <v>1</v>
      </c>
      <c r="M73" s="68">
        <f t="shared" si="224"/>
        <v>0</v>
      </c>
      <c r="N73" s="81">
        <f t="shared" si="225"/>
        <v>0</v>
      </c>
      <c r="O73" s="49"/>
      <c r="P73" s="76">
        <f t="shared" si="112"/>
        <v>0</v>
      </c>
      <c r="Q73" s="70">
        <f t="shared" si="113"/>
        <v>0</v>
      </c>
      <c r="R73" s="49"/>
      <c r="S73" s="76">
        <f t="shared" si="114"/>
        <v>0</v>
      </c>
      <c r="T73" s="70">
        <f t="shared" si="115"/>
        <v>0</v>
      </c>
      <c r="U73" s="49"/>
      <c r="V73" s="76">
        <f t="shared" si="16"/>
        <v>0</v>
      </c>
      <c r="W73" s="70">
        <f t="shared" si="116"/>
        <v>0</v>
      </c>
      <c r="X73" s="32">
        <v>85.49</v>
      </c>
      <c r="Y73" s="76">
        <f t="shared" si="17"/>
        <v>61921.347390000003</v>
      </c>
      <c r="Z73" s="70">
        <f t="shared" si="216"/>
        <v>1</v>
      </c>
      <c r="AA73" s="49"/>
      <c r="AB73" s="76">
        <f t="shared" si="217"/>
        <v>0</v>
      </c>
      <c r="AC73" s="70">
        <f t="shared" si="20"/>
        <v>0</v>
      </c>
      <c r="AD73" s="49"/>
      <c r="AE73" s="76">
        <f t="shared" si="218"/>
        <v>0</v>
      </c>
      <c r="AF73" s="70">
        <f t="shared" ref="AF73:AF148" si="226">IFERROR(AE73/$I73,0)</f>
        <v>0</v>
      </c>
      <c r="AG73" s="49"/>
      <c r="AH73" s="76">
        <f t="shared" si="219"/>
        <v>0</v>
      </c>
      <c r="AI73" s="70">
        <f t="shared" ref="AI73:AI148" si="227">IFERROR(AH73/$I73,0)</f>
        <v>0</v>
      </c>
      <c r="AJ73" s="49"/>
      <c r="AK73" s="76">
        <f t="shared" si="220"/>
        <v>0</v>
      </c>
      <c r="AL73" s="70">
        <f t="shared" ref="AL73:AL148" si="228">IFERROR(AK73/$I73,0)</f>
        <v>0</v>
      </c>
      <c r="AM73" s="49"/>
      <c r="AN73" s="76">
        <f t="shared" si="221"/>
        <v>0</v>
      </c>
      <c r="AO73" s="70">
        <f t="shared" si="105"/>
        <v>0</v>
      </c>
    </row>
    <row r="74" spans="2:41" s="9" customFormat="1" ht="18" outlineLevel="2" x14ac:dyDescent="0.25">
      <c r="B74" s="23"/>
      <c r="C74" s="23"/>
      <c r="D74" s="163" t="s">
        <v>96</v>
      </c>
      <c r="E74" s="164"/>
      <c r="F74" s="63">
        <f>F70</f>
        <v>156.96999999999997</v>
      </c>
      <c r="G74" s="51" t="s">
        <v>68</v>
      </c>
      <c r="H74" s="64">
        <v>40.2395</v>
      </c>
      <c r="I74" s="88">
        <f t="shared" si="106"/>
        <v>6316.3943149999986</v>
      </c>
      <c r="J74" s="67">
        <f t="shared" si="211"/>
        <v>156.96999999999997</v>
      </c>
      <c r="K74" s="83">
        <f t="shared" si="222"/>
        <v>6316.3943149999986</v>
      </c>
      <c r="L74" s="37">
        <f t="shared" si="223"/>
        <v>1</v>
      </c>
      <c r="M74" s="68">
        <f t="shared" si="224"/>
        <v>0</v>
      </c>
      <c r="N74" s="81">
        <f t="shared" si="225"/>
        <v>0</v>
      </c>
      <c r="O74" s="49"/>
      <c r="P74" s="76"/>
      <c r="Q74" s="70"/>
      <c r="R74" s="49"/>
      <c r="S74" s="76"/>
      <c r="T74" s="70"/>
      <c r="U74" s="49"/>
      <c r="V74" s="76"/>
      <c r="W74" s="70"/>
      <c r="X74" s="49"/>
      <c r="Y74" s="76">
        <f t="shared" si="17"/>
        <v>0</v>
      </c>
      <c r="Z74" s="70">
        <f t="shared" si="216"/>
        <v>0</v>
      </c>
      <c r="AA74" s="49"/>
      <c r="AB74" s="76">
        <f t="shared" si="217"/>
        <v>0</v>
      </c>
      <c r="AC74" s="70">
        <f t="shared" si="20"/>
        <v>0</v>
      </c>
      <c r="AD74" s="49">
        <f>F74</f>
        <v>156.96999999999997</v>
      </c>
      <c r="AE74" s="76">
        <f t="shared" si="218"/>
        <v>6316.3943149999986</v>
      </c>
      <c r="AF74" s="70">
        <f t="shared" si="226"/>
        <v>1</v>
      </c>
      <c r="AG74" s="49"/>
      <c r="AH74" s="76">
        <f t="shared" si="219"/>
        <v>0</v>
      </c>
      <c r="AI74" s="70">
        <f t="shared" si="227"/>
        <v>0</v>
      </c>
      <c r="AJ74" s="49"/>
      <c r="AK74" s="76">
        <f t="shared" si="220"/>
        <v>0</v>
      </c>
      <c r="AL74" s="70">
        <f t="shared" si="228"/>
        <v>0</v>
      </c>
      <c r="AM74" s="49"/>
      <c r="AN74" s="76">
        <f t="shared" si="221"/>
        <v>0</v>
      </c>
      <c r="AO74" s="70">
        <f t="shared" si="105"/>
        <v>0</v>
      </c>
    </row>
    <row r="75" spans="2:41" s="9" customFormat="1" ht="18" outlineLevel="2" x14ac:dyDescent="0.25">
      <c r="B75" s="23"/>
      <c r="C75" s="23"/>
      <c r="D75" s="163" t="s">
        <v>97</v>
      </c>
      <c r="E75" s="164"/>
      <c r="F75" s="63">
        <f>F70</f>
        <v>156.96999999999997</v>
      </c>
      <c r="G75" s="51" t="s">
        <v>68</v>
      </c>
      <c r="H75" s="64">
        <v>40.2395</v>
      </c>
      <c r="I75" s="88">
        <f t="shared" si="106"/>
        <v>6316.3943149999986</v>
      </c>
      <c r="J75" s="67">
        <f t="shared" si="211"/>
        <v>156.96999999999997</v>
      </c>
      <c r="K75" s="83">
        <f t="shared" si="222"/>
        <v>6316.3943149999986</v>
      </c>
      <c r="L75" s="37">
        <f t="shared" si="223"/>
        <v>1</v>
      </c>
      <c r="M75" s="68">
        <f t="shared" si="224"/>
        <v>0</v>
      </c>
      <c r="N75" s="81">
        <f t="shared" si="225"/>
        <v>0</v>
      </c>
      <c r="O75" s="49"/>
      <c r="P75" s="76"/>
      <c r="Q75" s="70"/>
      <c r="R75" s="49"/>
      <c r="S75" s="76"/>
      <c r="T75" s="70"/>
      <c r="U75" s="49"/>
      <c r="V75" s="76"/>
      <c r="W75" s="70"/>
      <c r="X75" s="49"/>
      <c r="Y75" s="76">
        <f t="shared" si="17"/>
        <v>0</v>
      </c>
      <c r="Z75" s="70">
        <f t="shared" si="216"/>
        <v>0</v>
      </c>
      <c r="AA75" s="49"/>
      <c r="AB75" s="76">
        <f t="shared" si="217"/>
        <v>0</v>
      </c>
      <c r="AC75" s="70">
        <f t="shared" si="20"/>
        <v>0</v>
      </c>
      <c r="AD75" s="49">
        <f>F75</f>
        <v>156.96999999999997</v>
      </c>
      <c r="AE75" s="76">
        <f t="shared" si="218"/>
        <v>6316.3943149999986</v>
      </c>
      <c r="AF75" s="70">
        <f t="shared" si="226"/>
        <v>1</v>
      </c>
      <c r="AG75" s="49"/>
      <c r="AH75" s="76">
        <f t="shared" si="219"/>
        <v>0</v>
      </c>
      <c r="AI75" s="70">
        <f t="shared" si="227"/>
        <v>0</v>
      </c>
      <c r="AJ75" s="49"/>
      <c r="AK75" s="76">
        <f t="shared" si="220"/>
        <v>0</v>
      </c>
      <c r="AL75" s="70">
        <f t="shared" si="228"/>
        <v>0</v>
      </c>
      <c r="AM75" s="49"/>
      <c r="AN75" s="76">
        <f t="shared" si="221"/>
        <v>0</v>
      </c>
      <c r="AO75" s="70">
        <f t="shared" si="105"/>
        <v>0</v>
      </c>
    </row>
    <row r="76" spans="2:41" s="50" customFormat="1" ht="25.35" customHeight="1" outlineLevel="2" x14ac:dyDescent="0.25">
      <c r="B76" s="61"/>
      <c r="C76" s="23"/>
      <c r="D76" s="165" t="s">
        <v>66</v>
      </c>
      <c r="E76" s="166"/>
      <c r="F76" s="63">
        <f>SUM(F77:F79)</f>
        <v>156.96999999999997</v>
      </c>
      <c r="G76" s="51"/>
      <c r="H76" s="64"/>
      <c r="I76" s="88">
        <f>SUM(I77:I81)</f>
        <v>126327.8863</v>
      </c>
      <c r="J76" s="67"/>
      <c r="K76" s="75"/>
      <c r="L76" s="65"/>
      <c r="M76" s="69"/>
      <c r="N76" s="80"/>
      <c r="O76" s="66"/>
      <c r="P76" s="75"/>
      <c r="Q76" s="65"/>
      <c r="R76" s="66"/>
      <c r="S76" s="75"/>
      <c r="T76" s="65"/>
      <c r="U76" s="49"/>
      <c r="V76" s="76">
        <f t="shared" si="16"/>
        <v>0</v>
      </c>
      <c r="W76" s="65"/>
      <c r="X76" s="49"/>
      <c r="Y76" s="76"/>
      <c r="Z76" s="76"/>
      <c r="AA76" s="49"/>
      <c r="AB76" s="76"/>
      <c r="AC76" s="70">
        <f t="shared" si="20"/>
        <v>0</v>
      </c>
      <c r="AD76" s="49"/>
      <c r="AE76" s="76"/>
      <c r="AF76" s="70">
        <f t="shared" si="226"/>
        <v>0</v>
      </c>
      <c r="AG76" s="49"/>
      <c r="AH76" s="76"/>
      <c r="AI76" s="70">
        <f t="shared" si="227"/>
        <v>0</v>
      </c>
      <c r="AJ76" s="49"/>
      <c r="AK76" s="76"/>
      <c r="AL76" s="70">
        <f t="shared" si="228"/>
        <v>0</v>
      </c>
      <c r="AM76" s="49"/>
      <c r="AN76" s="76"/>
      <c r="AO76" s="70">
        <f t="shared" si="105"/>
        <v>0</v>
      </c>
    </row>
    <row r="77" spans="2:41" s="9" customFormat="1" ht="18" outlineLevel="2" x14ac:dyDescent="0.25">
      <c r="B77" s="23"/>
      <c r="C77" s="23"/>
      <c r="D77" s="163" t="s">
        <v>54</v>
      </c>
      <c r="E77" s="164"/>
      <c r="F77" s="63">
        <v>42.66</v>
      </c>
      <c r="G77" s="51" t="s">
        <v>68</v>
      </c>
      <c r="H77" s="64">
        <v>724.31100000000004</v>
      </c>
      <c r="I77" s="88">
        <f t="shared" si="106"/>
        <v>30899.107260000001</v>
      </c>
      <c r="J77" s="67">
        <f t="shared" ref="J77:J81" si="229">SUM(O77,R77,U77,X77,AA77,AD77,AG77,AJ77)</f>
        <v>42.66</v>
      </c>
      <c r="K77" s="83">
        <f t="shared" si="212"/>
        <v>30899.107260000001</v>
      </c>
      <c r="L77" s="37">
        <f t="shared" si="213"/>
        <v>1</v>
      </c>
      <c r="M77" s="68">
        <f t="shared" si="214"/>
        <v>0</v>
      </c>
      <c r="N77" s="81">
        <f t="shared" si="215"/>
        <v>0</v>
      </c>
      <c r="O77" s="49"/>
      <c r="P77" s="76">
        <f t="shared" si="112"/>
        <v>0</v>
      </c>
      <c r="Q77" s="70">
        <f t="shared" si="113"/>
        <v>0</v>
      </c>
      <c r="R77" s="49"/>
      <c r="S77" s="76">
        <f t="shared" si="114"/>
        <v>0</v>
      </c>
      <c r="T77" s="70">
        <f t="shared" si="115"/>
        <v>0</v>
      </c>
      <c r="U77" s="49"/>
      <c r="V77" s="76">
        <f t="shared" si="16"/>
        <v>0</v>
      </c>
      <c r="W77" s="70">
        <f t="shared" si="116"/>
        <v>0</v>
      </c>
      <c r="X77" s="63">
        <v>42.66</v>
      </c>
      <c r="Y77" s="76">
        <f t="shared" si="17"/>
        <v>30899.107260000001</v>
      </c>
      <c r="Z77" s="70">
        <f t="shared" ref="Z77:Z81" si="230">IFERROR(Y77/$I77,0)</f>
        <v>1</v>
      </c>
      <c r="AA77" s="49"/>
      <c r="AB77" s="76">
        <f t="shared" ref="AB77:AB81" si="231">AA77*$H77</f>
        <v>0</v>
      </c>
      <c r="AC77" s="70">
        <f t="shared" si="20"/>
        <v>0</v>
      </c>
      <c r="AD77" s="49"/>
      <c r="AE77" s="76">
        <f t="shared" ref="AE77:AE81" si="232">AD77*$H77</f>
        <v>0</v>
      </c>
      <c r="AF77" s="70">
        <f t="shared" si="226"/>
        <v>0</v>
      </c>
      <c r="AG77" s="49"/>
      <c r="AH77" s="76">
        <f t="shared" ref="AH77:AH81" si="233">AG77*$H77</f>
        <v>0</v>
      </c>
      <c r="AI77" s="70">
        <f t="shared" si="227"/>
        <v>0</v>
      </c>
      <c r="AJ77" s="49"/>
      <c r="AK77" s="76">
        <f t="shared" ref="AK77:AK81" si="234">AJ77*$H77</f>
        <v>0</v>
      </c>
      <c r="AL77" s="70">
        <f t="shared" si="228"/>
        <v>0</v>
      </c>
      <c r="AM77" s="49"/>
      <c r="AN77" s="76">
        <f t="shared" ref="AN77:AN81" si="235">AM77*$H77</f>
        <v>0</v>
      </c>
      <c r="AO77" s="70">
        <f t="shared" si="105"/>
        <v>0</v>
      </c>
    </row>
    <row r="78" spans="2:41" s="9" customFormat="1" ht="18" outlineLevel="2" x14ac:dyDescent="0.25">
      <c r="B78" s="23"/>
      <c r="C78" s="23"/>
      <c r="D78" s="163" t="s">
        <v>55</v>
      </c>
      <c r="E78" s="164"/>
      <c r="F78" s="63">
        <v>28.82</v>
      </c>
      <c r="G78" s="51" t="s">
        <v>68</v>
      </c>
      <c r="H78" s="64">
        <v>724.31100000000004</v>
      </c>
      <c r="I78" s="88">
        <f t="shared" si="106"/>
        <v>20874.64302</v>
      </c>
      <c r="J78" s="67">
        <f t="shared" si="229"/>
        <v>28.82</v>
      </c>
      <c r="K78" s="83">
        <f t="shared" ref="K78:K81" si="236">J78*H78</f>
        <v>20874.64302</v>
      </c>
      <c r="L78" s="37">
        <f t="shared" ref="L78:L81" si="237">IFERROR(K78/I78, 0)</f>
        <v>1</v>
      </c>
      <c r="M78" s="68">
        <f t="shared" ref="M78:M81" si="238">F78-J78</f>
        <v>0</v>
      </c>
      <c r="N78" s="81">
        <f t="shared" ref="N78:N81" si="239">M78*H78</f>
        <v>0</v>
      </c>
      <c r="O78" s="49"/>
      <c r="P78" s="76">
        <f t="shared" si="112"/>
        <v>0</v>
      </c>
      <c r="Q78" s="70">
        <f t="shared" si="113"/>
        <v>0</v>
      </c>
      <c r="R78" s="49"/>
      <c r="S78" s="76">
        <f t="shared" si="114"/>
        <v>0</v>
      </c>
      <c r="T78" s="70">
        <f t="shared" si="115"/>
        <v>0</v>
      </c>
      <c r="U78" s="49"/>
      <c r="V78" s="76">
        <f t="shared" si="16"/>
        <v>0</v>
      </c>
      <c r="W78" s="70">
        <f t="shared" si="116"/>
        <v>0</v>
      </c>
      <c r="X78" s="63">
        <v>28.82</v>
      </c>
      <c r="Y78" s="76">
        <f t="shared" si="17"/>
        <v>20874.64302</v>
      </c>
      <c r="Z78" s="70">
        <f t="shared" si="230"/>
        <v>1</v>
      </c>
      <c r="AA78" s="49"/>
      <c r="AB78" s="76">
        <f t="shared" si="231"/>
        <v>0</v>
      </c>
      <c r="AC78" s="70">
        <f t="shared" ref="AC78:AC153" si="240">IFERROR(AB78/$I78,0)</f>
        <v>0</v>
      </c>
      <c r="AD78" s="49"/>
      <c r="AE78" s="76">
        <f t="shared" si="232"/>
        <v>0</v>
      </c>
      <c r="AF78" s="70">
        <f t="shared" si="226"/>
        <v>0</v>
      </c>
      <c r="AG78" s="49"/>
      <c r="AH78" s="76">
        <f t="shared" si="233"/>
        <v>0</v>
      </c>
      <c r="AI78" s="70">
        <f t="shared" si="227"/>
        <v>0</v>
      </c>
      <c r="AJ78" s="49"/>
      <c r="AK78" s="76">
        <f t="shared" si="234"/>
        <v>0</v>
      </c>
      <c r="AL78" s="70">
        <f t="shared" si="228"/>
        <v>0</v>
      </c>
      <c r="AM78" s="49"/>
      <c r="AN78" s="76">
        <f t="shared" si="235"/>
        <v>0</v>
      </c>
      <c r="AO78" s="70">
        <f t="shared" si="105"/>
        <v>0</v>
      </c>
    </row>
    <row r="79" spans="2:41" s="9" customFormat="1" ht="18" outlineLevel="2" x14ac:dyDescent="0.25">
      <c r="B79" s="23"/>
      <c r="C79" s="23"/>
      <c r="D79" s="163" t="s">
        <v>56</v>
      </c>
      <c r="E79" s="164"/>
      <c r="F79" s="32">
        <v>85.49</v>
      </c>
      <c r="G79" s="51" t="s">
        <v>68</v>
      </c>
      <c r="H79" s="64">
        <v>724.31100000000004</v>
      </c>
      <c r="I79" s="88">
        <f t="shared" si="106"/>
        <v>61921.347390000003</v>
      </c>
      <c r="J79" s="67">
        <f t="shared" si="229"/>
        <v>85.49</v>
      </c>
      <c r="K79" s="83">
        <f t="shared" si="236"/>
        <v>61921.347390000003</v>
      </c>
      <c r="L79" s="37">
        <f t="shared" si="237"/>
        <v>1</v>
      </c>
      <c r="M79" s="68">
        <f t="shared" si="238"/>
        <v>0</v>
      </c>
      <c r="N79" s="81">
        <f t="shared" si="239"/>
        <v>0</v>
      </c>
      <c r="O79" s="49"/>
      <c r="P79" s="76">
        <f t="shared" si="112"/>
        <v>0</v>
      </c>
      <c r="Q79" s="70">
        <f t="shared" si="113"/>
        <v>0</v>
      </c>
      <c r="R79" s="49"/>
      <c r="S79" s="76">
        <f t="shared" si="114"/>
        <v>0</v>
      </c>
      <c r="T79" s="70">
        <f t="shared" si="115"/>
        <v>0</v>
      </c>
      <c r="U79" s="49"/>
      <c r="V79" s="76">
        <f t="shared" si="16"/>
        <v>0</v>
      </c>
      <c r="W79" s="70">
        <f t="shared" si="116"/>
        <v>0</v>
      </c>
      <c r="X79" s="32">
        <v>85.49</v>
      </c>
      <c r="Y79" s="76">
        <f t="shared" si="17"/>
        <v>61921.347390000003</v>
      </c>
      <c r="Z79" s="70">
        <f t="shared" si="230"/>
        <v>1</v>
      </c>
      <c r="AA79" s="49"/>
      <c r="AB79" s="76">
        <f t="shared" si="231"/>
        <v>0</v>
      </c>
      <c r="AC79" s="70">
        <f t="shared" si="240"/>
        <v>0</v>
      </c>
      <c r="AD79" s="49"/>
      <c r="AE79" s="76">
        <f t="shared" si="232"/>
        <v>0</v>
      </c>
      <c r="AF79" s="70">
        <f t="shared" si="226"/>
        <v>0</v>
      </c>
      <c r="AG79" s="49"/>
      <c r="AH79" s="76">
        <f t="shared" si="233"/>
        <v>0</v>
      </c>
      <c r="AI79" s="70">
        <f t="shared" si="227"/>
        <v>0</v>
      </c>
      <c r="AJ79" s="49"/>
      <c r="AK79" s="76">
        <f t="shared" si="234"/>
        <v>0</v>
      </c>
      <c r="AL79" s="70">
        <f t="shared" si="228"/>
        <v>0</v>
      </c>
      <c r="AM79" s="49"/>
      <c r="AN79" s="76">
        <f t="shared" si="235"/>
        <v>0</v>
      </c>
      <c r="AO79" s="70">
        <f t="shared" si="105"/>
        <v>0</v>
      </c>
    </row>
    <row r="80" spans="2:41" s="9" customFormat="1" ht="18" outlineLevel="2" x14ac:dyDescent="0.25">
      <c r="B80" s="23"/>
      <c r="C80" s="23"/>
      <c r="D80" s="163" t="s">
        <v>96</v>
      </c>
      <c r="E80" s="164"/>
      <c r="F80" s="63">
        <f>F76</f>
        <v>156.96999999999997</v>
      </c>
      <c r="G80" s="51" t="s">
        <v>68</v>
      </c>
      <c r="H80" s="64">
        <v>40.2395</v>
      </c>
      <c r="I80" s="88">
        <f t="shared" si="106"/>
        <v>6316.3943149999986</v>
      </c>
      <c r="J80" s="67">
        <f t="shared" si="229"/>
        <v>156.96999999999997</v>
      </c>
      <c r="K80" s="83">
        <f t="shared" si="236"/>
        <v>6316.3943149999986</v>
      </c>
      <c r="L80" s="37">
        <f t="shared" si="237"/>
        <v>1</v>
      </c>
      <c r="M80" s="68">
        <f t="shared" si="238"/>
        <v>0</v>
      </c>
      <c r="N80" s="81">
        <f t="shared" si="239"/>
        <v>0</v>
      </c>
      <c r="O80" s="49"/>
      <c r="P80" s="76"/>
      <c r="Q80" s="70"/>
      <c r="R80" s="49"/>
      <c r="S80" s="76"/>
      <c r="T80" s="70"/>
      <c r="U80" s="49"/>
      <c r="V80" s="76"/>
      <c r="W80" s="70"/>
      <c r="X80" s="49"/>
      <c r="Y80" s="76">
        <f t="shared" si="17"/>
        <v>0</v>
      </c>
      <c r="Z80" s="70">
        <f t="shared" si="230"/>
        <v>0</v>
      </c>
      <c r="AA80" s="49"/>
      <c r="AB80" s="76">
        <f t="shared" si="231"/>
        <v>0</v>
      </c>
      <c r="AC80" s="70">
        <f t="shared" si="240"/>
        <v>0</v>
      </c>
      <c r="AD80" s="49">
        <f>F80</f>
        <v>156.96999999999997</v>
      </c>
      <c r="AE80" s="76">
        <f t="shared" si="232"/>
        <v>6316.3943149999986</v>
      </c>
      <c r="AF80" s="70">
        <f t="shared" si="226"/>
        <v>1</v>
      </c>
      <c r="AG80" s="49"/>
      <c r="AH80" s="76">
        <f t="shared" si="233"/>
        <v>0</v>
      </c>
      <c r="AI80" s="70">
        <f t="shared" si="227"/>
        <v>0</v>
      </c>
      <c r="AJ80" s="49"/>
      <c r="AK80" s="76">
        <f t="shared" si="234"/>
        <v>0</v>
      </c>
      <c r="AL80" s="70">
        <f t="shared" si="228"/>
        <v>0</v>
      </c>
      <c r="AM80" s="49"/>
      <c r="AN80" s="76">
        <f t="shared" si="235"/>
        <v>0</v>
      </c>
      <c r="AO80" s="70">
        <f t="shared" si="105"/>
        <v>0</v>
      </c>
    </row>
    <row r="81" spans="2:41" s="9" customFormat="1" ht="18" outlineLevel="2" x14ac:dyDescent="0.25">
      <c r="B81" s="23"/>
      <c r="C81" s="23"/>
      <c r="D81" s="163" t="s">
        <v>97</v>
      </c>
      <c r="E81" s="164"/>
      <c r="F81" s="63">
        <f>F76</f>
        <v>156.96999999999997</v>
      </c>
      <c r="G81" s="51" t="s">
        <v>68</v>
      </c>
      <c r="H81" s="64">
        <v>40.2395</v>
      </c>
      <c r="I81" s="88">
        <f t="shared" si="106"/>
        <v>6316.3943149999986</v>
      </c>
      <c r="J81" s="67">
        <f t="shared" si="229"/>
        <v>156.96999999999997</v>
      </c>
      <c r="K81" s="83">
        <f t="shared" si="236"/>
        <v>6316.3943149999986</v>
      </c>
      <c r="L81" s="37">
        <f t="shared" si="237"/>
        <v>1</v>
      </c>
      <c r="M81" s="68">
        <f t="shared" si="238"/>
        <v>0</v>
      </c>
      <c r="N81" s="81">
        <f t="shared" si="239"/>
        <v>0</v>
      </c>
      <c r="O81" s="49"/>
      <c r="P81" s="76"/>
      <c r="Q81" s="70"/>
      <c r="R81" s="49"/>
      <c r="S81" s="76"/>
      <c r="T81" s="70"/>
      <c r="U81" s="49"/>
      <c r="V81" s="76"/>
      <c r="W81" s="70"/>
      <c r="X81" s="49"/>
      <c r="Y81" s="76">
        <f t="shared" si="17"/>
        <v>0</v>
      </c>
      <c r="Z81" s="70">
        <f t="shared" si="230"/>
        <v>0</v>
      </c>
      <c r="AA81" s="49"/>
      <c r="AB81" s="76">
        <f t="shared" si="231"/>
        <v>0</v>
      </c>
      <c r="AC81" s="70">
        <f t="shared" si="240"/>
        <v>0</v>
      </c>
      <c r="AD81" s="49">
        <f>F81</f>
        <v>156.96999999999997</v>
      </c>
      <c r="AE81" s="76">
        <f t="shared" si="232"/>
        <v>6316.3943149999986</v>
      </c>
      <c r="AF81" s="70">
        <f t="shared" si="226"/>
        <v>1</v>
      </c>
      <c r="AG81" s="49"/>
      <c r="AH81" s="76">
        <f t="shared" si="233"/>
        <v>0</v>
      </c>
      <c r="AI81" s="70">
        <f t="shared" si="227"/>
        <v>0</v>
      </c>
      <c r="AJ81" s="49"/>
      <c r="AK81" s="76">
        <f t="shared" si="234"/>
        <v>0</v>
      </c>
      <c r="AL81" s="70">
        <f t="shared" si="228"/>
        <v>0</v>
      </c>
      <c r="AM81" s="49"/>
      <c r="AN81" s="76">
        <f t="shared" si="235"/>
        <v>0</v>
      </c>
      <c r="AO81" s="70">
        <f t="shared" si="105"/>
        <v>0</v>
      </c>
    </row>
    <row r="82" spans="2:41" s="50" customFormat="1" ht="25.35" customHeight="1" outlineLevel="2" x14ac:dyDescent="0.25">
      <c r="B82" s="61"/>
      <c r="C82" s="23"/>
      <c r="D82" s="165" t="s">
        <v>67</v>
      </c>
      <c r="E82" s="166"/>
      <c r="F82" s="63">
        <f>SUM(F83:F85)</f>
        <v>156.96999999999997</v>
      </c>
      <c r="G82" s="51"/>
      <c r="H82" s="64"/>
      <c r="I82" s="88">
        <f>SUM(I83:I87)</f>
        <v>126327.8863</v>
      </c>
      <c r="J82" s="67"/>
      <c r="K82" s="75"/>
      <c r="L82" s="65"/>
      <c r="M82" s="69"/>
      <c r="N82" s="80"/>
      <c r="O82" s="66"/>
      <c r="P82" s="75"/>
      <c r="Q82" s="65"/>
      <c r="R82" s="66"/>
      <c r="S82" s="75"/>
      <c r="T82" s="65"/>
      <c r="U82" s="49"/>
      <c r="V82" s="76">
        <f t="shared" si="16"/>
        <v>0</v>
      </c>
      <c r="W82" s="65"/>
      <c r="X82" s="49"/>
      <c r="Y82" s="76"/>
      <c r="Z82" s="76"/>
      <c r="AA82" s="49"/>
      <c r="AB82" s="76"/>
      <c r="AC82" s="70">
        <f t="shared" si="240"/>
        <v>0</v>
      </c>
      <c r="AD82" s="49"/>
      <c r="AE82" s="76"/>
      <c r="AF82" s="70">
        <f t="shared" si="226"/>
        <v>0</v>
      </c>
      <c r="AG82" s="49"/>
      <c r="AH82" s="76"/>
      <c r="AI82" s="70">
        <f t="shared" si="227"/>
        <v>0</v>
      </c>
      <c r="AJ82" s="49"/>
      <c r="AK82" s="76"/>
      <c r="AL82" s="70">
        <f t="shared" si="228"/>
        <v>0</v>
      </c>
      <c r="AM82" s="49"/>
      <c r="AN82" s="76"/>
      <c r="AO82" s="70">
        <f t="shared" si="105"/>
        <v>0</v>
      </c>
    </row>
    <row r="83" spans="2:41" s="9" customFormat="1" ht="18" outlineLevel="2" x14ac:dyDescent="0.25">
      <c r="B83" s="23"/>
      <c r="C83" s="23"/>
      <c r="D83" s="163" t="s">
        <v>54</v>
      </c>
      <c r="E83" s="164"/>
      <c r="F83" s="63">
        <v>42.66</v>
      </c>
      <c r="G83" s="51" t="s">
        <v>68</v>
      </c>
      <c r="H83" s="64">
        <v>724.31100000000004</v>
      </c>
      <c r="I83" s="88">
        <f t="shared" si="106"/>
        <v>30899.107260000001</v>
      </c>
      <c r="J83" s="67">
        <f t="shared" ref="J83:J87" si="241">SUM(O83,R83,U83,X83,AA83,AD83,AG83,AJ83)</f>
        <v>42.66</v>
      </c>
      <c r="K83" s="83">
        <f t="shared" si="212"/>
        <v>30899.107260000001</v>
      </c>
      <c r="L83" s="37">
        <f t="shared" si="213"/>
        <v>1</v>
      </c>
      <c r="M83" s="68">
        <f t="shared" si="214"/>
        <v>0</v>
      </c>
      <c r="N83" s="81">
        <f t="shared" si="215"/>
        <v>0</v>
      </c>
      <c r="O83" s="49"/>
      <c r="P83" s="76">
        <f t="shared" si="112"/>
        <v>0</v>
      </c>
      <c r="Q83" s="70">
        <f t="shared" si="113"/>
        <v>0</v>
      </c>
      <c r="R83" s="49"/>
      <c r="S83" s="76">
        <f t="shared" si="114"/>
        <v>0</v>
      </c>
      <c r="T83" s="70">
        <f t="shared" si="115"/>
        <v>0</v>
      </c>
      <c r="U83" s="49"/>
      <c r="V83" s="76">
        <f t="shared" si="16"/>
        <v>0</v>
      </c>
      <c r="W83" s="70">
        <f t="shared" si="116"/>
        <v>0</v>
      </c>
      <c r="X83" s="63">
        <v>42.66</v>
      </c>
      <c r="Y83" s="76">
        <f>X83*$H83</f>
        <v>30899.107260000001</v>
      </c>
      <c r="Z83" s="70">
        <f t="shared" ref="Z83:Z87" si="242">IFERROR(Y83/$I83,0)</f>
        <v>1</v>
      </c>
      <c r="AA83" s="63"/>
      <c r="AB83" s="76">
        <f t="shared" ref="AB83:AB87" si="243">AA83*$H83</f>
        <v>0</v>
      </c>
      <c r="AC83" s="70">
        <f t="shared" si="240"/>
        <v>0</v>
      </c>
      <c r="AD83" s="49"/>
      <c r="AE83" s="76">
        <f t="shared" ref="AE83:AE87" si="244">AD83*$H83</f>
        <v>0</v>
      </c>
      <c r="AF83" s="70">
        <f t="shared" si="226"/>
        <v>0</v>
      </c>
      <c r="AG83" s="49"/>
      <c r="AH83" s="76">
        <f t="shared" ref="AH83:AH87" si="245">AG83*$H83</f>
        <v>0</v>
      </c>
      <c r="AI83" s="70">
        <f t="shared" si="227"/>
        <v>0</v>
      </c>
      <c r="AJ83" s="49"/>
      <c r="AK83" s="76">
        <f t="shared" ref="AK83:AK87" si="246">AJ83*$H83</f>
        <v>0</v>
      </c>
      <c r="AL83" s="70">
        <f t="shared" si="228"/>
        <v>0</v>
      </c>
      <c r="AM83" s="49"/>
      <c r="AN83" s="76">
        <f t="shared" ref="AN83:AN87" si="247">AM83*$H83</f>
        <v>0</v>
      </c>
      <c r="AO83" s="70">
        <f t="shared" si="105"/>
        <v>0</v>
      </c>
    </row>
    <row r="84" spans="2:41" s="9" customFormat="1" ht="18" outlineLevel="2" x14ac:dyDescent="0.25">
      <c r="B84" s="23"/>
      <c r="C84" s="23"/>
      <c r="D84" s="163" t="s">
        <v>55</v>
      </c>
      <c r="E84" s="164"/>
      <c r="F84" s="63">
        <v>28.82</v>
      </c>
      <c r="G84" s="51" t="s">
        <v>68</v>
      </c>
      <c r="H84" s="64">
        <v>724.31100000000004</v>
      </c>
      <c r="I84" s="88">
        <f t="shared" si="106"/>
        <v>20874.64302</v>
      </c>
      <c r="J84" s="67">
        <f t="shared" si="241"/>
        <v>28.82</v>
      </c>
      <c r="K84" s="83">
        <f t="shared" ref="K84:K87" si="248">J84*H84</f>
        <v>20874.64302</v>
      </c>
      <c r="L84" s="37">
        <f t="shared" ref="L84:L87" si="249">IFERROR(K84/I84, 0)</f>
        <v>1</v>
      </c>
      <c r="M84" s="68">
        <f t="shared" ref="M84:M87" si="250">F84-J84</f>
        <v>0</v>
      </c>
      <c r="N84" s="81">
        <f t="shared" ref="N84:N87" si="251">M84*H84</f>
        <v>0</v>
      </c>
      <c r="O84" s="49"/>
      <c r="P84" s="76">
        <f t="shared" si="112"/>
        <v>0</v>
      </c>
      <c r="Q84" s="70">
        <f t="shared" si="113"/>
        <v>0</v>
      </c>
      <c r="R84" s="49"/>
      <c r="S84" s="76">
        <f t="shared" si="114"/>
        <v>0</v>
      </c>
      <c r="T84" s="70">
        <f t="shared" si="115"/>
        <v>0</v>
      </c>
      <c r="U84" s="49"/>
      <c r="V84" s="76">
        <f t="shared" si="16"/>
        <v>0</v>
      </c>
      <c r="W84" s="70">
        <f t="shared" si="116"/>
        <v>0</v>
      </c>
      <c r="X84" s="63">
        <v>28.82</v>
      </c>
      <c r="Y84" s="76">
        <f t="shared" si="17"/>
        <v>20874.64302</v>
      </c>
      <c r="Z84" s="70">
        <f t="shared" si="242"/>
        <v>1</v>
      </c>
      <c r="AA84" s="63"/>
      <c r="AB84" s="76">
        <f t="shared" si="243"/>
        <v>0</v>
      </c>
      <c r="AC84" s="70">
        <f t="shared" si="240"/>
        <v>0</v>
      </c>
      <c r="AD84" s="49"/>
      <c r="AE84" s="76">
        <f t="shared" si="244"/>
        <v>0</v>
      </c>
      <c r="AF84" s="70">
        <f t="shared" si="226"/>
        <v>0</v>
      </c>
      <c r="AG84" s="49"/>
      <c r="AH84" s="76">
        <f t="shared" si="245"/>
        <v>0</v>
      </c>
      <c r="AI84" s="70">
        <f t="shared" si="227"/>
        <v>0</v>
      </c>
      <c r="AJ84" s="49"/>
      <c r="AK84" s="76">
        <f t="shared" si="246"/>
        <v>0</v>
      </c>
      <c r="AL84" s="70">
        <f t="shared" si="228"/>
        <v>0</v>
      </c>
      <c r="AM84" s="49"/>
      <c r="AN84" s="76">
        <f t="shared" si="247"/>
        <v>0</v>
      </c>
      <c r="AO84" s="70">
        <f t="shared" si="105"/>
        <v>0</v>
      </c>
    </row>
    <row r="85" spans="2:41" s="9" customFormat="1" ht="18" outlineLevel="2" x14ac:dyDescent="0.25">
      <c r="B85" s="23"/>
      <c r="C85" s="23"/>
      <c r="D85" s="163" t="s">
        <v>56</v>
      </c>
      <c r="E85" s="164"/>
      <c r="F85" s="32">
        <v>85.49</v>
      </c>
      <c r="G85" s="51" t="s">
        <v>68</v>
      </c>
      <c r="H85" s="64">
        <v>724.31100000000004</v>
      </c>
      <c r="I85" s="88">
        <f t="shared" si="106"/>
        <v>61921.347390000003</v>
      </c>
      <c r="J85" s="67">
        <f t="shared" si="241"/>
        <v>85.49</v>
      </c>
      <c r="K85" s="83">
        <f t="shared" si="248"/>
        <v>61921.347390000003</v>
      </c>
      <c r="L85" s="37">
        <f t="shared" si="249"/>
        <v>1</v>
      </c>
      <c r="M85" s="68">
        <f t="shared" si="250"/>
        <v>0</v>
      </c>
      <c r="N85" s="81">
        <f t="shared" si="251"/>
        <v>0</v>
      </c>
      <c r="O85" s="49"/>
      <c r="P85" s="76">
        <f t="shared" si="112"/>
        <v>0</v>
      </c>
      <c r="Q85" s="70">
        <f t="shared" si="113"/>
        <v>0</v>
      </c>
      <c r="R85" s="49"/>
      <c r="S85" s="76">
        <f t="shared" si="114"/>
        <v>0</v>
      </c>
      <c r="T85" s="70">
        <f t="shared" si="115"/>
        <v>0</v>
      </c>
      <c r="U85" s="49"/>
      <c r="V85" s="76">
        <f t="shared" si="16"/>
        <v>0</v>
      </c>
      <c r="W85" s="70">
        <f t="shared" si="116"/>
        <v>0</v>
      </c>
      <c r="X85" s="32">
        <v>85.49</v>
      </c>
      <c r="Y85" s="76">
        <f t="shared" si="17"/>
        <v>61921.347390000003</v>
      </c>
      <c r="Z85" s="70">
        <f t="shared" si="242"/>
        <v>1</v>
      </c>
      <c r="AA85" s="32"/>
      <c r="AB85" s="76">
        <f t="shared" si="243"/>
        <v>0</v>
      </c>
      <c r="AC85" s="70">
        <f t="shared" si="240"/>
        <v>0</v>
      </c>
      <c r="AD85" s="49"/>
      <c r="AE85" s="76">
        <f t="shared" si="244"/>
        <v>0</v>
      </c>
      <c r="AF85" s="70">
        <f t="shared" si="226"/>
        <v>0</v>
      </c>
      <c r="AG85" s="49"/>
      <c r="AH85" s="76">
        <f t="shared" si="245"/>
        <v>0</v>
      </c>
      <c r="AI85" s="70">
        <f t="shared" si="227"/>
        <v>0</v>
      </c>
      <c r="AJ85" s="49"/>
      <c r="AK85" s="76">
        <f t="shared" si="246"/>
        <v>0</v>
      </c>
      <c r="AL85" s="70">
        <f t="shared" si="228"/>
        <v>0</v>
      </c>
      <c r="AM85" s="49"/>
      <c r="AN85" s="76">
        <f t="shared" si="247"/>
        <v>0</v>
      </c>
      <c r="AO85" s="70">
        <f t="shared" si="105"/>
        <v>0</v>
      </c>
    </row>
    <row r="86" spans="2:41" s="9" customFormat="1" ht="18" outlineLevel="2" x14ac:dyDescent="0.25">
      <c r="B86" s="23"/>
      <c r="C86" s="23"/>
      <c r="D86" s="163" t="s">
        <v>96</v>
      </c>
      <c r="E86" s="164"/>
      <c r="F86" s="63">
        <f>F82</f>
        <v>156.96999999999997</v>
      </c>
      <c r="G86" s="51" t="s">
        <v>68</v>
      </c>
      <c r="H86" s="64">
        <v>40.2395</v>
      </c>
      <c r="I86" s="88">
        <f t="shared" si="106"/>
        <v>6316.3943149999986</v>
      </c>
      <c r="J86" s="67">
        <f t="shared" si="241"/>
        <v>156.96999999999997</v>
      </c>
      <c r="K86" s="83">
        <f t="shared" si="248"/>
        <v>6316.3943149999986</v>
      </c>
      <c r="L86" s="37">
        <f t="shared" si="249"/>
        <v>1</v>
      </c>
      <c r="M86" s="68">
        <f t="shared" si="250"/>
        <v>0</v>
      </c>
      <c r="N86" s="81">
        <f t="shared" si="251"/>
        <v>0</v>
      </c>
      <c r="O86" s="49"/>
      <c r="P86" s="76"/>
      <c r="Q86" s="70"/>
      <c r="R86" s="49"/>
      <c r="S86" s="76"/>
      <c r="T86" s="70"/>
      <c r="U86" s="49"/>
      <c r="V86" s="76"/>
      <c r="W86" s="70"/>
      <c r="X86" s="49"/>
      <c r="Y86" s="76">
        <f t="shared" si="17"/>
        <v>0</v>
      </c>
      <c r="Z86" s="70">
        <f t="shared" si="242"/>
        <v>0</v>
      </c>
      <c r="AA86" s="49"/>
      <c r="AB86" s="76">
        <f t="shared" si="243"/>
        <v>0</v>
      </c>
      <c r="AC86" s="70">
        <f t="shared" si="240"/>
        <v>0</v>
      </c>
      <c r="AD86" s="49">
        <f>F86</f>
        <v>156.96999999999997</v>
      </c>
      <c r="AE86" s="76">
        <f t="shared" si="244"/>
        <v>6316.3943149999986</v>
      </c>
      <c r="AF86" s="70">
        <f t="shared" si="226"/>
        <v>1</v>
      </c>
      <c r="AG86" s="49"/>
      <c r="AH86" s="76">
        <f t="shared" si="245"/>
        <v>0</v>
      </c>
      <c r="AI86" s="70">
        <f t="shared" si="227"/>
        <v>0</v>
      </c>
      <c r="AJ86" s="49"/>
      <c r="AK86" s="76">
        <f t="shared" si="246"/>
        <v>0</v>
      </c>
      <c r="AL86" s="70">
        <f t="shared" si="228"/>
        <v>0</v>
      </c>
      <c r="AM86" s="49"/>
      <c r="AN86" s="76">
        <f t="shared" si="247"/>
        <v>0</v>
      </c>
      <c r="AO86" s="70">
        <f t="shared" ref="AO86:AO161" si="252">IFERROR(AN86/$I86,0)</f>
        <v>0</v>
      </c>
    </row>
    <row r="87" spans="2:41" s="9" customFormat="1" ht="18" outlineLevel="2" x14ac:dyDescent="0.25">
      <c r="B87" s="23"/>
      <c r="C87" s="23"/>
      <c r="D87" s="163" t="s">
        <v>97</v>
      </c>
      <c r="E87" s="164"/>
      <c r="F87" s="63">
        <f>F82</f>
        <v>156.96999999999997</v>
      </c>
      <c r="G87" s="51" t="s">
        <v>68</v>
      </c>
      <c r="H87" s="64">
        <v>40.2395</v>
      </c>
      <c r="I87" s="88">
        <f t="shared" si="106"/>
        <v>6316.3943149999986</v>
      </c>
      <c r="J87" s="67">
        <f t="shared" si="241"/>
        <v>156.96999999999997</v>
      </c>
      <c r="K87" s="83">
        <f t="shared" si="248"/>
        <v>6316.3943149999986</v>
      </c>
      <c r="L87" s="37">
        <f t="shared" si="249"/>
        <v>1</v>
      </c>
      <c r="M87" s="68">
        <f t="shared" si="250"/>
        <v>0</v>
      </c>
      <c r="N87" s="81">
        <f t="shared" si="251"/>
        <v>0</v>
      </c>
      <c r="O87" s="49"/>
      <c r="P87" s="76"/>
      <c r="Q87" s="70"/>
      <c r="R87" s="49"/>
      <c r="S87" s="76"/>
      <c r="T87" s="70"/>
      <c r="U87" s="49"/>
      <c r="V87" s="76"/>
      <c r="W87" s="70"/>
      <c r="X87" s="49"/>
      <c r="Y87" s="76">
        <f t="shared" si="17"/>
        <v>0</v>
      </c>
      <c r="Z87" s="70">
        <f t="shared" si="242"/>
        <v>0</v>
      </c>
      <c r="AA87" s="49"/>
      <c r="AB87" s="76">
        <f t="shared" si="243"/>
        <v>0</v>
      </c>
      <c r="AC87" s="70">
        <f t="shared" si="240"/>
        <v>0</v>
      </c>
      <c r="AD87" s="49">
        <f>F87</f>
        <v>156.96999999999997</v>
      </c>
      <c r="AE87" s="76">
        <f t="shared" si="244"/>
        <v>6316.3943149999986</v>
      </c>
      <c r="AF87" s="70">
        <f t="shared" si="226"/>
        <v>1</v>
      </c>
      <c r="AG87" s="49"/>
      <c r="AH87" s="76">
        <f t="shared" si="245"/>
        <v>0</v>
      </c>
      <c r="AI87" s="70">
        <f t="shared" si="227"/>
        <v>0</v>
      </c>
      <c r="AJ87" s="49"/>
      <c r="AK87" s="76">
        <f t="shared" si="246"/>
        <v>0</v>
      </c>
      <c r="AL87" s="70">
        <f t="shared" si="228"/>
        <v>0</v>
      </c>
      <c r="AM87" s="49"/>
      <c r="AN87" s="76">
        <f t="shared" si="247"/>
        <v>0</v>
      </c>
      <c r="AO87" s="70">
        <f t="shared" si="252"/>
        <v>0</v>
      </c>
    </row>
    <row r="88" spans="2:41" s="50" customFormat="1" ht="25.35" customHeight="1" outlineLevel="2" x14ac:dyDescent="0.25">
      <c r="B88" s="61"/>
      <c r="C88" s="23"/>
      <c r="D88" s="165" t="s">
        <v>69</v>
      </c>
      <c r="E88" s="166"/>
      <c r="F88" s="63">
        <f>SUM(F89:F91)</f>
        <v>156.96999999999997</v>
      </c>
      <c r="G88" s="51"/>
      <c r="H88" s="64"/>
      <c r="I88" s="88">
        <f>SUM(I89:I93)</f>
        <v>126327.8863</v>
      </c>
      <c r="J88" s="67"/>
      <c r="K88" s="75"/>
      <c r="L88" s="65"/>
      <c r="M88" s="69"/>
      <c r="N88" s="80"/>
      <c r="O88" s="66"/>
      <c r="P88" s="75"/>
      <c r="Q88" s="65"/>
      <c r="R88" s="66"/>
      <c r="S88" s="75"/>
      <c r="T88" s="65"/>
      <c r="U88" s="49"/>
      <c r="V88" s="76">
        <f t="shared" si="16"/>
        <v>0</v>
      </c>
      <c r="W88" s="65"/>
      <c r="X88" s="49"/>
      <c r="Y88" s="76"/>
      <c r="Z88" s="76"/>
      <c r="AA88" s="49"/>
      <c r="AB88" s="76"/>
      <c r="AC88" s="70">
        <f t="shared" si="240"/>
        <v>0</v>
      </c>
      <c r="AD88" s="49"/>
      <c r="AE88" s="76"/>
      <c r="AF88" s="70">
        <f t="shared" si="226"/>
        <v>0</v>
      </c>
      <c r="AG88" s="49"/>
      <c r="AH88" s="76"/>
      <c r="AI88" s="70">
        <f t="shared" si="227"/>
        <v>0</v>
      </c>
      <c r="AJ88" s="49"/>
      <c r="AK88" s="76"/>
      <c r="AL88" s="70">
        <f t="shared" si="228"/>
        <v>0</v>
      </c>
      <c r="AM88" s="49"/>
      <c r="AN88" s="76"/>
      <c r="AO88" s="70">
        <f t="shared" si="252"/>
        <v>0</v>
      </c>
    </row>
    <row r="89" spans="2:41" s="9" customFormat="1" ht="18" outlineLevel="2" x14ac:dyDescent="0.25">
      <c r="B89" s="23"/>
      <c r="C89" s="23"/>
      <c r="D89" s="163" t="s">
        <v>54</v>
      </c>
      <c r="E89" s="164"/>
      <c r="F89" s="32">
        <v>42.66</v>
      </c>
      <c r="G89" s="51" t="s">
        <v>68</v>
      </c>
      <c r="H89" s="64">
        <v>724.31100000000004</v>
      </c>
      <c r="I89" s="88">
        <f t="shared" si="106"/>
        <v>30899.107260000001</v>
      </c>
      <c r="J89" s="67">
        <f t="shared" ref="J89:J93" si="253">SUM(O89,R89,U89,X89,AA89,AD89,AG89,AJ89)</f>
        <v>42.66</v>
      </c>
      <c r="K89" s="83">
        <f t="shared" si="212"/>
        <v>30899.107260000001</v>
      </c>
      <c r="L89" s="37">
        <f t="shared" si="213"/>
        <v>1</v>
      </c>
      <c r="M89" s="68">
        <f t="shared" si="214"/>
        <v>0</v>
      </c>
      <c r="N89" s="81">
        <f t="shared" si="215"/>
        <v>0</v>
      </c>
      <c r="O89" s="49"/>
      <c r="P89" s="76">
        <f t="shared" si="112"/>
        <v>0</v>
      </c>
      <c r="Q89" s="70">
        <f t="shared" si="113"/>
        <v>0</v>
      </c>
      <c r="R89" s="49"/>
      <c r="S89" s="76">
        <f t="shared" si="114"/>
        <v>0</v>
      </c>
      <c r="T89" s="70">
        <f t="shared" si="115"/>
        <v>0</v>
      </c>
      <c r="U89" s="49"/>
      <c r="V89" s="76">
        <f t="shared" si="16"/>
        <v>0</v>
      </c>
      <c r="W89" s="70">
        <f t="shared" si="116"/>
        <v>0</v>
      </c>
      <c r="X89" s="63">
        <v>42.66</v>
      </c>
      <c r="Y89" s="76">
        <f t="shared" si="17"/>
        <v>30899.107260000001</v>
      </c>
      <c r="Z89" s="70">
        <f t="shared" ref="Z89:Z93" si="254">IFERROR(Y89/$I89,0)</f>
        <v>1</v>
      </c>
      <c r="AA89" s="63"/>
      <c r="AB89" s="76">
        <f t="shared" ref="AB89:AB93" si="255">AA89*$H89</f>
        <v>0</v>
      </c>
      <c r="AC89" s="70">
        <f t="shared" si="240"/>
        <v>0</v>
      </c>
      <c r="AD89" s="49"/>
      <c r="AE89" s="76">
        <f t="shared" ref="AE89:AE93" si="256">AD89*$H89</f>
        <v>0</v>
      </c>
      <c r="AF89" s="70">
        <f t="shared" si="226"/>
        <v>0</v>
      </c>
      <c r="AG89" s="49"/>
      <c r="AH89" s="76">
        <f t="shared" ref="AH89:AH93" si="257">AG89*$H89</f>
        <v>0</v>
      </c>
      <c r="AI89" s="70">
        <f t="shared" si="227"/>
        <v>0</v>
      </c>
      <c r="AJ89" s="49"/>
      <c r="AK89" s="76">
        <f t="shared" ref="AK89:AK93" si="258">AJ89*$H89</f>
        <v>0</v>
      </c>
      <c r="AL89" s="70">
        <f t="shared" si="228"/>
        <v>0</v>
      </c>
      <c r="AM89" s="49"/>
      <c r="AN89" s="76">
        <f t="shared" ref="AN89:AN93" si="259">AM89*$H89</f>
        <v>0</v>
      </c>
      <c r="AO89" s="70">
        <f t="shared" si="252"/>
        <v>0</v>
      </c>
    </row>
    <row r="90" spans="2:41" s="9" customFormat="1" ht="18" outlineLevel="2" x14ac:dyDescent="0.25">
      <c r="B90" s="23"/>
      <c r="C90" s="23"/>
      <c r="D90" s="163" t="s">
        <v>55</v>
      </c>
      <c r="E90" s="164"/>
      <c r="F90" s="32">
        <v>28.82</v>
      </c>
      <c r="G90" s="51" t="s">
        <v>68</v>
      </c>
      <c r="H90" s="64">
        <v>724.31100000000004</v>
      </c>
      <c r="I90" s="88">
        <f t="shared" si="106"/>
        <v>20874.64302</v>
      </c>
      <c r="J90" s="67">
        <f t="shared" si="253"/>
        <v>28.82</v>
      </c>
      <c r="K90" s="83">
        <f t="shared" ref="K90:K93" si="260">J90*H90</f>
        <v>20874.64302</v>
      </c>
      <c r="L90" s="37">
        <f t="shared" ref="L90:L93" si="261">IFERROR(K90/I90, 0)</f>
        <v>1</v>
      </c>
      <c r="M90" s="68">
        <f t="shared" ref="M90:M93" si="262">F90-J90</f>
        <v>0</v>
      </c>
      <c r="N90" s="81">
        <f t="shared" ref="N90:N93" si="263">M90*H90</f>
        <v>0</v>
      </c>
      <c r="O90" s="49"/>
      <c r="P90" s="76">
        <f t="shared" si="112"/>
        <v>0</v>
      </c>
      <c r="Q90" s="70">
        <f t="shared" si="113"/>
        <v>0</v>
      </c>
      <c r="R90" s="49"/>
      <c r="S90" s="76">
        <f t="shared" si="114"/>
        <v>0</v>
      </c>
      <c r="T90" s="70">
        <f t="shared" si="115"/>
        <v>0</v>
      </c>
      <c r="U90" s="49"/>
      <c r="V90" s="76">
        <f t="shared" si="16"/>
        <v>0</v>
      </c>
      <c r="W90" s="70">
        <f t="shared" si="116"/>
        <v>0</v>
      </c>
      <c r="X90" s="63">
        <v>28.82</v>
      </c>
      <c r="Y90" s="76">
        <f t="shared" si="17"/>
        <v>20874.64302</v>
      </c>
      <c r="Z90" s="70">
        <f t="shared" si="254"/>
        <v>1</v>
      </c>
      <c r="AA90" s="63"/>
      <c r="AB90" s="76">
        <f t="shared" si="255"/>
        <v>0</v>
      </c>
      <c r="AC90" s="70">
        <f t="shared" si="240"/>
        <v>0</v>
      </c>
      <c r="AD90" s="49"/>
      <c r="AE90" s="76">
        <f t="shared" si="256"/>
        <v>0</v>
      </c>
      <c r="AF90" s="70">
        <f t="shared" si="226"/>
        <v>0</v>
      </c>
      <c r="AG90" s="49"/>
      <c r="AH90" s="76">
        <f t="shared" si="257"/>
        <v>0</v>
      </c>
      <c r="AI90" s="70">
        <f t="shared" si="227"/>
        <v>0</v>
      </c>
      <c r="AJ90" s="49"/>
      <c r="AK90" s="76">
        <f t="shared" si="258"/>
        <v>0</v>
      </c>
      <c r="AL90" s="70">
        <f t="shared" si="228"/>
        <v>0</v>
      </c>
      <c r="AM90" s="49"/>
      <c r="AN90" s="76">
        <f t="shared" si="259"/>
        <v>0</v>
      </c>
      <c r="AO90" s="70">
        <f t="shared" si="252"/>
        <v>0</v>
      </c>
    </row>
    <row r="91" spans="2:41" s="9" customFormat="1" ht="18" outlineLevel="2" x14ac:dyDescent="0.25">
      <c r="B91" s="23"/>
      <c r="C91" s="23"/>
      <c r="D91" s="163" t="s">
        <v>56</v>
      </c>
      <c r="E91" s="164"/>
      <c r="F91" s="32">
        <v>85.49</v>
      </c>
      <c r="G91" s="51" t="s">
        <v>68</v>
      </c>
      <c r="H91" s="64">
        <v>724.31100000000004</v>
      </c>
      <c r="I91" s="88">
        <f t="shared" si="106"/>
        <v>61921.347390000003</v>
      </c>
      <c r="J91" s="67">
        <f t="shared" si="253"/>
        <v>85.49</v>
      </c>
      <c r="K91" s="83">
        <f t="shared" si="260"/>
        <v>61921.347390000003</v>
      </c>
      <c r="L91" s="37">
        <f t="shared" si="261"/>
        <v>1</v>
      </c>
      <c r="M91" s="68">
        <f t="shared" si="262"/>
        <v>0</v>
      </c>
      <c r="N91" s="81">
        <f t="shared" si="263"/>
        <v>0</v>
      </c>
      <c r="O91" s="49"/>
      <c r="P91" s="76">
        <f t="shared" si="112"/>
        <v>0</v>
      </c>
      <c r="Q91" s="70">
        <f t="shared" si="113"/>
        <v>0</v>
      </c>
      <c r="R91" s="49"/>
      <c r="S91" s="76">
        <f t="shared" si="114"/>
        <v>0</v>
      </c>
      <c r="T91" s="70">
        <f t="shared" si="115"/>
        <v>0</v>
      </c>
      <c r="U91" s="49"/>
      <c r="V91" s="76">
        <f t="shared" si="16"/>
        <v>0</v>
      </c>
      <c r="W91" s="70">
        <f t="shared" si="116"/>
        <v>0</v>
      </c>
      <c r="X91" s="32">
        <v>85.49</v>
      </c>
      <c r="Y91" s="76">
        <f t="shared" si="17"/>
        <v>61921.347390000003</v>
      </c>
      <c r="Z91" s="70">
        <f t="shared" si="254"/>
        <v>1</v>
      </c>
      <c r="AA91" s="32"/>
      <c r="AB91" s="76">
        <f t="shared" si="255"/>
        <v>0</v>
      </c>
      <c r="AC91" s="70">
        <f t="shared" si="240"/>
        <v>0</v>
      </c>
      <c r="AD91" s="49"/>
      <c r="AE91" s="76">
        <f t="shared" si="256"/>
        <v>0</v>
      </c>
      <c r="AF91" s="70">
        <f t="shared" si="226"/>
        <v>0</v>
      </c>
      <c r="AG91" s="49"/>
      <c r="AH91" s="76">
        <f t="shared" si="257"/>
        <v>0</v>
      </c>
      <c r="AI91" s="70">
        <f t="shared" si="227"/>
        <v>0</v>
      </c>
      <c r="AJ91" s="49"/>
      <c r="AK91" s="76">
        <f t="shared" si="258"/>
        <v>0</v>
      </c>
      <c r="AL91" s="70">
        <f t="shared" si="228"/>
        <v>0</v>
      </c>
      <c r="AM91" s="49"/>
      <c r="AN91" s="76">
        <f t="shared" si="259"/>
        <v>0</v>
      </c>
      <c r="AO91" s="70">
        <f t="shared" si="252"/>
        <v>0</v>
      </c>
    </row>
    <row r="92" spans="2:41" s="9" customFormat="1" ht="18" outlineLevel="2" x14ac:dyDescent="0.25">
      <c r="B92" s="23"/>
      <c r="C92" s="23"/>
      <c r="D92" s="163" t="s">
        <v>96</v>
      </c>
      <c r="E92" s="164"/>
      <c r="F92" s="63">
        <f>F88</f>
        <v>156.96999999999997</v>
      </c>
      <c r="G92" s="51" t="s">
        <v>68</v>
      </c>
      <c r="H92" s="64">
        <v>40.2395</v>
      </c>
      <c r="I92" s="88">
        <f t="shared" si="106"/>
        <v>6316.3943149999986</v>
      </c>
      <c r="J92" s="67">
        <f t="shared" si="253"/>
        <v>156.96999999999997</v>
      </c>
      <c r="K92" s="83">
        <f t="shared" si="260"/>
        <v>6316.3943149999986</v>
      </c>
      <c r="L92" s="37">
        <f t="shared" si="261"/>
        <v>1</v>
      </c>
      <c r="M92" s="68">
        <f t="shared" si="262"/>
        <v>0</v>
      </c>
      <c r="N92" s="81">
        <f t="shared" si="263"/>
        <v>0</v>
      </c>
      <c r="O92" s="49"/>
      <c r="P92" s="76"/>
      <c r="Q92" s="70"/>
      <c r="R92" s="49"/>
      <c r="S92" s="76"/>
      <c r="T92" s="70"/>
      <c r="U92" s="49"/>
      <c r="V92" s="76"/>
      <c r="W92" s="70"/>
      <c r="X92" s="49"/>
      <c r="Y92" s="76">
        <f t="shared" si="17"/>
        <v>0</v>
      </c>
      <c r="Z92" s="70">
        <f t="shared" si="254"/>
        <v>0</v>
      </c>
      <c r="AA92" s="49"/>
      <c r="AB92" s="76">
        <f t="shared" si="255"/>
        <v>0</v>
      </c>
      <c r="AC92" s="70">
        <f t="shared" si="240"/>
        <v>0</v>
      </c>
      <c r="AD92" s="49"/>
      <c r="AE92" s="76">
        <f t="shared" si="256"/>
        <v>0</v>
      </c>
      <c r="AF92" s="70">
        <f t="shared" si="226"/>
        <v>0</v>
      </c>
      <c r="AG92" s="49">
        <f>F92</f>
        <v>156.96999999999997</v>
      </c>
      <c r="AH92" s="76">
        <f t="shared" si="257"/>
        <v>6316.3943149999986</v>
      </c>
      <c r="AI92" s="70">
        <f t="shared" si="227"/>
        <v>1</v>
      </c>
      <c r="AJ92" s="49"/>
      <c r="AK92" s="76">
        <f t="shared" si="258"/>
        <v>0</v>
      </c>
      <c r="AL92" s="70">
        <f t="shared" si="228"/>
        <v>0</v>
      </c>
      <c r="AM92" s="49"/>
      <c r="AN92" s="76">
        <f t="shared" si="259"/>
        <v>0</v>
      </c>
      <c r="AO92" s="70">
        <f t="shared" si="252"/>
        <v>0</v>
      </c>
    </row>
    <row r="93" spans="2:41" s="9" customFormat="1" ht="18" outlineLevel="2" x14ac:dyDescent="0.25">
      <c r="B93" s="23"/>
      <c r="C93" s="23"/>
      <c r="D93" s="163" t="s">
        <v>97</v>
      </c>
      <c r="E93" s="164"/>
      <c r="F93" s="63">
        <f>F88</f>
        <v>156.96999999999997</v>
      </c>
      <c r="G93" s="51" t="s">
        <v>68</v>
      </c>
      <c r="H93" s="64">
        <v>40.2395</v>
      </c>
      <c r="I93" s="88">
        <f t="shared" si="106"/>
        <v>6316.3943149999986</v>
      </c>
      <c r="J93" s="67">
        <f t="shared" si="253"/>
        <v>156.96999999999997</v>
      </c>
      <c r="K93" s="83">
        <f t="shared" si="260"/>
        <v>6316.3943149999986</v>
      </c>
      <c r="L93" s="37">
        <f t="shared" si="261"/>
        <v>1</v>
      </c>
      <c r="M93" s="68">
        <f t="shared" si="262"/>
        <v>0</v>
      </c>
      <c r="N93" s="81">
        <f t="shared" si="263"/>
        <v>0</v>
      </c>
      <c r="O93" s="49"/>
      <c r="P93" s="76"/>
      <c r="Q93" s="70"/>
      <c r="R93" s="49"/>
      <c r="S93" s="76"/>
      <c r="T93" s="70"/>
      <c r="U93" s="49"/>
      <c r="V93" s="76"/>
      <c r="W93" s="70"/>
      <c r="X93" s="49"/>
      <c r="Y93" s="76">
        <f t="shared" si="17"/>
        <v>0</v>
      </c>
      <c r="Z93" s="70">
        <f t="shared" si="254"/>
        <v>0</v>
      </c>
      <c r="AA93" s="49"/>
      <c r="AB93" s="76">
        <f t="shared" si="255"/>
        <v>0</v>
      </c>
      <c r="AC93" s="70">
        <f t="shared" si="240"/>
        <v>0</v>
      </c>
      <c r="AD93" s="49">
        <f>F93</f>
        <v>156.96999999999997</v>
      </c>
      <c r="AE93" s="76">
        <f t="shared" si="256"/>
        <v>6316.3943149999986</v>
      </c>
      <c r="AF93" s="70">
        <f t="shared" si="226"/>
        <v>1</v>
      </c>
      <c r="AG93" s="49"/>
      <c r="AH93" s="76">
        <f t="shared" si="257"/>
        <v>0</v>
      </c>
      <c r="AI93" s="70">
        <f t="shared" si="227"/>
        <v>0</v>
      </c>
      <c r="AJ93" s="49"/>
      <c r="AK93" s="76">
        <f t="shared" si="258"/>
        <v>0</v>
      </c>
      <c r="AL93" s="70">
        <f t="shared" si="228"/>
        <v>0</v>
      </c>
      <c r="AM93" s="49"/>
      <c r="AN93" s="76">
        <f t="shared" si="259"/>
        <v>0</v>
      </c>
      <c r="AO93" s="70">
        <f t="shared" si="252"/>
        <v>0</v>
      </c>
    </row>
    <row r="94" spans="2:41" s="50" customFormat="1" ht="25.35" customHeight="1" outlineLevel="2" x14ac:dyDescent="0.25">
      <c r="B94" s="61"/>
      <c r="C94" s="23"/>
      <c r="D94" s="165" t="s">
        <v>70</v>
      </c>
      <c r="E94" s="166"/>
      <c r="F94" s="63">
        <f>SUM(F95:F97)</f>
        <v>156.96999999999997</v>
      </c>
      <c r="G94" s="51"/>
      <c r="H94" s="64"/>
      <c r="I94" s="88">
        <f>SUM(I95:I99)</f>
        <v>126327.8863</v>
      </c>
      <c r="J94" s="67"/>
      <c r="K94" s="75"/>
      <c r="L94" s="65"/>
      <c r="M94" s="69"/>
      <c r="N94" s="80"/>
      <c r="O94" s="66"/>
      <c r="P94" s="75"/>
      <c r="Q94" s="65"/>
      <c r="R94" s="66"/>
      <c r="S94" s="75"/>
      <c r="T94" s="65"/>
      <c r="U94" s="49"/>
      <c r="V94" s="76">
        <f t="shared" si="16"/>
        <v>0</v>
      </c>
      <c r="W94" s="65"/>
      <c r="X94" s="49"/>
      <c r="Y94" s="76"/>
      <c r="Z94" s="76"/>
      <c r="AA94" s="49"/>
      <c r="AB94" s="76"/>
      <c r="AC94" s="70">
        <f t="shared" si="240"/>
        <v>0</v>
      </c>
      <c r="AD94" s="49"/>
      <c r="AE94" s="76"/>
      <c r="AF94" s="70">
        <f t="shared" si="226"/>
        <v>0</v>
      </c>
      <c r="AG94" s="49"/>
      <c r="AH94" s="76"/>
      <c r="AI94" s="70">
        <f t="shared" si="227"/>
        <v>0</v>
      </c>
      <c r="AJ94" s="49"/>
      <c r="AK94" s="76"/>
      <c r="AL94" s="70">
        <f t="shared" si="228"/>
        <v>0</v>
      </c>
      <c r="AM94" s="49"/>
      <c r="AN94" s="76"/>
      <c r="AO94" s="70">
        <f t="shared" si="252"/>
        <v>0</v>
      </c>
    </row>
    <row r="95" spans="2:41" s="9" customFormat="1" ht="18" outlineLevel="2" x14ac:dyDescent="0.25">
      <c r="B95" s="23"/>
      <c r="C95" s="23"/>
      <c r="D95" s="163" t="s">
        <v>54</v>
      </c>
      <c r="E95" s="164"/>
      <c r="F95" s="32">
        <v>42.66</v>
      </c>
      <c r="G95" s="51" t="s">
        <v>68</v>
      </c>
      <c r="H95" s="64">
        <v>724.31100000000004</v>
      </c>
      <c r="I95" s="88">
        <f t="shared" ref="I95:I170" si="264">F95*H95</f>
        <v>30899.107260000001</v>
      </c>
      <c r="J95" s="67">
        <f t="shared" ref="J95:J99" si="265">SUM(O95,R95,U95,X95,AA95,AD95,AG95,AJ95)</f>
        <v>42.66</v>
      </c>
      <c r="K95" s="83">
        <f t="shared" si="212"/>
        <v>30899.107260000001</v>
      </c>
      <c r="L95" s="37">
        <f t="shared" si="213"/>
        <v>1</v>
      </c>
      <c r="M95" s="68">
        <f t="shared" si="214"/>
        <v>0</v>
      </c>
      <c r="N95" s="81">
        <f t="shared" si="215"/>
        <v>0</v>
      </c>
      <c r="O95" s="49"/>
      <c r="P95" s="76">
        <f t="shared" ref="P95:P169" si="266">O95*$H95</f>
        <v>0</v>
      </c>
      <c r="Q95" s="70">
        <f t="shared" ref="Q95:Q169" si="267">IFERROR(P95/$I95,0)</f>
        <v>0</v>
      </c>
      <c r="R95" s="49"/>
      <c r="S95" s="76">
        <f t="shared" ref="S95:S169" si="268">R95*H95</f>
        <v>0</v>
      </c>
      <c r="T95" s="70">
        <f t="shared" ref="T95:T169" si="269">IFERROR(S95/$I95,0)</f>
        <v>0</v>
      </c>
      <c r="U95" s="49"/>
      <c r="V95" s="76">
        <f t="shared" si="16"/>
        <v>0</v>
      </c>
      <c r="W95" s="70">
        <f t="shared" ref="W95:W169" si="270">IFERROR(V95/$I95,0)</f>
        <v>0</v>
      </c>
      <c r="X95" s="49"/>
      <c r="Y95" s="76">
        <f t="shared" si="17"/>
        <v>0</v>
      </c>
      <c r="Z95" s="70">
        <f t="shared" ref="Z95:Z99" si="271">IFERROR(Y95/$I95,0)</f>
        <v>0</v>
      </c>
      <c r="AA95" s="63">
        <v>42.66</v>
      </c>
      <c r="AB95" s="76">
        <f t="shared" ref="AB95:AB99" si="272">AA95*$H95</f>
        <v>30899.107260000001</v>
      </c>
      <c r="AC95" s="70">
        <f t="shared" si="240"/>
        <v>1</v>
      </c>
      <c r="AD95" s="49"/>
      <c r="AE95" s="76">
        <f t="shared" ref="AE95:AE99" si="273">AD95*$H95</f>
        <v>0</v>
      </c>
      <c r="AF95" s="70">
        <f t="shared" si="226"/>
        <v>0</v>
      </c>
      <c r="AG95" s="49"/>
      <c r="AH95" s="76">
        <f t="shared" ref="AH95:AH99" si="274">AG95*$H95</f>
        <v>0</v>
      </c>
      <c r="AI95" s="70">
        <f t="shared" si="227"/>
        <v>0</v>
      </c>
      <c r="AJ95" s="49"/>
      <c r="AK95" s="76">
        <f t="shared" ref="AK95:AK99" si="275">AJ95*$H95</f>
        <v>0</v>
      </c>
      <c r="AL95" s="70">
        <f t="shared" si="228"/>
        <v>0</v>
      </c>
      <c r="AM95" s="49"/>
      <c r="AN95" s="76">
        <f t="shared" ref="AN95:AN99" si="276">AM95*$H95</f>
        <v>0</v>
      </c>
      <c r="AO95" s="70">
        <f t="shared" si="252"/>
        <v>0</v>
      </c>
    </row>
    <row r="96" spans="2:41" s="9" customFormat="1" ht="18" outlineLevel="2" x14ac:dyDescent="0.25">
      <c r="B96" s="23"/>
      <c r="C96" s="23"/>
      <c r="D96" s="163" t="s">
        <v>55</v>
      </c>
      <c r="E96" s="164"/>
      <c r="F96" s="32">
        <v>28.82</v>
      </c>
      <c r="G96" s="51" t="s">
        <v>68</v>
      </c>
      <c r="H96" s="64">
        <v>724.31100000000004</v>
      </c>
      <c r="I96" s="88">
        <f t="shared" si="264"/>
        <v>20874.64302</v>
      </c>
      <c r="J96" s="67">
        <f t="shared" si="265"/>
        <v>28.82</v>
      </c>
      <c r="K96" s="83">
        <f t="shared" ref="K96:K99" si="277">J96*H96</f>
        <v>20874.64302</v>
      </c>
      <c r="L96" s="37">
        <f t="shared" ref="L96:L99" si="278">IFERROR(K96/I96, 0)</f>
        <v>1</v>
      </c>
      <c r="M96" s="68">
        <f t="shared" ref="M96:M99" si="279">F96-J96</f>
        <v>0</v>
      </c>
      <c r="N96" s="81">
        <f t="shared" ref="N96:N99" si="280">M96*H96</f>
        <v>0</v>
      </c>
      <c r="O96" s="49"/>
      <c r="P96" s="76">
        <f t="shared" si="266"/>
        <v>0</v>
      </c>
      <c r="Q96" s="70">
        <f t="shared" si="267"/>
        <v>0</v>
      </c>
      <c r="R96" s="49"/>
      <c r="S96" s="76">
        <f t="shared" si="268"/>
        <v>0</v>
      </c>
      <c r="T96" s="70">
        <f t="shared" si="269"/>
        <v>0</v>
      </c>
      <c r="U96" s="49"/>
      <c r="V96" s="76">
        <f t="shared" si="16"/>
        <v>0</v>
      </c>
      <c r="W96" s="70">
        <f t="shared" si="270"/>
        <v>0</v>
      </c>
      <c r="X96" s="49"/>
      <c r="Y96" s="76">
        <f t="shared" si="17"/>
        <v>0</v>
      </c>
      <c r="Z96" s="70">
        <f t="shared" si="271"/>
        <v>0</v>
      </c>
      <c r="AA96" s="63">
        <v>28.82</v>
      </c>
      <c r="AB96" s="76">
        <f t="shared" si="272"/>
        <v>20874.64302</v>
      </c>
      <c r="AC96" s="70">
        <f t="shared" si="240"/>
        <v>1</v>
      </c>
      <c r="AD96" s="49"/>
      <c r="AE96" s="76">
        <f t="shared" si="273"/>
        <v>0</v>
      </c>
      <c r="AF96" s="70">
        <f t="shared" si="226"/>
        <v>0</v>
      </c>
      <c r="AG96" s="49"/>
      <c r="AH96" s="76">
        <f t="shared" si="274"/>
        <v>0</v>
      </c>
      <c r="AI96" s="70">
        <f t="shared" si="227"/>
        <v>0</v>
      </c>
      <c r="AJ96" s="49"/>
      <c r="AK96" s="76">
        <f t="shared" si="275"/>
        <v>0</v>
      </c>
      <c r="AL96" s="70">
        <f t="shared" si="228"/>
        <v>0</v>
      </c>
      <c r="AM96" s="49"/>
      <c r="AN96" s="76">
        <f t="shared" si="276"/>
        <v>0</v>
      </c>
      <c r="AO96" s="70">
        <f t="shared" si="252"/>
        <v>0</v>
      </c>
    </row>
    <row r="97" spans="2:41" s="9" customFormat="1" ht="18" outlineLevel="2" x14ac:dyDescent="0.25">
      <c r="B97" s="23"/>
      <c r="C97" s="23"/>
      <c r="D97" s="163" t="s">
        <v>56</v>
      </c>
      <c r="E97" s="164"/>
      <c r="F97" s="32">
        <v>85.49</v>
      </c>
      <c r="G97" s="51" t="s">
        <v>68</v>
      </c>
      <c r="H97" s="64">
        <v>724.31100000000004</v>
      </c>
      <c r="I97" s="88">
        <f t="shared" si="264"/>
        <v>61921.347390000003</v>
      </c>
      <c r="J97" s="67">
        <f t="shared" si="265"/>
        <v>85.49</v>
      </c>
      <c r="K97" s="83">
        <f t="shared" si="277"/>
        <v>61921.347390000003</v>
      </c>
      <c r="L97" s="37">
        <f t="shared" si="278"/>
        <v>1</v>
      </c>
      <c r="M97" s="68">
        <f t="shared" si="279"/>
        <v>0</v>
      </c>
      <c r="N97" s="81">
        <f t="shared" si="280"/>
        <v>0</v>
      </c>
      <c r="O97" s="49"/>
      <c r="P97" s="76">
        <f t="shared" si="266"/>
        <v>0</v>
      </c>
      <c r="Q97" s="70">
        <f t="shared" si="267"/>
        <v>0</v>
      </c>
      <c r="R97" s="49"/>
      <c r="S97" s="76">
        <f t="shared" si="268"/>
        <v>0</v>
      </c>
      <c r="T97" s="70">
        <f t="shared" si="269"/>
        <v>0</v>
      </c>
      <c r="U97" s="49"/>
      <c r="V97" s="76">
        <f t="shared" si="16"/>
        <v>0</v>
      </c>
      <c r="W97" s="70">
        <f t="shared" si="270"/>
        <v>0</v>
      </c>
      <c r="X97" s="49"/>
      <c r="Y97" s="76">
        <f t="shared" si="17"/>
        <v>0</v>
      </c>
      <c r="Z97" s="70">
        <f t="shared" si="271"/>
        <v>0</v>
      </c>
      <c r="AA97" s="32">
        <v>85.49</v>
      </c>
      <c r="AB97" s="76">
        <f t="shared" si="272"/>
        <v>61921.347390000003</v>
      </c>
      <c r="AC97" s="70">
        <f t="shared" si="240"/>
        <v>1</v>
      </c>
      <c r="AD97" s="49"/>
      <c r="AE97" s="76">
        <f t="shared" si="273"/>
        <v>0</v>
      </c>
      <c r="AF97" s="70">
        <f t="shared" si="226"/>
        <v>0</v>
      </c>
      <c r="AG97" s="49"/>
      <c r="AH97" s="76">
        <f t="shared" si="274"/>
        <v>0</v>
      </c>
      <c r="AI97" s="70">
        <f t="shared" si="227"/>
        <v>0</v>
      </c>
      <c r="AJ97" s="49"/>
      <c r="AK97" s="76">
        <f t="shared" si="275"/>
        <v>0</v>
      </c>
      <c r="AL97" s="70">
        <f t="shared" si="228"/>
        <v>0</v>
      </c>
      <c r="AM97" s="49"/>
      <c r="AN97" s="76">
        <f t="shared" si="276"/>
        <v>0</v>
      </c>
      <c r="AO97" s="70">
        <f t="shared" si="252"/>
        <v>0</v>
      </c>
    </row>
    <row r="98" spans="2:41" s="9" customFormat="1" ht="18" outlineLevel="2" x14ac:dyDescent="0.25">
      <c r="B98" s="23"/>
      <c r="C98" s="23"/>
      <c r="D98" s="163" t="s">
        <v>96</v>
      </c>
      <c r="E98" s="164"/>
      <c r="F98" s="63">
        <f>F94</f>
        <v>156.96999999999997</v>
      </c>
      <c r="G98" s="51" t="s">
        <v>68</v>
      </c>
      <c r="H98" s="64">
        <v>40.2395</v>
      </c>
      <c r="I98" s="88">
        <f t="shared" si="264"/>
        <v>6316.3943149999986</v>
      </c>
      <c r="J98" s="67">
        <f t="shared" si="265"/>
        <v>156.96999999999997</v>
      </c>
      <c r="K98" s="83">
        <f t="shared" si="277"/>
        <v>6316.3943149999986</v>
      </c>
      <c r="L98" s="37">
        <f t="shared" si="278"/>
        <v>1</v>
      </c>
      <c r="M98" s="68">
        <f t="shared" si="279"/>
        <v>0</v>
      </c>
      <c r="N98" s="81">
        <f t="shared" si="280"/>
        <v>0</v>
      </c>
      <c r="O98" s="49"/>
      <c r="P98" s="76"/>
      <c r="Q98" s="70"/>
      <c r="R98" s="49"/>
      <c r="S98" s="76"/>
      <c r="T98" s="70"/>
      <c r="U98" s="49"/>
      <c r="V98" s="76"/>
      <c r="W98" s="70"/>
      <c r="X98" s="49"/>
      <c r="Y98" s="76">
        <f t="shared" si="17"/>
        <v>0</v>
      </c>
      <c r="Z98" s="70">
        <f t="shared" si="271"/>
        <v>0</v>
      </c>
      <c r="AA98" s="49"/>
      <c r="AB98" s="76">
        <f t="shared" si="272"/>
        <v>0</v>
      </c>
      <c r="AC98" s="70">
        <f t="shared" si="240"/>
        <v>0</v>
      </c>
      <c r="AD98" s="49"/>
      <c r="AE98" s="76">
        <f t="shared" si="273"/>
        <v>0</v>
      </c>
      <c r="AF98" s="70">
        <f t="shared" si="226"/>
        <v>0</v>
      </c>
      <c r="AG98" s="49">
        <f>F98</f>
        <v>156.96999999999997</v>
      </c>
      <c r="AH98" s="76">
        <f t="shared" si="274"/>
        <v>6316.3943149999986</v>
      </c>
      <c r="AI98" s="70">
        <f t="shared" si="227"/>
        <v>1</v>
      </c>
      <c r="AJ98" s="49"/>
      <c r="AK98" s="76">
        <f t="shared" si="275"/>
        <v>0</v>
      </c>
      <c r="AL98" s="70">
        <f t="shared" si="228"/>
        <v>0</v>
      </c>
      <c r="AM98" s="49"/>
      <c r="AN98" s="76">
        <f t="shared" si="276"/>
        <v>0</v>
      </c>
      <c r="AO98" s="70">
        <f t="shared" si="252"/>
        <v>0</v>
      </c>
    </row>
    <row r="99" spans="2:41" s="9" customFormat="1" ht="18" outlineLevel="2" x14ac:dyDescent="0.25">
      <c r="B99" s="23"/>
      <c r="C99" s="23"/>
      <c r="D99" s="163" t="s">
        <v>97</v>
      </c>
      <c r="E99" s="164"/>
      <c r="F99" s="63">
        <f>F94</f>
        <v>156.96999999999997</v>
      </c>
      <c r="G99" s="51" t="s">
        <v>68</v>
      </c>
      <c r="H99" s="64">
        <v>40.2395</v>
      </c>
      <c r="I99" s="88">
        <f t="shared" si="264"/>
        <v>6316.3943149999986</v>
      </c>
      <c r="J99" s="67">
        <f t="shared" si="265"/>
        <v>156.96999999999997</v>
      </c>
      <c r="K99" s="83">
        <f t="shared" si="277"/>
        <v>6316.3943149999986</v>
      </c>
      <c r="L99" s="37">
        <f t="shared" si="278"/>
        <v>1</v>
      </c>
      <c r="M99" s="68">
        <f t="shared" si="279"/>
        <v>0</v>
      </c>
      <c r="N99" s="81">
        <f t="shared" si="280"/>
        <v>0</v>
      </c>
      <c r="O99" s="49"/>
      <c r="P99" s="76"/>
      <c r="Q99" s="70"/>
      <c r="R99" s="49"/>
      <c r="S99" s="76"/>
      <c r="T99" s="70"/>
      <c r="U99" s="49"/>
      <c r="V99" s="76"/>
      <c r="W99" s="70"/>
      <c r="X99" s="49"/>
      <c r="Y99" s="76">
        <f t="shared" si="17"/>
        <v>0</v>
      </c>
      <c r="Z99" s="70">
        <f t="shared" si="271"/>
        <v>0</v>
      </c>
      <c r="AA99" s="49"/>
      <c r="AB99" s="76">
        <f t="shared" si="272"/>
        <v>0</v>
      </c>
      <c r="AC99" s="70">
        <f t="shared" si="240"/>
        <v>0</v>
      </c>
      <c r="AD99" s="49">
        <f>F99</f>
        <v>156.96999999999997</v>
      </c>
      <c r="AE99" s="76">
        <f t="shared" si="273"/>
        <v>6316.3943149999986</v>
      </c>
      <c r="AF99" s="70">
        <f t="shared" si="226"/>
        <v>1</v>
      </c>
      <c r="AG99" s="49"/>
      <c r="AH99" s="76">
        <f t="shared" si="274"/>
        <v>0</v>
      </c>
      <c r="AI99" s="70">
        <f t="shared" si="227"/>
        <v>0</v>
      </c>
      <c r="AJ99" s="49"/>
      <c r="AK99" s="76">
        <f t="shared" si="275"/>
        <v>0</v>
      </c>
      <c r="AL99" s="70">
        <f t="shared" si="228"/>
        <v>0</v>
      </c>
      <c r="AM99" s="49"/>
      <c r="AN99" s="76">
        <f t="shared" si="276"/>
        <v>0</v>
      </c>
      <c r="AO99" s="70">
        <f t="shared" si="252"/>
        <v>0</v>
      </c>
    </row>
    <row r="100" spans="2:41" s="50" customFormat="1" ht="25.35" customHeight="1" outlineLevel="2" x14ac:dyDescent="0.25">
      <c r="B100" s="61"/>
      <c r="C100" s="23"/>
      <c r="D100" s="165" t="s">
        <v>71</v>
      </c>
      <c r="E100" s="166"/>
      <c r="F100" s="63">
        <f>SUM(F101:F103)</f>
        <v>156.96999999999997</v>
      </c>
      <c r="G100" s="51"/>
      <c r="H100" s="64"/>
      <c r="I100" s="88">
        <f>SUM(I101:I105)</f>
        <v>126327.8863</v>
      </c>
      <c r="J100" s="67"/>
      <c r="K100" s="75"/>
      <c r="L100" s="65"/>
      <c r="M100" s="69"/>
      <c r="N100" s="80"/>
      <c r="O100" s="66"/>
      <c r="P100" s="75"/>
      <c r="Q100" s="65"/>
      <c r="R100" s="66"/>
      <c r="S100" s="75"/>
      <c r="T100" s="65"/>
      <c r="U100" s="49"/>
      <c r="V100" s="76">
        <f t="shared" si="16"/>
        <v>0</v>
      </c>
      <c r="W100" s="65"/>
      <c r="X100" s="49"/>
      <c r="Y100" s="76"/>
      <c r="Z100" s="76"/>
      <c r="AA100" s="49"/>
      <c r="AB100" s="76"/>
      <c r="AC100" s="70">
        <f t="shared" si="240"/>
        <v>0</v>
      </c>
      <c r="AD100" s="49"/>
      <c r="AE100" s="76"/>
      <c r="AF100" s="70">
        <f t="shared" si="226"/>
        <v>0</v>
      </c>
      <c r="AG100" s="49"/>
      <c r="AH100" s="76"/>
      <c r="AI100" s="70">
        <f t="shared" si="227"/>
        <v>0</v>
      </c>
      <c r="AJ100" s="49"/>
      <c r="AK100" s="76"/>
      <c r="AL100" s="70">
        <f t="shared" si="228"/>
        <v>0</v>
      </c>
      <c r="AM100" s="49"/>
      <c r="AN100" s="76"/>
      <c r="AO100" s="70">
        <f t="shared" si="252"/>
        <v>0</v>
      </c>
    </row>
    <row r="101" spans="2:41" s="9" customFormat="1" ht="18" outlineLevel="2" x14ac:dyDescent="0.25">
      <c r="B101" s="23"/>
      <c r="C101" s="23"/>
      <c r="D101" s="163" t="s">
        <v>54</v>
      </c>
      <c r="E101" s="164"/>
      <c r="F101" s="32">
        <v>42.66</v>
      </c>
      <c r="G101" s="51" t="s">
        <v>68</v>
      </c>
      <c r="H101" s="64">
        <v>724.31100000000004</v>
      </c>
      <c r="I101" s="88">
        <f t="shared" si="264"/>
        <v>30899.107260000001</v>
      </c>
      <c r="J101" s="67">
        <f t="shared" ref="J101:J105" si="281">SUM(O101,R101,U101,X101,AA101,AD101,AG101,AJ101)</f>
        <v>42.66</v>
      </c>
      <c r="K101" s="83">
        <f t="shared" si="212"/>
        <v>30899.107260000001</v>
      </c>
      <c r="L101" s="37">
        <f t="shared" si="213"/>
        <v>1</v>
      </c>
      <c r="M101" s="68">
        <f t="shared" si="214"/>
        <v>0</v>
      </c>
      <c r="N101" s="81">
        <f t="shared" si="215"/>
        <v>0</v>
      </c>
      <c r="O101" s="49"/>
      <c r="P101" s="76">
        <f t="shared" si="266"/>
        <v>0</v>
      </c>
      <c r="Q101" s="70">
        <f t="shared" si="267"/>
        <v>0</v>
      </c>
      <c r="R101" s="49"/>
      <c r="S101" s="76">
        <f t="shared" si="268"/>
        <v>0</v>
      </c>
      <c r="T101" s="70">
        <f t="shared" si="269"/>
        <v>0</v>
      </c>
      <c r="U101" s="49"/>
      <c r="V101" s="76">
        <f t="shared" si="16"/>
        <v>0</v>
      </c>
      <c r="W101" s="70">
        <f t="shared" si="270"/>
        <v>0</v>
      </c>
      <c r="X101" s="49"/>
      <c r="Y101" s="76">
        <f t="shared" si="17"/>
        <v>0</v>
      </c>
      <c r="Z101" s="70">
        <f t="shared" ref="Z101:Z105" si="282">IFERROR(Y101/$I101,0)</f>
        <v>0</v>
      </c>
      <c r="AA101" s="63">
        <v>42.66</v>
      </c>
      <c r="AB101" s="76">
        <f t="shared" ref="AB101:AB105" si="283">AA101*$H101</f>
        <v>30899.107260000001</v>
      </c>
      <c r="AC101" s="70">
        <f t="shared" si="240"/>
        <v>1</v>
      </c>
      <c r="AD101" s="49"/>
      <c r="AE101" s="76">
        <f t="shared" ref="AE101:AE105" si="284">AD101*$H101</f>
        <v>0</v>
      </c>
      <c r="AF101" s="70">
        <f t="shared" si="226"/>
        <v>0</v>
      </c>
      <c r="AG101" s="49"/>
      <c r="AH101" s="76">
        <f t="shared" ref="AH101:AH105" si="285">AG101*$H101</f>
        <v>0</v>
      </c>
      <c r="AI101" s="70">
        <f t="shared" si="227"/>
        <v>0</v>
      </c>
      <c r="AJ101" s="49"/>
      <c r="AK101" s="76">
        <f t="shared" ref="AK101:AK105" si="286">AJ101*$H101</f>
        <v>0</v>
      </c>
      <c r="AL101" s="70">
        <f t="shared" si="228"/>
        <v>0</v>
      </c>
      <c r="AM101" s="49"/>
      <c r="AN101" s="76">
        <f t="shared" ref="AN101:AN105" si="287">AM101*$H101</f>
        <v>0</v>
      </c>
      <c r="AO101" s="70">
        <f t="shared" si="252"/>
        <v>0</v>
      </c>
    </row>
    <row r="102" spans="2:41" s="9" customFormat="1" ht="18" outlineLevel="2" x14ac:dyDescent="0.25">
      <c r="B102" s="23"/>
      <c r="C102" s="23"/>
      <c r="D102" s="163" t="s">
        <v>55</v>
      </c>
      <c r="E102" s="164"/>
      <c r="F102" s="32">
        <v>28.82</v>
      </c>
      <c r="G102" s="51" t="s">
        <v>68</v>
      </c>
      <c r="H102" s="64">
        <v>724.31100000000004</v>
      </c>
      <c r="I102" s="88">
        <f t="shared" si="264"/>
        <v>20874.64302</v>
      </c>
      <c r="J102" s="67">
        <f t="shared" si="281"/>
        <v>28.82</v>
      </c>
      <c r="K102" s="83">
        <f t="shared" ref="K102:K105" si="288">J102*H102</f>
        <v>20874.64302</v>
      </c>
      <c r="L102" s="37">
        <f t="shared" ref="L102:L105" si="289">IFERROR(K102/I102, 0)</f>
        <v>1</v>
      </c>
      <c r="M102" s="68">
        <f t="shared" ref="M102:M105" si="290">F102-J102</f>
        <v>0</v>
      </c>
      <c r="N102" s="81">
        <f t="shared" ref="N102:N105" si="291">M102*H102</f>
        <v>0</v>
      </c>
      <c r="O102" s="49"/>
      <c r="P102" s="76">
        <f t="shared" si="266"/>
        <v>0</v>
      </c>
      <c r="Q102" s="70">
        <f t="shared" si="267"/>
        <v>0</v>
      </c>
      <c r="R102" s="49"/>
      <c r="S102" s="76">
        <f t="shared" si="268"/>
        <v>0</v>
      </c>
      <c r="T102" s="70">
        <f t="shared" si="269"/>
        <v>0</v>
      </c>
      <c r="U102" s="49"/>
      <c r="V102" s="76">
        <f t="shared" si="16"/>
        <v>0</v>
      </c>
      <c r="W102" s="70">
        <f t="shared" si="270"/>
        <v>0</v>
      </c>
      <c r="X102" s="49"/>
      <c r="Y102" s="76">
        <f t="shared" si="17"/>
        <v>0</v>
      </c>
      <c r="Z102" s="70">
        <f t="shared" si="282"/>
        <v>0</v>
      </c>
      <c r="AA102" s="63">
        <v>28.82</v>
      </c>
      <c r="AB102" s="76">
        <f t="shared" si="283"/>
        <v>20874.64302</v>
      </c>
      <c r="AC102" s="70">
        <f t="shared" si="240"/>
        <v>1</v>
      </c>
      <c r="AD102" s="49"/>
      <c r="AE102" s="76">
        <f t="shared" si="284"/>
        <v>0</v>
      </c>
      <c r="AF102" s="70">
        <f t="shared" si="226"/>
        <v>0</v>
      </c>
      <c r="AG102" s="49"/>
      <c r="AH102" s="76">
        <f t="shared" si="285"/>
        <v>0</v>
      </c>
      <c r="AI102" s="70">
        <f t="shared" si="227"/>
        <v>0</v>
      </c>
      <c r="AJ102" s="49"/>
      <c r="AK102" s="76">
        <f t="shared" si="286"/>
        <v>0</v>
      </c>
      <c r="AL102" s="70">
        <f t="shared" si="228"/>
        <v>0</v>
      </c>
      <c r="AM102" s="49"/>
      <c r="AN102" s="76">
        <f t="shared" si="287"/>
        <v>0</v>
      </c>
      <c r="AO102" s="70">
        <f t="shared" si="252"/>
        <v>0</v>
      </c>
    </row>
    <row r="103" spans="2:41" s="9" customFormat="1" ht="18" outlineLevel="2" x14ac:dyDescent="0.25">
      <c r="B103" s="23"/>
      <c r="C103" s="23"/>
      <c r="D103" s="163" t="s">
        <v>56</v>
      </c>
      <c r="E103" s="164"/>
      <c r="F103" s="32">
        <v>85.49</v>
      </c>
      <c r="G103" s="51" t="s">
        <v>68</v>
      </c>
      <c r="H103" s="64">
        <v>724.31100000000004</v>
      </c>
      <c r="I103" s="88">
        <f t="shared" si="264"/>
        <v>61921.347390000003</v>
      </c>
      <c r="J103" s="67">
        <f t="shared" si="281"/>
        <v>85.49</v>
      </c>
      <c r="K103" s="83">
        <f t="shared" si="288"/>
        <v>61921.347390000003</v>
      </c>
      <c r="L103" s="37">
        <f t="shared" si="289"/>
        <v>1</v>
      </c>
      <c r="M103" s="68">
        <f t="shared" si="290"/>
        <v>0</v>
      </c>
      <c r="N103" s="81">
        <f t="shared" si="291"/>
        <v>0</v>
      </c>
      <c r="O103" s="49"/>
      <c r="P103" s="76">
        <f t="shared" si="266"/>
        <v>0</v>
      </c>
      <c r="Q103" s="70">
        <f t="shared" si="267"/>
        <v>0</v>
      </c>
      <c r="R103" s="49"/>
      <c r="S103" s="76">
        <f t="shared" si="268"/>
        <v>0</v>
      </c>
      <c r="T103" s="70">
        <f t="shared" si="269"/>
        <v>0</v>
      </c>
      <c r="U103" s="49"/>
      <c r="V103" s="76">
        <f t="shared" si="16"/>
        <v>0</v>
      </c>
      <c r="W103" s="70">
        <f t="shared" si="270"/>
        <v>0</v>
      </c>
      <c r="X103" s="49"/>
      <c r="Y103" s="76">
        <f t="shared" si="17"/>
        <v>0</v>
      </c>
      <c r="Z103" s="70">
        <f t="shared" si="282"/>
        <v>0</v>
      </c>
      <c r="AA103" s="32">
        <v>85.49</v>
      </c>
      <c r="AB103" s="76">
        <f t="shared" si="283"/>
        <v>61921.347390000003</v>
      </c>
      <c r="AC103" s="70">
        <f t="shared" si="240"/>
        <v>1</v>
      </c>
      <c r="AD103" s="49"/>
      <c r="AE103" s="76">
        <f t="shared" si="284"/>
        <v>0</v>
      </c>
      <c r="AF103" s="70">
        <f t="shared" si="226"/>
        <v>0</v>
      </c>
      <c r="AG103" s="49"/>
      <c r="AH103" s="76">
        <f t="shared" si="285"/>
        <v>0</v>
      </c>
      <c r="AI103" s="70">
        <f t="shared" si="227"/>
        <v>0</v>
      </c>
      <c r="AJ103" s="49"/>
      <c r="AK103" s="76">
        <f t="shared" si="286"/>
        <v>0</v>
      </c>
      <c r="AL103" s="70">
        <f t="shared" si="228"/>
        <v>0</v>
      </c>
      <c r="AM103" s="49"/>
      <c r="AN103" s="76">
        <f t="shared" si="287"/>
        <v>0</v>
      </c>
      <c r="AO103" s="70">
        <f t="shared" si="252"/>
        <v>0</v>
      </c>
    </row>
    <row r="104" spans="2:41" s="9" customFormat="1" ht="18" outlineLevel="2" x14ac:dyDescent="0.25">
      <c r="B104" s="23"/>
      <c r="C104" s="23"/>
      <c r="D104" s="163" t="s">
        <v>96</v>
      </c>
      <c r="E104" s="164"/>
      <c r="F104" s="63">
        <f>F100</f>
        <v>156.96999999999997</v>
      </c>
      <c r="G104" s="51" t="s">
        <v>68</v>
      </c>
      <c r="H104" s="64">
        <v>40.2395</v>
      </c>
      <c r="I104" s="88">
        <f t="shared" si="264"/>
        <v>6316.3943149999986</v>
      </c>
      <c r="J104" s="67">
        <f t="shared" si="281"/>
        <v>156.96999999999997</v>
      </c>
      <c r="K104" s="83">
        <f t="shared" si="288"/>
        <v>6316.3943149999986</v>
      </c>
      <c r="L104" s="37">
        <f t="shared" si="289"/>
        <v>1</v>
      </c>
      <c r="M104" s="68">
        <f t="shared" si="290"/>
        <v>0</v>
      </c>
      <c r="N104" s="81">
        <f t="shared" si="291"/>
        <v>0</v>
      </c>
      <c r="O104" s="49"/>
      <c r="P104" s="76"/>
      <c r="Q104" s="70"/>
      <c r="R104" s="49"/>
      <c r="S104" s="76"/>
      <c r="T104" s="70"/>
      <c r="U104" s="49"/>
      <c r="V104" s="76"/>
      <c r="W104" s="70"/>
      <c r="X104" s="49"/>
      <c r="Y104" s="76">
        <f t="shared" si="17"/>
        <v>0</v>
      </c>
      <c r="Z104" s="70">
        <f t="shared" si="282"/>
        <v>0</v>
      </c>
      <c r="AA104" s="49"/>
      <c r="AB104" s="76">
        <f t="shared" si="283"/>
        <v>0</v>
      </c>
      <c r="AC104" s="70">
        <f t="shared" si="240"/>
        <v>0</v>
      </c>
      <c r="AD104" s="49"/>
      <c r="AE104" s="76">
        <f t="shared" si="284"/>
        <v>0</v>
      </c>
      <c r="AF104" s="70">
        <f t="shared" si="226"/>
        <v>0</v>
      </c>
      <c r="AG104" s="49">
        <f>F104</f>
        <v>156.96999999999997</v>
      </c>
      <c r="AH104" s="76">
        <f t="shared" si="285"/>
        <v>6316.3943149999986</v>
      </c>
      <c r="AI104" s="70">
        <f t="shared" si="227"/>
        <v>1</v>
      </c>
      <c r="AJ104" s="49"/>
      <c r="AK104" s="76">
        <f t="shared" si="286"/>
        <v>0</v>
      </c>
      <c r="AL104" s="70">
        <f t="shared" si="228"/>
        <v>0</v>
      </c>
      <c r="AM104" s="49"/>
      <c r="AN104" s="76">
        <f t="shared" si="287"/>
        <v>0</v>
      </c>
      <c r="AO104" s="70">
        <f t="shared" si="252"/>
        <v>0</v>
      </c>
    </row>
    <row r="105" spans="2:41" s="9" customFormat="1" ht="18" outlineLevel="2" x14ac:dyDescent="0.25">
      <c r="B105" s="23"/>
      <c r="C105" s="23"/>
      <c r="D105" s="163" t="s">
        <v>97</v>
      </c>
      <c r="E105" s="164"/>
      <c r="F105" s="63">
        <f>F100</f>
        <v>156.96999999999997</v>
      </c>
      <c r="G105" s="51" t="s">
        <v>68</v>
      </c>
      <c r="H105" s="64">
        <v>40.2395</v>
      </c>
      <c r="I105" s="88">
        <f t="shared" si="264"/>
        <v>6316.3943149999986</v>
      </c>
      <c r="J105" s="67">
        <f t="shared" si="281"/>
        <v>156.96999999999997</v>
      </c>
      <c r="K105" s="83">
        <f t="shared" si="288"/>
        <v>6316.3943149999986</v>
      </c>
      <c r="L105" s="37">
        <f t="shared" si="289"/>
        <v>1</v>
      </c>
      <c r="M105" s="68">
        <f t="shared" si="290"/>
        <v>0</v>
      </c>
      <c r="N105" s="81">
        <f t="shared" si="291"/>
        <v>0</v>
      </c>
      <c r="O105" s="49"/>
      <c r="P105" s="76"/>
      <c r="Q105" s="70"/>
      <c r="R105" s="49"/>
      <c r="S105" s="76"/>
      <c r="T105" s="70"/>
      <c r="U105" s="49"/>
      <c r="V105" s="76"/>
      <c r="W105" s="70"/>
      <c r="X105" s="49"/>
      <c r="Y105" s="76">
        <f t="shared" si="17"/>
        <v>0</v>
      </c>
      <c r="Z105" s="70">
        <f t="shared" si="282"/>
        <v>0</v>
      </c>
      <c r="AA105" s="49"/>
      <c r="AB105" s="76">
        <f t="shared" si="283"/>
        <v>0</v>
      </c>
      <c r="AC105" s="70">
        <f t="shared" si="240"/>
        <v>0</v>
      </c>
      <c r="AD105" s="49">
        <f>F105</f>
        <v>156.96999999999997</v>
      </c>
      <c r="AE105" s="76">
        <f t="shared" si="284"/>
        <v>6316.3943149999986</v>
      </c>
      <c r="AF105" s="70">
        <f t="shared" si="226"/>
        <v>1</v>
      </c>
      <c r="AG105" s="49"/>
      <c r="AH105" s="76">
        <f t="shared" si="285"/>
        <v>0</v>
      </c>
      <c r="AI105" s="70">
        <f t="shared" si="227"/>
        <v>0</v>
      </c>
      <c r="AJ105" s="49"/>
      <c r="AK105" s="76">
        <f t="shared" si="286"/>
        <v>0</v>
      </c>
      <c r="AL105" s="70">
        <f t="shared" si="228"/>
        <v>0</v>
      </c>
      <c r="AM105" s="49"/>
      <c r="AN105" s="76">
        <f t="shared" si="287"/>
        <v>0</v>
      </c>
      <c r="AO105" s="70">
        <f t="shared" si="252"/>
        <v>0</v>
      </c>
    </row>
    <row r="106" spans="2:41" s="50" customFormat="1" ht="25.35" customHeight="1" outlineLevel="2" x14ac:dyDescent="0.25">
      <c r="B106" s="61"/>
      <c r="C106" s="23"/>
      <c r="D106" s="165" t="s">
        <v>72</v>
      </c>
      <c r="E106" s="166"/>
      <c r="F106" s="63">
        <f>SUM(F107:F109)</f>
        <v>156.96999999999997</v>
      </c>
      <c r="G106" s="51"/>
      <c r="H106" s="64"/>
      <c r="I106" s="88">
        <f>SUM(I107:I111)</f>
        <v>126327.8863</v>
      </c>
      <c r="J106" s="67"/>
      <c r="K106" s="75"/>
      <c r="L106" s="65"/>
      <c r="M106" s="69"/>
      <c r="N106" s="80"/>
      <c r="O106" s="66"/>
      <c r="P106" s="75"/>
      <c r="Q106" s="65"/>
      <c r="R106" s="66"/>
      <c r="S106" s="75"/>
      <c r="T106" s="65"/>
      <c r="U106" s="49"/>
      <c r="V106" s="76">
        <f t="shared" si="16"/>
        <v>0</v>
      </c>
      <c r="W106" s="65"/>
      <c r="X106" s="49"/>
      <c r="Y106" s="76"/>
      <c r="Z106" s="76"/>
      <c r="AA106" s="49"/>
      <c r="AB106" s="76"/>
      <c r="AC106" s="70">
        <f t="shared" si="240"/>
        <v>0</v>
      </c>
      <c r="AD106" s="49"/>
      <c r="AE106" s="76"/>
      <c r="AF106" s="70">
        <f t="shared" si="226"/>
        <v>0</v>
      </c>
      <c r="AG106" s="49"/>
      <c r="AH106" s="76"/>
      <c r="AI106" s="70">
        <f t="shared" si="227"/>
        <v>0</v>
      </c>
      <c r="AJ106" s="49"/>
      <c r="AK106" s="76"/>
      <c r="AL106" s="70">
        <f t="shared" si="228"/>
        <v>0</v>
      </c>
      <c r="AM106" s="49"/>
      <c r="AN106" s="76"/>
      <c r="AO106" s="70">
        <f t="shared" si="252"/>
        <v>0</v>
      </c>
    </row>
    <row r="107" spans="2:41" s="9" customFormat="1" ht="18" outlineLevel="2" x14ac:dyDescent="0.25">
      <c r="B107" s="23"/>
      <c r="C107" s="23"/>
      <c r="D107" s="163" t="s">
        <v>54</v>
      </c>
      <c r="E107" s="164"/>
      <c r="F107" s="32">
        <v>42.66</v>
      </c>
      <c r="G107" s="51" t="s">
        <v>68</v>
      </c>
      <c r="H107" s="64">
        <v>724.31100000000004</v>
      </c>
      <c r="I107" s="88">
        <f t="shared" si="264"/>
        <v>30899.107260000001</v>
      </c>
      <c r="J107" s="67">
        <f t="shared" ref="J107:J111" si="292">SUM(O107,R107,U107,X107,AA107,AD107,AG107,AJ107)</f>
        <v>42.66</v>
      </c>
      <c r="K107" s="83">
        <f t="shared" si="212"/>
        <v>30899.107260000001</v>
      </c>
      <c r="L107" s="37">
        <f t="shared" si="213"/>
        <v>1</v>
      </c>
      <c r="M107" s="68">
        <f t="shared" si="214"/>
        <v>0</v>
      </c>
      <c r="N107" s="81">
        <f t="shared" si="215"/>
        <v>0</v>
      </c>
      <c r="O107" s="49"/>
      <c r="P107" s="76">
        <f t="shared" si="266"/>
        <v>0</v>
      </c>
      <c r="Q107" s="70">
        <f t="shared" si="267"/>
        <v>0</v>
      </c>
      <c r="R107" s="49"/>
      <c r="S107" s="76">
        <f t="shared" si="268"/>
        <v>0</v>
      </c>
      <c r="T107" s="70">
        <f t="shared" si="269"/>
        <v>0</v>
      </c>
      <c r="U107" s="49"/>
      <c r="V107" s="76">
        <f t="shared" si="16"/>
        <v>0</v>
      </c>
      <c r="W107" s="70">
        <f t="shared" si="270"/>
        <v>0</v>
      </c>
      <c r="X107" s="49"/>
      <c r="Y107" s="76">
        <f t="shared" si="17"/>
        <v>0</v>
      </c>
      <c r="Z107" s="70">
        <f t="shared" ref="Z107:Z111" si="293">IFERROR(Y107/$I107,0)</f>
        <v>0</v>
      </c>
      <c r="AA107" s="63">
        <v>42.66</v>
      </c>
      <c r="AB107" s="76">
        <f t="shared" ref="AB107:AB111" si="294">AA107*$H107</f>
        <v>30899.107260000001</v>
      </c>
      <c r="AC107" s="70">
        <f t="shared" si="240"/>
        <v>1</v>
      </c>
      <c r="AD107" s="49"/>
      <c r="AE107" s="76">
        <f t="shared" ref="AE107:AE111" si="295">AD107*$H107</f>
        <v>0</v>
      </c>
      <c r="AF107" s="70">
        <f t="shared" si="226"/>
        <v>0</v>
      </c>
      <c r="AG107" s="49"/>
      <c r="AH107" s="76">
        <f t="shared" ref="AH107:AH111" si="296">AG107*$H107</f>
        <v>0</v>
      </c>
      <c r="AI107" s="70">
        <f t="shared" si="227"/>
        <v>0</v>
      </c>
      <c r="AJ107" s="49"/>
      <c r="AK107" s="76">
        <f t="shared" ref="AK107:AK111" si="297">AJ107*$H107</f>
        <v>0</v>
      </c>
      <c r="AL107" s="70">
        <f t="shared" si="228"/>
        <v>0</v>
      </c>
      <c r="AM107" s="49"/>
      <c r="AN107" s="76">
        <f t="shared" ref="AN107:AN111" si="298">AM107*$H107</f>
        <v>0</v>
      </c>
      <c r="AO107" s="70">
        <f t="shared" si="252"/>
        <v>0</v>
      </c>
    </row>
    <row r="108" spans="2:41" s="9" customFormat="1" ht="18" outlineLevel="2" x14ac:dyDescent="0.25">
      <c r="B108" s="23"/>
      <c r="C108" s="23"/>
      <c r="D108" s="163" t="s">
        <v>55</v>
      </c>
      <c r="E108" s="164"/>
      <c r="F108" s="32">
        <v>28.82</v>
      </c>
      <c r="G108" s="51" t="s">
        <v>68</v>
      </c>
      <c r="H108" s="64">
        <v>724.31100000000004</v>
      </c>
      <c r="I108" s="88">
        <f t="shared" si="264"/>
        <v>20874.64302</v>
      </c>
      <c r="J108" s="67">
        <f t="shared" si="292"/>
        <v>28.82</v>
      </c>
      <c r="K108" s="83">
        <f t="shared" ref="K108:K111" si="299">J108*H108</f>
        <v>20874.64302</v>
      </c>
      <c r="L108" s="37">
        <f t="shared" ref="L108:L111" si="300">IFERROR(K108/I108, 0)</f>
        <v>1</v>
      </c>
      <c r="M108" s="68">
        <f t="shared" ref="M108:M111" si="301">F108-J108</f>
        <v>0</v>
      </c>
      <c r="N108" s="81">
        <f t="shared" ref="N108:N111" si="302">M108*H108</f>
        <v>0</v>
      </c>
      <c r="O108" s="49"/>
      <c r="P108" s="76">
        <f t="shared" si="266"/>
        <v>0</v>
      </c>
      <c r="Q108" s="70">
        <f t="shared" si="267"/>
        <v>0</v>
      </c>
      <c r="R108" s="49"/>
      <c r="S108" s="76">
        <f t="shared" si="268"/>
        <v>0</v>
      </c>
      <c r="T108" s="70">
        <f t="shared" si="269"/>
        <v>0</v>
      </c>
      <c r="U108" s="49"/>
      <c r="V108" s="76">
        <f t="shared" si="16"/>
        <v>0</v>
      </c>
      <c r="W108" s="70">
        <f t="shared" si="270"/>
        <v>0</v>
      </c>
      <c r="X108" s="49"/>
      <c r="Y108" s="76">
        <f t="shared" si="17"/>
        <v>0</v>
      </c>
      <c r="Z108" s="70">
        <f t="shared" si="293"/>
        <v>0</v>
      </c>
      <c r="AA108" s="63">
        <v>28.82</v>
      </c>
      <c r="AB108" s="76">
        <f t="shared" si="294"/>
        <v>20874.64302</v>
      </c>
      <c r="AC108" s="70">
        <f t="shared" si="240"/>
        <v>1</v>
      </c>
      <c r="AD108" s="49"/>
      <c r="AE108" s="76">
        <f t="shared" si="295"/>
        <v>0</v>
      </c>
      <c r="AF108" s="70">
        <f t="shared" si="226"/>
        <v>0</v>
      </c>
      <c r="AG108" s="49"/>
      <c r="AH108" s="76">
        <f t="shared" si="296"/>
        <v>0</v>
      </c>
      <c r="AI108" s="70">
        <f t="shared" si="227"/>
        <v>0</v>
      </c>
      <c r="AJ108" s="49"/>
      <c r="AK108" s="76">
        <f t="shared" si="297"/>
        <v>0</v>
      </c>
      <c r="AL108" s="70">
        <f t="shared" si="228"/>
        <v>0</v>
      </c>
      <c r="AM108" s="49"/>
      <c r="AN108" s="76">
        <f t="shared" si="298"/>
        <v>0</v>
      </c>
      <c r="AO108" s="70">
        <f t="shared" si="252"/>
        <v>0</v>
      </c>
    </row>
    <row r="109" spans="2:41" s="9" customFormat="1" ht="18" outlineLevel="2" x14ac:dyDescent="0.25">
      <c r="B109" s="23"/>
      <c r="C109" s="23"/>
      <c r="D109" s="163" t="s">
        <v>56</v>
      </c>
      <c r="E109" s="164"/>
      <c r="F109" s="32">
        <v>85.49</v>
      </c>
      <c r="G109" s="51" t="s">
        <v>68</v>
      </c>
      <c r="H109" s="64">
        <v>724.31100000000004</v>
      </c>
      <c r="I109" s="88">
        <f t="shared" si="264"/>
        <v>61921.347390000003</v>
      </c>
      <c r="J109" s="67">
        <f t="shared" si="292"/>
        <v>85.49</v>
      </c>
      <c r="K109" s="83">
        <f t="shared" si="299"/>
        <v>61921.347390000003</v>
      </c>
      <c r="L109" s="37">
        <f t="shared" si="300"/>
        <v>1</v>
      </c>
      <c r="M109" s="68">
        <f t="shared" si="301"/>
        <v>0</v>
      </c>
      <c r="N109" s="81">
        <f t="shared" si="302"/>
        <v>0</v>
      </c>
      <c r="O109" s="49"/>
      <c r="P109" s="76">
        <f t="shared" si="266"/>
        <v>0</v>
      </c>
      <c r="Q109" s="70">
        <f t="shared" si="267"/>
        <v>0</v>
      </c>
      <c r="R109" s="49"/>
      <c r="S109" s="76">
        <f t="shared" si="268"/>
        <v>0</v>
      </c>
      <c r="T109" s="70">
        <f t="shared" si="269"/>
        <v>0</v>
      </c>
      <c r="U109" s="49"/>
      <c r="V109" s="76">
        <f t="shared" si="16"/>
        <v>0</v>
      </c>
      <c r="W109" s="70">
        <f t="shared" si="270"/>
        <v>0</v>
      </c>
      <c r="X109" s="49"/>
      <c r="Y109" s="76">
        <f t="shared" si="17"/>
        <v>0</v>
      </c>
      <c r="Z109" s="70">
        <f t="shared" si="293"/>
        <v>0</v>
      </c>
      <c r="AA109" s="32">
        <v>85.49</v>
      </c>
      <c r="AB109" s="76">
        <f t="shared" si="294"/>
        <v>61921.347390000003</v>
      </c>
      <c r="AC109" s="70">
        <f t="shared" si="240"/>
        <v>1</v>
      </c>
      <c r="AD109" s="49"/>
      <c r="AE109" s="76">
        <f t="shared" si="295"/>
        <v>0</v>
      </c>
      <c r="AF109" s="70">
        <f t="shared" si="226"/>
        <v>0</v>
      </c>
      <c r="AG109" s="49"/>
      <c r="AH109" s="76">
        <f t="shared" si="296"/>
        <v>0</v>
      </c>
      <c r="AI109" s="70">
        <f t="shared" si="227"/>
        <v>0</v>
      </c>
      <c r="AJ109" s="49"/>
      <c r="AK109" s="76">
        <f t="shared" si="297"/>
        <v>0</v>
      </c>
      <c r="AL109" s="70">
        <f t="shared" si="228"/>
        <v>0</v>
      </c>
      <c r="AM109" s="49"/>
      <c r="AN109" s="76">
        <f t="shared" si="298"/>
        <v>0</v>
      </c>
      <c r="AO109" s="70">
        <f t="shared" si="252"/>
        <v>0</v>
      </c>
    </row>
    <row r="110" spans="2:41" s="9" customFormat="1" ht="18" outlineLevel="2" x14ac:dyDescent="0.25">
      <c r="B110" s="23"/>
      <c r="C110" s="23"/>
      <c r="D110" s="163" t="s">
        <v>96</v>
      </c>
      <c r="E110" s="164"/>
      <c r="F110" s="63">
        <f>F106</f>
        <v>156.96999999999997</v>
      </c>
      <c r="G110" s="51" t="s">
        <v>68</v>
      </c>
      <c r="H110" s="64">
        <v>40.2395</v>
      </c>
      <c r="I110" s="88">
        <f t="shared" si="264"/>
        <v>6316.3943149999986</v>
      </c>
      <c r="J110" s="67">
        <f t="shared" si="292"/>
        <v>156.96999999999997</v>
      </c>
      <c r="K110" s="83">
        <f t="shared" si="299"/>
        <v>6316.3943149999986</v>
      </c>
      <c r="L110" s="37">
        <f t="shared" si="300"/>
        <v>1</v>
      </c>
      <c r="M110" s="68">
        <f t="shared" si="301"/>
        <v>0</v>
      </c>
      <c r="N110" s="81">
        <f t="shared" si="302"/>
        <v>0</v>
      </c>
      <c r="O110" s="49"/>
      <c r="P110" s="76"/>
      <c r="Q110" s="70"/>
      <c r="R110" s="49"/>
      <c r="S110" s="76"/>
      <c r="T110" s="70"/>
      <c r="U110" s="49"/>
      <c r="V110" s="76"/>
      <c r="W110" s="70"/>
      <c r="X110" s="49"/>
      <c r="Y110" s="76">
        <f t="shared" si="17"/>
        <v>0</v>
      </c>
      <c r="Z110" s="70">
        <f t="shared" si="293"/>
        <v>0</v>
      </c>
      <c r="AA110" s="49"/>
      <c r="AB110" s="76">
        <f t="shared" si="294"/>
        <v>0</v>
      </c>
      <c r="AC110" s="70">
        <f t="shared" si="240"/>
        <v>0</v>
      </c>
      <c r="AD110" s="49"/>
      <c r="AE110" s="76">
        <f t="shared" si="295"/>
        <v>0</v>
      </c>
      <c r="AF110" s="70">
        <f t="shared" si="226"/>
        <v>0</v>
      </c>
      <c r="AG110" s="49">
        <f>F110</f>
        <v>156.96999999999997</v>
      </c>
      <c r="AH110" s="76">
        <f t="shared" si="296"/>
        <v>6316.3943149999986</v>
      </c>
      <c r="AI110" s="70">
        <f t="shared" si="227"/>
        <v>1</v>
      </c>
      <c r="AJ110" s="49"/>
      <c r="AK110" s="76">
        <f t="shared" si="297"/>
        <v>0</v>
      </c>
      <c r="AL110" s="70">
        <f t="shared" si="228"/>
        <v>0</v>
      </c>
      <c r="AM110" s="49"/>
      <c r="AN110" s="76">
        <f t="shared" si="298"/>
        <v>0</v>
      </c>
      <c r="AO110" s="70">
        <f t="shared" si="252"/>
        <v>0</v>
      </c>
    </row>
    <row r="111" spans="2:41" s="9" customFormat="1" ht="18" outlineLevel="2" x14ac:dyDescent="0.25">
      <c r="B111" s="23"/>
      <c r="C111" s="23"/>
      <c r="D111" s="163" t="s">
        <v>97</v>
      </c>
      <c r="E111" s="164"/>
      <c r="F111" s="63">
        <f>F106</f>
        <v>156.96999999999997</v>
      </c>
      <c r="G111" s="51" t="s">
        <v>68</v>
      </c>
      <c r="H111" s="64">
        <v>40.2395</v>
      </c>
      <c r="I111" s="88">
        <f t="shared" si="264"/>
        <v>6316.3943149999986</v>
      </c>
      <c r="J111" s="67">
        <f t="shared" si="292"/>
        <v>156.96999999999997</v>
      </c>
      <c r="K111" s="83">
        <f t="shared" si="299"/>
        <v>6316.3943149999986</v>
      </c>
      <c r="L111" s="37">
        <f t="shared" si="300"/>
        <v>1</v>
      </c>
      <c r="M111" s="68">
        <f t="shared" si="301"/>
        <v>0</v>
      </c>
      <c r="N111" s="81">
        <f t="shared" si="302"/>
        <v>0</v>
      </c>
      <c r="O111" s="49"/>
      <c r="P111" s="76"/>
      <c r="Q111" s="70"/>
      <c r="R111" s="49"/>
      <c r="S111" s="76"/>
      <c r="T111" s="70"/>
      <c r="U111" s="49"/>
      <c r="V111" s="76"/>
      <c r="W111" s="70"/>
      <c r="X111" s="49"/>
      <c r="Y111" s="76">
        <f t="shared" si="17"/>
        <v>0</v>
      </c>
      <c r="Z111" s="70">
        <f t="shared" si="293"/>
        <v>0</v>
      </c>
      <c r="AA111" s="49"/>
      <c r="AB111" s="76">
        <f t="shared" si="294"/>
        <v>0</v>
      </c>
      <c r="AC111" s="70">
        <f t="shared" si="240"/>
        <v>0</v>
      </c>
      <c r="AD111" s="49">
        <f>F111</f>
        <v>156.96999999999997</v>
      </c>
      <c r="AE111" s="76">
        <f t="shared" si="295"/>
        <v>6316.3943149999986</v>
      </c>
      <c r="AF111" s="70">
        <f t="shared" si="226"/>
        <v>1</v>
      </c>
      <c r="AG111" s="49"/>
      <c r="AH111" s="76">
        <f t="shared" si="296"/>
        <v>0</v>
      </c>
      <c r="AI111" s="70">
        <f t="shared" si="227"/>
        <v>0</v>
      </c>
      <c r="AJ111" s="49"/>
      <c r="AK111" s="76">
        <f t="shared" si="297"/>
        <v>0</v>
      </c>
      <c r="AL111" s="70">
        <f t="shared" si="228"/>
        <v>0</v>
      </c>
      <c r="AM111" s="49"/>
      <c r="AN111" s="76">
        <f t="shared" si="298"/>
        <v>0</v>
      </c>
      <c r="AO111" s="70">
        <f t="shared" si="252"/>
        <v>0</v>
      </c>
    </row>
    <row r="112" spans="2:41" s="50" customFormat="1" ht="25.35" customHeight="1" outlineLevel="2" x14ac:dyDescent="0.25">
      <c r="B112" s="61"/>
      <c r="C112" s="23"/>
      <c r="D112" s="165" t="s">
        <v>73</v>
      </c>
      <c r="E112" s="166"/>
      <c r="F112" s="63">
        <f>SUM(F113:F115)</f>
        <v>156.96999999999997</v>
      </c>
      <c r="G112" s="51"/>
      <c r="H112" s="64"/>
      <c r="I112" s="88">
        <f>SUM(I113:I117)</f>
        <v>126327.8863</v>
      </c>
      <c r="J112" s="67"/>
      <c r="K112" s="75"/>
      <c r="L112" s="65"/>
      <c r="M112" s="69"/>
      <c r="N112" s="80"/>
      <c r="O112" s="66"/>
      <c r="P112" s="75"/>
      <c r="Q112" s="65"/>
      <c r="R112" s="66"/>
      <c r="S112" s="75"/>
      <c r="T112" s="65"/>
      <c r="U112" s="49"/>
      <c r="V112" s="76">
        <f t="shared" ref="V112:V175" si="303">U112*H112</f>
        <v>0</v>
      </c>
      <c r="W112" s="65"/>
      <c r="X112" s="49"/>
      <c r="Y112" s="76"/>
      <c r="Z112" s="76"/>
      <c r="AA112" s="49"/>
      <c r="AB112" s="76"/>
      <c r="AC112" s="70">
        <f t="shared" si="240"/>
        <v>0</v>
      </c>
      <c r="AD112" s="49"/>
      <c r="AE112" s="76"/>
      <c r="AF112" s="70">
        <f t="shared" si="226"/>
        <v>0</v>
      </c>
      <c r="AG112" s="49"/>
      <c r="AH112" s="76"/>
      <c r="AI112" s="70">
        <f t="shared" si="227"/>
        <v>0</v>
      </c>
      <c r="AJ112" s="49"/>
      <c r="AK112" s="76"/>
      <c r="AL112" s="70">
        <f t="shared" si="228"/>
        <v>0</v>
      </c>
      <c r="AM112" s="49"/>
      <c r="AN112" s="76"/>
      <c r="AO112" s="70">
        <f t="shared" si="252"/>
        <v>0</v>
      </c>
    </row>
    <row r="113" spans="2:41" s="9" customFormat="1" ht="18" outlineLevel="2" x14ac:dyDescent="0.25">
      <c r="B113" s="23"/>
      <c r="C113" s="23"/>
      <c r="D113" s="163" t="s">
        <v>54</v>
      </c>
      <c r="E113" s="164"/>
      <c r="F113" s="32">
        <v>42.66</v>
      </c>
      <c r="G113" s="51" t="s">
        <v>68</v>
      </c>
      <c r="H113" s="64">
        <v>724.31100000000004</v>
      </c>
      <c r="I113" s="88">
        <f t="shared" si="264"/>
        <v>30899.107260000001</v>
      </c>
      <c r="J113" s="67">
        <f t="shared" ref="J113:J117" si="304">SUM(O113,R113,U113,X113,AA113,AD113,AG113,AJ113)</f>
        <v>42.66</v>
      </c>
      <c r="K113" s="83">
        <f t="shared" si="212"/>
        <v>30899.107260000001</v>
      </c>
      <c r="L113" s="37">
        <f t="shared" si="213"/>
        <v>1</v>
      </c>
      <c r="M113" s="68">
        <f t="shared" si="214"/>
        <v>0</v>
      </c>
      <c r="N113" s="81">
        <f t="shared" si="215"/>
        <v>0</v>
      </c>
      <c r="O113" s="49"/>
      <c r="P113" s="76">
        <f t="shared" si="266"/>
        <v>0</v>
      </c>
      <c r="Q113" s="70">
        <f t="shared" si="267"/>
        <v>0</v>
      </c>
      <c r="R113" s="49"/>
      <c r="S113" s="76">
        <f t="shared" si="268"/>
        <v>0</v>
      </c>
      <c r="T113" s="70">
        <f t="shared" si="269"/>
        <v>0</v>
      </c>
      <c r="U113" s="49"/>
      <c r="V113" s="76">
        <f t="shared" si="303"/>
        <v>0</v>
      </c>
      <c r="W113" s="70">
        <f t="shared" si="270"/>
        <v>0</v>
      </c>
      <c r="X113" s="49"/>
      <c r="Y113" s="76">
        <f t="shared" si="17"/>
        <v>0</v>
      </c>
      <c r="Z113" s="70">
        <f t="shared" ref="Z113:Z117" si="305">IFERROR(Y113/$I113,0)</f>
        <v>0</v>
      </c>
      <c r="AA113" s="63">
        <v>42.66</v>
      </c>
      <c r="AB113" s="76">
        <f t="shared" ref="AB113:AB117" si="306">AA113*$H113</f>
        <v>30899.107260000001</v>
      </c>
      <c r="AC113" s="70">
        <f t="shared" si="240"/>
        <v>1</v>
      </c>
      <c r="AD113" s="49"/>
      <c r="AE113" s="76">
        <f t="shared" ref="AE113:AE117" si="307">AD113*$H113</f>
        <v>0</v>
      </c>
      <c r="AF113" s="70">
        <f t="shared" si="226"/>
        <v>0</v>
      </c>
      <c r="AG113" s="49"/>
      <c r="AH113" s="76">
        <f t="shared" ref="AH113:AH117" si="308">AG113*$H113</f>
        <v>0</v>
      </c>
      <c r="AI113" s="70">
        <f t="shared" si="227"/>
        <v>0</v>
      </c>
      <c r="AJ113" s="49"/>
      <c r="AK113" s="76">
        <f t="shared" ref="AK113:AK117" si="309">AJ113*$H113</f>
        <v>0</v>
      </c>
      <c r="AL113" s="70">
        <f t="shared" si="228"/>
        <v>0</v>
      </c>
      <c r="AM113" s="49"/>
      <c r="AN113" s="76">
        <f t="shared" ref="AN113:AN117" si="310">AM113*$H113</f>
        <v>0</v>
      </c>
      <c r="AO113" s="70">
        <f t="shared" si="252"/>
        <v>0</v>
      </c>
    </row>
    <row r="114" spans="2:41" s="9" customFormat="1" ht="18" outlineLevel="2" x14ac:dyDescent="0.25">
      <c r="B114" s="23"/>
      <c r="C114" s="23"/>
      <c r="D114" s="163" t="s">
        <v>55</v>
      </c>
      <c r="E114" s="164"/>
      <c r="F114" s="32">
        <v>28.82</v>
      </c>
      <c r="G114" s="51" t="s">
        <v>68</v>
      </c>
      <c r="H114" s="64">
        <v>724.31100000000004</v>
      </c>
      <c r="I114" s="88">
        <f t="shared" si="264"/>
        <v>20874.64302</v>
      </c>
      <c r="J114" s="67">
        <f t="shared" si="304"/>
        <v>28.82</v>
      </c>
      <c r="K114" s="83">
        <f t="shared" ref="K114:K117" si="311">J114*H114</f>
        <v>20874.64302</v>
      </c>
      <c r="L114" s="37">
        <f t="shared" ref="L114:L117" si="312">IFERROR(K114/I114, 0)</f>
        <v>1</v>
      </c>
      <c r="M114" s="68">
        <f t="shared" ref="M114:M117" si="313">F114-J114</f>
        <v>0</v>
      </c>
      <c r="N114" s="81">
        <f t="shared" ref="N114:N117" si="314">M114*H114</f>
        <v>0</v>
      </c>
      <c r="O114" s="49"/>
      <c r="P114" s="76">
        <f t="shared" si="266"/>
        <v>0</v>
      </c>
      <c r="Q114" s="70">
        <f t="shared" si="267"/>
        <v>0</v>
      </c>
      <c r="R114" s="49"/>
      <c r="S114" s="76">
        <f t="shared" si="268"/>
        <v>0</v>
      </c>
      <c r="T114" s="70">
        <f t="shared" si="269"/>
        <v>0</v>
      </c>
      <c r="U114" s="49"/>
      <c r="V114" s="76">
        <f t="shared" si="303"/>
        <v>0</v>
      </c>
      <c r="W114" s="70">
        <f t="shared" si="270"/>
        <v>0</v>
      </c>
      <c r="X114" s="49"/>
      <c r="Y114" s="76">
        <f t="shared" ref="Y114:Y181" si="315">X114*$H114</f>
        <v>0</v>
      </c>
      <c r="Z114" s="70">
        <f t="shared" si="305"/>
        <v>0</v>
      </c>
      <c r="AA114" s="63">
        <v>28.82</v>
      </c>
      <c r="AB114" s="76">
        <f t="shared" si="306"/>
        <v>20874.64302</v>
      </c>
      <c r="AC114" s="70">
        <f t="shared" si="240"/>
        <v>1</v>
      </c>
      <c r="AD114" s="49"/>
      <c r="AE114" s="76">
        <f t="shared" si="307"/>
        <v>0</v>
      </c>
      <c r="AF114" s="70">
        <f t="shared" si="226"/>
        <v>0</v>
      </c>
      <c r="AG114" s="49"/>
      <c r="AH114" s="76">
        <f t="shared" si="308"/>
        <v>0</v>
      </c>
      <c r="AI114" s="70">
        <f t="shared" si="227"/>
        <v>0</v>
      </c>
      <c r="AJ114" s="49"/>
      <c r="AK114" s="76">
        <f t="shared" si="309"/>
        <v>0</v>
      </c>
      <c r="AL114" s="70">
        <f t="shared" si="228"/>
        <v>0</v>
      </c>
      <c r="AM114" s="49"/>
      <c r="AN114" s="76">
        <f t="shared" si="310"/>
        <v>0</v>
      </c>
      <c r="AO114" s="70">
        <f t="shared" si="252"/>
        <v>0</v>
      </c>
    </row>
    <row r="115" spans="2:41" s="9" customFormat="1" ht="18" outlineLevel="2" x14ac:dyDescent="0.25">
      <c r="B115" s="23"/>
      <c r="C115" s="23"/>
      <c r="D115" s="163" t="s">
        <v>56</v>
      </c>
      <c r="E115" s="164"/>
      <c r="F115" s="32">
        <v>85.49</v>
      </c>
      <c r="G115" s="51" t="s">
        <v>68</v>
      </c>
      <c r="H115" s="64">
        <v>724.31100000000004</v>
      </c>
      <c r="I115" s="88">
        <f t="shared" si="264"/>
        <v>61921.347390000003</v>
      </c>
      <c r="J115" s="67">
        <f t="shared" si="304"/>
        <v>85.49</v>
      </c>
      <c r="K115" s="83">
        <f t="shared" si="311"/>
        <v>61921.347390000003</v>
      </c>
      <c r="L115" s="37">
        <f t="shared" si="312"/>
        <v>1</v>
      </c>
      <c r="M115" s="68">
        <f t="shared" si="313"/>
        <v>0</v>
      </c>
      <c r="N115" s="81">
        <f t="shared" si="314"/>
        <v>0</v>
      </c>
      <c r="O115" s="49"/>
      <c r="P115" s="76">
        <f t="shared" si="266"/>
        <v>0</v>
      </c>
      <c r="Q115" s="70">
        <f t="shared" si="267"/>
        <v>0</v>
      </c>
      <c r="R115" s="49"/>
      <c r="S115" s="76">
        <f t="shared" si="268"/>
        <v>0</v>
      </c>
      <c r="T115" s="70">
        <f t="shared" si="269"/>
        <v>0</v>
      </c>
      <c r="U115" s="49"/>
      <c r="V115" s="76">
        <f t="shared" si="303"/>
        <v>0</v>
      </c>
      <c r="W115" s="70">
        <f t="shared" si="270"/>
        <v>0</v>
      </c>
      <c r="X115" s="49"/>
      <c r="Y115" s="76">
        <f t="shared" si="315"/>
        <v>0</v>
      </c>
      <c r="Z115" s="70">
        <f t="shared" si="305"/>
        <v>0</v>
      </c>
      <c r="AA115" s="32">
        <v>85.49</v>
      </c>
      <c r="AB115" s="76">
        <f t="shared" si="306"/>
        <v>61921.347390000003</v>
      </c>
      <c r="AC115" s="70">
        <f t="shared" si="240"/>
        <v>1</v>
      </c>
      <c r="AD115" s="49"/>
      <c r="AE115" s="76">
        <f t="shared" si="307"/>
        <v>0</v>
      </c>
      <c r="AF115" s="70">
        <f t="shared" si="226"/>
        <v>0</v>
      </c>
      <c r="AG115" s="49"/>
      <c r="AH115" s="76">
        <f t="shared" si="308"/>
        <v>0</v>
      </c>
      <c r="AI115" s="70">
        <f t="shared" si="227"/>
        <v>0</v>
      </c>
      <c r="AJ115" s="49"/>
      <c r="AK115" s="76">
        <f t="shared" si="309"/>
        <v>0</v>
      </c>
      <c r="AL115" s="70">
        <f t="shared" si="228"/>
        <v>0</v>
      </c>
      <c r="AM115" s="49"/>
      <c r="AN115" s="76">
        <f t="shared" si="310"/>
        <v>0</v>
      </c>
      <c r="AO115" s="70">
        <f t="shared" si="252"/>
        <v>0</v>
      </c>
    </row>
    <row r="116" spans="2:41" s="9" customFormat="1" ht="18" outlineLevel="2" x14ac:dyDescent="0.25">
      <c r="B116" s="23"/>
      <c r="C116" s="23"/>
      <c r="D116" s="163" t="s">
        <v>96</v>
      </c>
      <c r="E116" s="164"/>
      <c r="F116" s="63">
        <f>F112</f>
        <v>156.96999999999997</v>
      </c>
      <c r="G116" s="51" t="s">
        <v>68</v>
      </c>
      <c r="H116" s="64">
        <v>40.2395</v>
      </c>
      <c r="I116" s="88">
        <f t="shared" si="264"/>
        <v>6316.3943149999986</v>
      </c>
      <c r="J116" s="67">
        <f t="shared" si="304"/>
        <v>156.96999999999997</v>
      </c>
      <c r="K116" s="83">
        <f t="shared" si="311"/>
        <v>6316.3943149999986</v>
      </c>
      <c r="L116" s="37">
        <f t="shared" si="312"/>
        <v>1</v>
      </c>
      <c r="M116" s="68">
        <f t="shared" si="313"/>
        <v>0</v>
      </c>
      <c r="N116" s="81">
        <f t="shared" si="314"/>
        <v>0</v>
      </c>
      <c r="O116" s="49"/>
      <c r="P116" s="76"/>
      <c r="Q116" s="70"/>
      <c r="R116" s="49"/>
      <c r="S116" s="76"/>
      <c r="T116" s="70"/>
      <c r="U116" s="49"/>
      <c r="V116" s="76"/>
      <c r="W116" s="70"/>
      <c r="X116" s="49"/>
      <c r="Y116" s="76">
        <f t="shared" si="315"/>
        <v>0</v>
      </c>
      <c r="Z116" s="70">
        <f t="shared" si="305"/>
        <v>0</v>
      </c>
      <c r="AA116" s="49"/>
      <c r="AB116" s="76">
        <f t="shared" si="306"/>
        <v>0</v>
      </c>
      <c r="AC116" s="70">
        <f t="shared" si="240"/>
        <v>0</v>
      </c>
      <c r="AD116" s="49"/>
      <c r="AE116" s="76">
        <f t="shared" si="307"/>
        <v>0</v>
      </c>
      <c r="AF116" s="70">
        <f t="shared" si="226"/>
        <v>0</v>
      </c>
      <c r="AG116" s="49">
        <f t="shared" ref="AG116:AG117" si="316">F116</f>
        <v>156.96999999999997</v>
      </c>
      <c r="AH116" s="76">
        <f t="shared" si="308"/>
        <v>6316.3943149999986</v>
      </c>
      <c r="AI116" s="70">
        <f t="shared" si="227"/>
        <v>1</v>
      </c>
      <c r="AJ116" s="49"/>
      <c r="AK116" s="76">
        <f t="shared" si="309"/>
        <v>0</v>
      </c>
      <c r="AL116" s="70">
        <f t="shared" si="228"/>
        <v>0</v>
      </c>
      <c r="AM116" s="49"/>
      <c r="AN116" s="76">
        <f t="shared" si="310"/>
        <v>0</v>
      </c>
      <c r="AO116" s="70">
        <f t="shared" si="252"/>
        <v>0</v>
      </c>
    </row>
    <row r="117" spans="2:41" s="9" customFormat="1" ht="18" outlineLevel="2" x14ac:dyDescent="0.25">
      <c r="B117" s="23"/>
      <c r="C117" s="23"/>
      <c r="D117" s="163" t="s">
        <v>97</v>
      </c>
      <c r="E117" s="164"/>
      <c r="F117" s="63">
        <f>F112</f>
        <v>156.96999999999997</v>
      </c>
      <c r="G117" s="51" t="s">
        <v>68</v>
      </c>
      <c r="H117" s="64">
        <v>40.2395</v>
      </c>
      <c r="I117" s="88">
        <f t="shared" si="264"/>
        <v>6316.3943149999986</v>
      </c>
      <c r="J117" s="67">
        <f t="shared" si="304"/>
        <v>156.96999999999997</v>
      </c>
      <c r="K117" s="83">
        <f t="shared" si="311"/>
        <v>6316.3943149999986</v>
      </c>
      <c r="L117" s="37">
        <f t="shared" si="312"/>
        <v>1</v>
      </c>
      <c r="M117" s="68">
        <f t="shared" si="313"/>
        <v>0</v>
      </c>
      <c r="N117" s="81">
        <f t="shared" si="314"/>
        <v>0</v>
      </c>
      <c r="O117" s="49"/>
      <c r="P117" s="76"/>
      <c r="Q117" s="70"/>
      <c r="R117" s="49"/>
      <c r="S117" s="76"/>
      <c r="T117" s="70"/>
      <c r="U117" s="49"/>
      <c r="V117" s="76"/>
      <c r="W117" s="70"/>
      <c r="X117" s="49"/>
      <c r="Y117" s="76">
        <f t="shared" si="315"/>
        <v>0</v>
      </c>
      <c r="Z117" s="70">
        <f t="shared" si="305"/>
        <v>0</v>
      </c>
      <c r="AA117" s="49"/>
      <c r="AB117" s="76">
        <f t="shared" si="306"/>
        <v>0</v>
      </c>
      <c r="AC117" s="70">
        <f t="shared" si="240"/>
        <v>0</v>
      </c>
      <c r="AD117" s="49"/>
      <c r="AE117" s="76">
        <f t="shared" si="307"/>
        <v>0</v>
      </c>
      <c r="AF117" s="70">
        <f t="shared" si="226"/>
        <v>0</v>
      </c>
      <c r="AG117" s="49">
        <f t="shared" si="316"/>
        <v>156.96999999999997</v>
      </c>
      <c r="AH117" s="76">
        <f t="shared" si="308"/>
        <v>6316.3943149999986</v>
      </c>
      <c r="AI117" s="70">
        <f t="shared" si="227"/>
        <v>1</v>
      </c>
      <c r="AJ117" s="49"/>
      <c r="AK117" s="76">
        <f t="shared" si="309"/>
        <v>0</v>
      </c>
      <c r="AL117" s="70">
        <f t="shared" si="228"/>
        <v>0</v>
      </c>
      <c r="AM117" s="49"/>
      <c r="AN117" s="76">
        <f t="shared" si="310"/>
        <v>0</v>
      </c>
      <c r="AO117" s="70">
        <f t="shared" si="252"/>
        <v>0</v>
      </c>
    </row>
    <row r="118" spans="2:41" s="50" customFormat="1" ht="25.35" customHeight="1" outlineLevel="2" x14ac:dyDescent="0.25">
      <c r="B118" s="61"/>
      <c r="C118" s="23"/>
      <c r="D118" s="165" t="s">
        <v>74</v>
      </c>
      <c r="E118" s="166"/>
      <c r="F118" s="63">
        <f>SUM(F119:F121)</f>
        <v>156.96999999999997</v>
      </c>
      <c r="G118" s="51"/>
      <c r="H118" s="64"/>
      <c r="I118" s="88">
        <f>SUM(I119:I123)</f>
        <v>126327.8863</v>
      </c>
      <c r="J118" s="67"/>
      <c r="K118" s="75"/>
      <c r="L118" s="65"/>
      <c r="M118" s="69"/>
      <c r="N118" s="80"/>
      <c r="O118" s="66"/>
      <c r="P118" s="75"/>
      <c r="Q118" s="65"/>
      <c r="R118" s="66"/>
      <c r="S118" s="75"/>
      <c r="T118" s="65"/>
      <c r="U118" s="49"/>
      <c r="V118" s="76">
        <f t="shared" si="303"/>
        <v>0</v>
      </c>
      <c r="W118" s="65"/>
      <c r="X118" s="49"/>
      <c r="Y118" s="76"/>
      <c r="Z118" s="76"/>
      <c r="AA118" s="49"/>
      <c r="AB118" s="76"/>
      <c r="AC118" s="70">
        <f t="shared" si="240"/>
        <v>0</v>
      </c>
      <c r="AD118" s="49"/>
      <c r="AE118" s="76"/>
      <c r="AF118" s="70">
        <f t="shared" si="226"/>
        <v>0</v>
      </c>
      <c r="AG118" s="49"/>
      <c r="AH118" s="76"/>
      <c r="AI118" s="70">
        <f t="shared" si="227"/>
        <v>0</v>
      </c>
      <c r="AJ118" s="49"/>
      <c r="AK118" s="76"/>
      <c r="AL118" s="70">
        <f t="shared" si="228"/>
        <v>0</v>
      </c>
      <c r="AM118" s="49"/>
      <c r="AN118" s="76"/>
      <c r="AO118" s="70">
        <f t="shared" si="252"/>
        <v>0</v>
      </c>
    </row>
    <row r="119" spans="2:41" s="9" customFormat="1" ht="18" outlineLevel="2" x14ac:dyDescent="0.25">
      <c r="B119" s="23"/>
      <c r="C119" s="23"/>
      <c r="D119" s="163" t="s">
        <v>54</v>
      </c>
      <c r="E119" s="164"/>
      <c r="F119" s="32">
        <v>42.66</v>
      </c>
      <c r="G119" s="51" t="s">
        <v>68</v>
      </c>
      <c r="H119" s="64">
        <v>724.31100000000004</v>
      </c>
      <c r="I119" s="88">
        <f t="shared" si="264"/>
        <v>30899.107260000001</v>
      </c>
      <c r="J119" s="67">
        <f t="shared" ref="J119:J123" si="317">SUM(O119,R119,U119,X119,AA119,AD119,AG119,AJ119)</f>
        <v>42.66</v>
      </c>
      <c r="K119" s="83">
        <f t="shared" si="212"/>
        <v>30899.107260000001</v>
      </c>
      <c r="L119" s="37">
        <f t="shared" si="213"/>
        <v>1</v>
      </c>
      <c r="M119" s="68">
        <f t="shared" si="214"/>
        <v>0</v>
      </c>
      <c r="N119" s="81">
        <f t="shared" si="215"/>
        <v>0</v>
      </c>
      <c r="O119" s="49"/>
      <c r="P119" s="76">
        <f t="shared" si="266"/>
        <v>0</v>
      </c>
      <c r="Q119" s="70">
        <f t="shared" si="267"/>
        <v>0</v>
      </c>
      <c r="R119" s="49"/>
      <c r="S119" s="76">
        <f t="shared" si="268"/>
        <v>0</v>
      </c>
      <c r="T119" s="70">
        <f t="shared" si="269"/>
        <v>0</v>
      </c>
      <c r="U119" s="49"/>
      <c r="V119" s="76">
        <f t="shared" si="303"/>
        <v>0</v>
      </c>
      <c r="W119" s="70">
        <f t="shared" si="270"/>
        <v>0</v>
      </c>
      <c r="X119" s="49"/>
      <c r="Y119" s="76">
        <f t="shared" si="315"/>
        <v>0</v>
      </c>
      <c r="Z119" s="70">
        <f t="shared" ref="Z119:Z123" si="318">IFERROR(Y119/$I119,0)</f>
        <v>0</v>
      </c>
      <c r="AA119" s="63">
        <v>42.66</v>
      </c>
      <c r="AB119" s="76">
        <f t="shared" ref="AB119:AB123" si="319">AA119*$H119</f>
        <v>30899.107260000001</v>
      </c>
      <c r="AC119" s="70">
        <f t="shared" si="240"/>
        <v>1</v>
      </c>
      <c r="AD119" s="49"/>
      <c r="AE119" s="76">
        <f t="shared" ref="AE119:AE123" si="320">AD119*$H119</f>
        <v>0</v>
      </c>
      <c r="AF119" s="70">
        <f t="shared" si="226"/>
        <v>0</v>
      </c>
      <c r="AG119" s="49"/>
      <c r="AH119" s="76">
        <f t="shared" ref="AH119:AH123" si="321">AG119*$H119</f>
        <v>0</v>
      </c>
      <c r="AI119" s="70">
        <f t="shared" si="227"/>
        <v>0</v>
      </c>
      <c r="AJ119" s="49"/>
      <c r="AK119" s="76">
        <f t="shared" ref="AK119:AK123" si="322">AJ119*$H119</f>
        <v>0</v>
      </c>
      <c r="AL119" s="70">
        <f t="shared" si="228"/>
        <v>0</v>
      </c>
      <c r="AM119" s="49"/>
      <c r="AN119" s="76">
        <f t="shared" ref="AN119:AN123" si="323">AM119*$H119</f>
        <v>0</v>
      </c>
      <c r="AO119" s="70">
        <f t="shared" si="252"/>
        <v>0</v>
      </c>
    </row>
    <row r="120" spans="2:41" s="9" customFormat="1" ht="18" outlineLevel="2" x14ac:dyDescent="0.25">
      <c r="B120" s="23"/>
      <c r="C120" s="23"/>
      <c r="D120" s="163" t="s">
        <v>55</v>
      </c>
      <c r="E120" s="164"/>
      <c r="F120" s="32">
        <v>28.82</v>
      </c>
      <c r="G120" s="51" t="s">
        <v>68</v>
      </c>
      <c r="H120" s="64">
        <v>724.31100000000004</v>
      </c>
      <c r="I120" s="88">
        <f t="shared" si="264"/>
        <v>20874.64302</v>
      </c>
      <c r="J120" s="67">
        <f t="shared" si="317"/>
        <v>28.82</v>
      </c>
      <c r="K120" s="83">
        <f t="shared" ref="K120:K123" si="324">J120*H120</f>
        <v>20874.64302</v>
      </c>
      <c r="L120" s="37">
        <f t="shared" ref="L120:L123" si="325">IFERROR(K120/I120, 0)</f>
        <v>1</v>
      </c>
      <c r="M120" s="68">
        <f t="shared" ref="M120:M123" si="326">F120-J120</f>
        <v>0</v>
      </c>
      <c r="N120" s="81">
        <f t="shared" ref="N120:N123" si="327">M120*H120</f>
        <v>0</v>
      </c>
      <c r="O120" s="49"/>
      <c r="P120" s="76">
        <f t="shared" si="266"/>
        <v>0</v>
      </c>
      <c r="Q120" s="70">
        <f t="shared" si="267"/>
        <v>0</v>
      </c>
      <c r="R120" s="49"/>
      <c r="S120" s="76">
        <f t="shared" si="268"/>
        <v>0</v>
      </c>
      <c r="T120" s="70">
        <f t="shared" si="269"/>
        <v>0</v>
      </c>
      <c r="U120" s="49"/>
      <c r="V120" s="76">
        <f t="shared" si="303"/>
        <v>0</v>
      </c>
      <c r="W120" s="70">
        <f t="shared" si="270"/>
        <v>0</v>
      </c>
      <c r="X120" s="49"/>
      <c r="Y120" s="76">
        <f t="shared" si="315"/>
        <v>0</v>
      </c>
      <c r="Z120" s="70">
        <f t="shared" si="318"/>
        <v>0</v>
      </c>
      <c r="AA120" s="63">
        <v>28.82</v>
      </c>
      <c r="AB120" s="76">
        <f t="shared" si="319"/>
        <v>20874.64302</v>
      </c>
      <c r="AC120" s="70">
        <f t="shared" si="240"/>
        <v>1</v>
      </c>
      <c r="AD120" s="49"/>
      <c r="AE120" s="76">
        <f t="shared" si="320"/>
        <v>0</v>
      </c>
      <c r="AF120" s="70">
        <f t="shared" si="226"/>
        <v>0</v>
      </c>
      <c r="AG120" s="49"/>
      <c r="AH120" s="76">
        <f t="shared" si="321"/>
        <v>0</v>
      </c>
      <c r="AI120" s="70">
        <f t="shared" si="227"/>
        <v>0</v>
      </c>
      <c r="AJ120" s="49"/>
      <c r="AK120" s="76">
        <f t="shared" si="322"/>
        <v>0</v>
      </c>
      <c r="AL120" s="70">
        <f t="shared" si="228"/>
        <v>0</v>
      </c>
      <c r="AM120" s="49"/>
      <c r="AN120" s="76">
        <f t="shared" si="323"/>
        <v>0</v>
      </c>
      <c r="AO120" s="70">
        <f t="shared" si="252"/>
        <v>0</v>
      </c>
    </row>
    <row r="121" spans="2:41" s="9" customFormat="1" ht="18" outlineLevel="2" x14ac:dyDescent="0.25">
      <c r="B121" s="23"/>
      <c r="C121" s="23"/>
      <c r="D121" s="163" t="s">
        <v>56</v>
      </c>
      <c r="E121" s="164"/>
      <c r="F121" s="32">
        <v>85.49</v>
      </c>
      <c r="G121" s="51" t="s">
        <v>68</v>
      </c>
      <c r="H121" s="64">
        <v>724.31100000000004</v>
      </c>
      <c r="I121" s="88">
        <f t="shared" si="264"/>
        <v>61921.347390000003</v>
      </c>
      <c r="J121" s="67">
        <f t="shared" si="317"/>
        <v>85.49</v>
      </c>
      <c r="K121" s="83">
        <f t="shared" si="324"/>
        <v>61921.347390000003</v>
      </c>
      <c r="L121" s="37">
        <f t="shared" si="325"/>
        <v>1</v>
      </c>
      <c r="M121" s="68">
        <f t="shared" si="326"/>
        <v>0</v>
      </c>
      <c r="N121" s="81">
        <f t="shared" si="327"/>
        <v>0</v>
      </c>
      <c r="O121" s="49"/>
      <c r="P121" s="76">
        <f t="shared" si="266"/>
        <v>0</v>
      </c>
      <c r="Q121" s="70">
        <f t="shared" si="267"/>
        <v>0</v>
      </c>
      <c r="R121" s="49"/>
      <c r="S121" s="76">
        <f t="shared" si="268"/>
        <v>0</v>
      </c>
      <c r="T121" s="70">
        <f t="shared" si="269"/>
        <v>0</v>
      </c>
      <c r="U121" s="49"/>
      <c r="V121" s="76">
        <f t="shared" si="303"/>
        <v>0</v>
      </c>
      <c r="W121" s="70">
        <f t="shared" si="270"/>
        <v>0</v>
      </c>
      <c r="X121" s="49"/>
      <c r="Y121" s="76">
        <f t="shared" si="315"/>
        <v>0</v>
      </c>
      <c r="Z121" s="70">
        <f t="shared" si="318"/>
        <v>0</v>
      </c>
      <c r="AA121" s="32">
        <v>85.49</v>
      </c>
      <c r="AB121" s="76">
        <f t="shared" si="319"/>
        <v>61921.347390000003</v>
      </c>
      <c r="AC121" s="70">
        <f t="shared" si="240"/>
        <v>1</v>
      </c>
      <c r="AD121" s="49"/>
      <c r="AE121" s="76">
        <f t="shared" si="320"/>
        <v>0</v>
      </c>
      <c r="AF121" s="70">
        <f t="shared" si="226"/>
        <v>0</v>
      </c>
      <c r="AG121" s="49"/>
      <c r="AH121" s="76">
        <f t="shared" si="321"/>
        <v>0</v>
      </c>
      <c r="AI121" s="70">
        <f t="shared" si="227"/>
        <v>0</v>
      </c>
      <c r="AJ121" s="49"/>
      <c r="AK121" s="76">
        <f t="shared" si="322"/>
        <v>0</v>
      </c>
      <c r="AL121" s="70">
        <f t="shared" si="228"/>
        <v>0</v>
      </c>
      <c r="AM121" s="49"/>
      <c r="AN121" s="76">
        <f t="shared" si="323"/>
        <v>0</v>
      </c>
      <c r="AO121" s="70">
        <f t="shared" si="252"/>
        <v>0</v>
      </c>
    </row>
    <row r="122" spans="2:41" s="9" customFormat="1" ht="18" outlineLevel="2" x14ac:dyDescent="0.25">
      <c r="B122" s="23"/>
      <c r="C122" s="23"/>
      <c r="D122" s="163" t="s">
        <v>96</v>
      </c>
      <c r="E122" s="164"/>
      <c r="F122" s="63">
        <f>F118</f>
        <v>156.96999999999997</v>
      </c>
      <c r="G122" s="51" t="s">
        <v>68</v>
      </c>
      <c r="H122" s="64">
        <v>40.2395</v>
      </c>
      <c r="I122" s="88">
        <f t="shared" si="264"/>
        <v>6316.3943149999986</v>
      </c>
      <c r="J122" s="67">
        <f t="shared" si="317"/>
        <v>156.96999999999997</v>
      </c>
      <c r="K122" s="83">
        <f t="shared" si="324"/>
        <v>6316.3943149999986</v>
      </c>
      <c r="L122" s="37">
        <f t="shared" si="325"/>
        <v>1</v>
      </c>
      <c r="M122" s="68">
        <f t="shared" si="326"/>
        <v>0</v>
      </c>
      <c r="N122" s="81">
        <f t="shared" si="327"/>
        <v>0</v>
      </c>
      <c r="O122" s="49"/>
      <c r="P122" s="76"/>
      <c r="Q122" s="70"/>
      <c r="R122" s="49"/>
      <c r="S122" s="76"/>
      <c r="T122" s="70"/>
      <c r="U122" s="49"/>
      <c r="V122" s="76"/>
      <c r="W122" s="70"/>
      <c r="X122" s="49"/>
      <c r="Y122" s="76">
        <f t="shared" si="315"/>
        <v>0</v>
      </c>
      <c r="Z122" s="70">
        <f t="shared" si="318"/>
        <v>0</v>
      </c>
      <c r="AA122" s="49"/>
      <c r="AB122" s="76">
        <f t="shared" si="319"/>
        <v>0</v>
      </c>
      <c r="AC122" s="70">
        <f t="shared" si="240"/>
        <v>0</v>
      </c>
      <c r="AD122" s="49"/>
      <c r="AE122" s="76">
        <f t="shared" si="320"/>
        <v>0</v>
      </c>
      <c r="AF122" s="70">
        <f t="shared" si="226"/>
        <v>0</v>
      </c>
      <c r="AG122" s="49">
        <f t="shared" ref="AG122:AG123" si="328">F122</f>
        <v>156.96999999999997</v>
      </c>
      <c r="AH122" s="76">
        <f t="shared" si="321"/>
        <v>6316.3943149999986</v>
      </c>
      <c r="AI122" s="70">
        <f t="shared" si="227"/>
        <v>1</v>
      </c>
      <c r="AJ122" s="49"/>
      <c r="AK122" s="76">
        <f t="shared" si="322"/>
        <v>0</v>
      </c>
      <c r="AL122" s="70">
        <f t="shared" si="228"/>
        <v>0</v>
      </c>
      <c r="AM122" s="49"/>
      <c r="AN122" s="76">
        <f t="shared" si="323"/>
        <v>0</v>
      </c>
      <c r="AO122" s="70">
        <f t="shared" si="252"/>
        <v>0</v>
      </c>
    </row>
    <row r="123" spans="2:41" s="9" customFormat="1" ht="18" outlineLevel="2" x14ac:dyDescent="0.25">
      <c r="B123" s="23"/>
      <c r="C123" s="23"/>
      <c r="D123" s="163" t="s">
        <v>97</v>
      </c>
      <c r="E123" s="164"/>
      <c r="F123" s="63">
        <f>F118</f>
        <v>156.96999999999997</v>
      </c>
      <c r="G123" s="51" t="s">
        <v>68</v>
      </c>
      <c r="H123" s="64">
        <v>40.2395</v>
      </c>
      <c r="I123" s="88">
        <f t="shared" si="264"/>
        <v>6316.3943149999986</v>
      </c>
      <c r="J123" s="67">
        <f t="shared" si="317"/>
        <v>156.96999999999997</v>
      </c>
      <c r="K123" s="83">
        <f t="shared" si="324"/>
        <v>6316.3943149999986</v>
      </c>
      <c r="L123" s="37">
        <f t="shared" si="325"/>
        <v>1</v>
      </c>
      <c r="M123" s="68">
        <f t="shared" si="326"/>
        <v>0</v>
      </c>
      <c r="N123" s="81">
        <f t="shared" si="327"/>
        <v>0</v>
      </c>
      <c r="O123" s="49"/>
      <c r="P123" s="76"/>
      <c r="Q123" s="70"/>
      <c r="R123" s="49"/>
      <c r="S123" s="76"/>
      <c r="T123" s="70"/>
      <c r="U123" s="49"/>
      <c r="V123" s="76"/>
      <c r="W123" s="70"/>
      <c r="X123" s="49"/>
      <c r="Y123" s="76">
        <f t="shared" si="315"/>
        <v>0</v>
      </c>
      <c r="Z123" s="70">
        <f t="shared" si="318"/>
        <v>0</v>
      </c>
      <c r="AA123" s="49"/>
      <c r="AB123" s="76">
        <f t="shared" si="319"/>
        <v>0</v>
      </c>
      <c r="AC123" s="70">
        <f t="shared" si="240"/>
        <v>0</v>
      </c>
      <c r="AD123" s="49"/>
      <c r="AE123" s="76">
        <f t="shared" si="320"/>
        <v>0</v>
      </c>
      <c r="AF123" s="70">
        <f t="shared" si="226"/>
        <v>0</v>
      </c>
      <c r="AG123" s="49">
        <f t="shared" si="328"/>
        <v>156.96999999999997</v>
      </c>
      <c r="AH123" s="76">
        <f t="shared" si="321"/>
        <v>6316.3943149999986</v>
      </c>
      <c r="AI123" s="70">
        <f t="shared" si="227"/>
        <v>1</v>
      </c>
      <c r="AJ123" s="49"/>
      <c r="AK123" s="76">
        <f t="shared" si="322"/>
        <v>0</v>
      </c>
      <c r="AL123" s="70">
        <f t="shared" si="228"/>
        <v>0</v>
      </c>
      <c r="AM123" s="49"/>
      <c r="AN123" s="76">
        <f t="shared" si="323"/>
        <v>0</v>
      </c>
      <c r="AO123" s="70">
        <f t="shared" si="252"/>
        <v>0</v>
      </c>
    </row>
    <row r="124" spans="2:41" s="50" customFormat="1" ht="25.35" customHeight="1" outlineLevel="2" x14ac:dyDescent="0.25">
      <c r="B124" s="61"/>
      <c r="C124" s="23"/>
      <c r="D124" s="165" t="s">
        <v>75</v>
      </c>
      <c r="E124" s="166"/>
      <c r="F124" s="63">
        <f>SUM(F125:F127)</f>
        <v>156.96999999999997</v>
      </c>
      <c r="G124" s="51"/>
      <c r="H124" s="64"/>
      <c r="I124" s="88">
        <f>SUM(I125:I129)</f>
        <v>126327.8863</v>
      </c>
      <c r="J124" s="67"/>
      <c r="K124" s="75"/>
      <c r="L124" s="65"/>
      <c r="M124" s="69"/>
      <c r="N124" s="80"/>
      <c r="O124" s="66"/>
      <c r="P124" s="75"/>
      <c r="Q124" s="65"/>
      <c r="R124" s="66"/>
      <c r="S124" s="75"/>
      <c r="T124" s="65"/>
      <c r="U124" s="49"/>
      <c r="V124" s="76">
        <f t="shared" si="303"/>
        <v>0</v>
      </c>
      <c r="W124" s="65"/>
      <c r="X124" s="49"/>
      <c r="Y124" s="76"/>
      <c r="Z124" s="76"/>
      <c r="AA124" s="49"/>
      <c r="AB124" s="76"/>
      <c r="AC124" s="70">
        <f t="shared" si="240"/>
        <v>0</v>
      </c>
      <c r="AD124" s="49"/>
      <c r="AE124" s="76"/>
      <c r="AF124" s="70">
        <f t="shared" si="226"/>
        <v>0</v>
      </c>
      <c r="AG124" s="49"/>
      <c r="AH124" s="76"/>
      <c r="AI124" s="70">
        <f t="shared" si="227"/>
        <v>0</v>
      </c>
      <c r="AJ124" s="49"/>
      <c r="AK124" s="76"/>
      <c r="AL124" s="70">
        <f t="shared" si="228"/>
        <v>0</v>
      </c>
      <c r="AM124" s="49"/>
      <c r="AN124" s="76"/>
      <c r="AO124" s="70">
        <f t="shared" si="252"/>
        <v>0</v>
      </c>
    </row>
    <row r="125" spans="2:41" s="9" customFormat="1" ht="18" outlineLevel="2" x14ac:dyDescent="0.25">
      <c r="B125" s="23"/>
      <c r="C125" s="23"/>
      <c r="D125" s="163" t="s">
        <v>54</v>
      </c>
      <c r="E125" s="164"/>
      <c r="F125" s="32">
        <v>42.66</v>
      </c>
      <c r="G125" s="51" t="s">
        <v>68</v>
      </c>
      <c r="H125" s="64">
        <v>724.31100000000004</v>
      </c>
      <c r="I125" s="88">
        <f t="shared" si="264"/>
        <v>30899.107260000001</v>
      </c>
      <c r="J125" s="67">
        <f>SUM(O125,R125,U125,X125,AA125,AD125,AG125,AJ125)</f>
        <v>42.66</v>
      </c>
      <c r="K125" s="83">
        <f t="shared" si="212"/>
        <v>30899.107260000001</v>
      </c>
      <c r="L125" s="37">
        <f t="shared" si="213"/>
        <v>1</v>
      </c>
      <c r="M125" s="68">
        <f t="shared" si="214"/>
        <v>0</v>
      </c>
      <c r="N125" s="81">
        <f t="shared" si="215"/>
        <v>0</v>
      </c>
      <c r="O125" s="49"/>
      <c r="P125" s="76">
        <f t="shared" si="266"/>
        <v>0</v>
      </c>
      <c r="Q125" s="70">
        <f t="shared" si="267"/>
        <v>0</v>
      </c>
      <c r="R125" s="49"/>
      <c r="S125" s="76">
        <f t="shared" si="268"/>
        <v>0</v>
      </c>
      <c r="T125" s="70">
        <f t="shared" si="269"/>
        <v>0</v>
      </c>
      <c r="U125" s="49"/>
      <c r="V125" s="76">
        <f t="shared" si="303"/>
        <v>0</v>
      </c>
      <c r="W125" s="70">
        <f t="shared" si="270"/>
        <v>0</v>
      </c>
      <c r="X125" s="49"/>
      <c r="Y125" s="76">
        <f t="shared" si="315"/>
        <v>0</v>
      </c>
      <c r="Z125" s="70">
        <f t="shared" ref="Z125:Z129" si="329">IFERROR(Y125/$I125,0)</f>
        <v>0</v>
      </c>
      <c r="AA125" s="63">
        <v>42.66</v>
      </c>
      <c r="AB125" s="76">
        <f t="shared" ref="AB125:AB129" si="330">AA125*$H125</f>
        <v>30899.107260000001</v>
      </c>
      <c r="AC125" s="70">
        <f t="shared" si="240"/>
        <v>1</v>
      </c>
      <c r="AD125" s="63"/>
      <c r="AE125" s="76">
        <f>AD125*$H125</f>
        <v>0</v>
      </c>
      <c r="AF125" s="70">
        <f t="shared" si="226"/>
        <v>0</v>
      </c>
      <c r="AG125" s="49"/>
      <c r="AH125" s="76">
        <f t="shared" ref="AH125:AH129" si="331">AG125*$H125</f>
        <v>0</v>
      </c>
      <c r="AI125" s="70">
        <f t="shared" si="227"/>
        <v>0</v>
      </c>
      <c r="AJ125" s="49"/>
      <c r="AK125" s="76">
        <f t="shared" ref="AK125:AK129" si="332">AJ125*$H125</f>
        <v>0</v>
      </c>
      <c r="AL125" s="70">
        <f t="shared" si="228"/>
        <v>0</v>
      </c>
      <c r="AM125" s="49"/>
      <c r="AN125" s="76">
        <f t="shared" ref="AN125:AN129" si="333">AM125*$H125</f>
        <v>0</v>
      </c>
      <c r="AO125" s="70">
        <f t="shared" si="252"/>
        <v>0</v>
      </c>
    </row>
    <row r="126" spans="2:41" s="9" customFormat="1" ht="18" outlineLevel="2" x14ac:dyDescent="0.25">
      <c r="B126" s="23"/>
      <c r="C126" s="23"/>
      <c r="D126" s="163" t="s">
        <v>55</v>
      </c>
      <c r="E126" s="164"/>
      <c r="F126" s="32">
        <v>28.82</v>
      </c>
      <c r="G126" s="51" t="s">
        <v>68</v>
      </c>
      <c r="H126" s="64">
        <v>724.31100000000004</v>
      </c>
      <c r="I126" s="88">
        <f t="shared" si="264"/>
        <v>20874.64302</v>
      </c>
      <c r="J126" s="67">
        <f t="shared" ref="J126:J129" si="334">SUM(O126,R126,U126,X126,AA126,AD126,AG126,AJ126)</f>
        <v>28.82</v>
      </c>
      <c r="K126" s="83">
        <f t="shared" ref="K126:K129" si="335">J126*H126</f>
        <v>20874.64302</v>
      </c>
      <c r="L126" s="37">
        <f t="shared" ref="L126:L129" si="336">IFERROR(K126/I126, 0)</f>
        <v>1</v>
      </c>
      <c r="M126" s="68">
        <f t="shared" ref="M126:M129" si="337">F126-J126</f>
        <v>0</v>
      </c>
      <c r="N126" s="81">
        <f t="shared" ref="N126:N129" si="338">M126*H126</f>
        <v>0</v>
      </c>
      <c r="O126" s="49"/>
      <c r="P126" s="76">
        <f t="shared" si="266"/>
        <v>0</v>
      </c>
      <c r="Q126" s="70">
        <f t="shared" si="267"/>
        <v>0</v>
      </c>
      <c r="R126" s="49"/>
      <c r="S126" s="76">
        <f t="shared" si="268"/>
        <v>0</v>
      </c>
      <c r="T126" s="70">
        <f t="shared" si="269"/>
        <v>0</v>
      </c>
      <c r="U126" s="49"/>
      <c r="V126" s="76">
        <f t="shared" si="303"/>
        <v>0</v>
      </c>
      <c r="W126" s="70">
        <f t="shared" si="270"/>
        <v>0</v>
      </c>
      <c r="X126" s="49"/>
      <c r="Y126" s="76">
        <f t="shared" si="315"/>
        <v>0</v>
      </c>
      <c r="Z126" s="70">
        <f t="shared" si="329"/>
        <v>0</v>
      </c>
      <c r="AA126" s="63">
        <v>28.82</v>
      </c>
      <c r="AB126" s="76">
        <f t="shared" si="330"/>
        <v>20874.64302</v>
      </c>
      <c r="AC126" s="70">
        <f t="shared" si="240"/>
        <v>1</v>
      </c>
      <c r="AD126" s="63"/>
      <c r="AE126" s="76">
        <f t="shared" ref="AE126:AE129" si="339">AD126*$H126</f>
        <v>0</v>
      </c>
      <c r="AF126" s="70">
        <f t="shared" si="226"/>
        <v>0</v>
      </c>
      <c r="AG126" s="49"/>
      <c r="AH126" s="76">
        <f t="shared" si="331"/>
        <v>0</v>
      </c>
      <c r="AI126" s="70">
        <f t="shared" si="227"/>
        <v>0</v>
      </c>
      <c r="AJ126" s="49"/>
      <c r="AK126" s="76">
        <f t="shared" si="332"/>
        <v>0</v>
      </c>
      <c r="AL126" s="70">
        <f t="shared" si="228"/>
        <v>0</v>
      </c>
      <c r="AM126" s="49"/>
      <c r="AN126" s="76">
        <f t="shared" si="333"/>
        <v>0</v>
      </c>
      <c r="AO126" s="70">
        <f t="shared" si="252"/>
        <v>0</v>
      </c>
    </row>
    <row r="127" spans="2:41" s="9" customFormat="1" ht="18" outlineLevel="2" x14ac:dyDescent="0.25">
      <c r="B127" s="23"/>
      <c r="C127" s="23"/>
      <c r="D127" s="163" t="s">
        <v>56</v>
      </c>
      <c r="E127" s="164"/>
      <c r="F127" s="32">
        <v>85.49</v>
      </c>
      <c r="G127" s="51" t="s">
        <v>68</v>
      </c>
      <c r="H127" s="64">
        <v>724.31100000000004</v>
      </c>
      <c r="I127" s="88">
        <f t="shared" si="264"/>
        <v>61921.347390000003</v>
      </c>
      <c r="J127" s="67">
        <f t="shared" si="334"/>
        <v>85.49</v>
      </c>
      <c r="K127" s="83">
        <f t="shared" si="335"/>
        <v>61921.347390000003</v>
      </c>
      <c r="L127" s="37">
        <f t="shared" si="336"/>
        <v>1</v>
      </c>
      <c r="M127" s="68">
        <f t="shared" si="337"/>
        <v>0</v>
      </c>
      <c r="N127" s="81">
        <f t="shared" si="338"/>
        <v>0</v>
      </c>
      <c r="O127" s="49"/>
      <c r="P127" s="76">
        <f t="shared" si="266"/>
        <v>0</v>
      </c>
      <c r="Q127" s="70">
        <f t="shared" si="267"/>
        <v>0</v>
      </c>
      <c r="R127" s="49"/>
      <c r="S127" s="76">
        <f t="shared" si="268"/>
        <v>0</v>
      </c>
      <c r="T127" s="70">
        <f t="shared" si="269"/>
        <v>0</v>
      </c>
      <c r="U127" s="49"/>
      <c r="V127" s="76">
        <f t="shared" si="303"/>
        <v>0</v>
      </c>
      <c r="W127" s="70">
        <f t="shared" si="270"/>
        <v>0</v>
      </c>
      <c r="X127" s="49"/>
      <c r="Y127" s="76">
        <f t="shared" si="315"/>
        <v>0</v>
      </c>
      <c r="Z127" s="70">
        <f t="shared" si="329"/>
        <v>0</v>
      </c>
      <c r="AA127" s="32">
        <v>85.49</v>
      </c>
      <c r="AB127" s="76">
        <f t="shared" si="330"/>
        <v>61921.347390000003</v>
      </c>
      <c r="AC127" s="70">
        <f t="shared" si="240"/>
        <v>1</v>
      </c>
      <c r="AD127" s="32"/>
      <c r="AE127" s="76">
        <f t="shared" si="339"/>
        <v>0</v>
      </c>
      <c r="AF127" s="70">
        <f t="shared" si="226"/>
        <v>0</v>
      </c>
      <c r="AG127" s="49"/>
      <c r="AH127" s="76">
        <f t="shared" si="331"/>
        <v>0</v>
      </c>
      <c r="AI127" s="70">
        <f t="shared" si="227"/>
        <v>0</v>
      </c>
      <c r="AJ127" s="49"/>
      <c r="AK127" s="76">
        <f t="shared" si="332"/>
        <v>0</v>
      </c>
      <c r="AL127" s="70">
        <f t="shared" si="228"/>
        <v>0</v>
      </c>
      <c r="AM127" s="49"/>
      <c r="AN127" s="76">
        <f t="shared" si="333"/>
        <v>0</v>
      </c>
      <c r="AO127" s="70">
        <f t="shared" si="252"/>
        <v>0</v>
      </c>
    </row>
    <row r="128" spans="2:41" s="9" customFormat="1" ht="18" outlineLevel="2" x14ac:dyDescent="0.25">
      <c r="B128" s="23"/>
      <c r="C128" s="23"/>
      <c r="D128" s="163" t="s">
        <v>96</v>
      </c>
      <c r="E128" s="164"/>
      <c r="F128" s="63">
        <f>F124</f>
        <v>156.96999999999997</v>
      </c>
      <c r="G128" s="51" t="s">
        <v>68</v>
      </c>
      <c r="H128" s="64">
        <v>40.2395</v>
      </c>
      <c r="I128" s="88">
        <f t="shared" si="264"/>
        <v>6316.3943149999986</v>
      </c>
      <c r="J128" s="67">
        <f t="shared" si="334"/>
        <v>156.96999999999997</v>
      </c>
      <c r="K128" s="83">
        <f t="shared" si="335"/>
        <v>6316.3943149999986</v>
      </c>
      <c r="L128" s="37">
        <f t="shared" si="336"/>
        <v>1</v>
      </c>
      <c r="M128" s="68">
        <f t="shared" si="337"/>
        <v>0</v>
      </c>
      <c r="N128" s="81">
        <f t="shared" si="338"/>
        <v>0</v>
      </c>
      <c r="O128" s="49"/>
      <c r="P128" s="76"/>
      <c r="Q128" s="70"/>
      <c r="R128" s="49"/>
      <c r="S128" s="76"/>
      <c r="T128" s="70"/>
      <c r="U128" s="49"/>
      <c r="V128" s="76"/>
      <c r="W128" s="70"/>
      <c r="X128" s="49"/>
      <c r="Y128" s="76">
        <f t="shared" si="315"/>
        <v>0</v>
      </c>
      <c r="Z128" s="70">
        <f t="shared" si="329"/>
        <v>0</v>
      </c>
      <c r="AA128" s="49"/>
      <c r="AB128" s="76">
        <f t="shared" si="330"/>
        <v>0</v>
      </c>
      <c r="AC128" s="70">
        <f t="shared" si="240"/>
        <v>0</v>
      </c>
      <c r="AD128" s="49"/>
      <c r="AE128" s="76">
        <f t="shared" si="339"/>
        <v>0</v>
      </c>
      <c r="AF128" s="70">
        <f t="shared" si="226"/>
        <v>0</v>
      </c>
      <c r="AG128" s="49">
        <f>F128</f>
        <v>156.96999999999997</v>
      </c>
      <c r="AH128" s="76">
        <f t="shared" si="331"/>
        <v>6316.3943149999986</v>
      </c>
      <c r="AI128" s="70">
        <f t="shared" si="227"/>
        <v>1</v>
      </c>
      <c r="AJ128" s="49"/>
      <c r="AK128" s="76">
        <f t="shared" si="332"/>
        <v>0</v>
      </c>
      <c r="AL128" s="70">
        <f t="shared" si="228"/>
        <v>0</v>
      </c>
      <c r="AM128" s="49"/>
      <c r="AN128" s="76">
        <f t="shared" si="333"/>
        <v>0</v>
      </c>
      <c r="AO128" s="70">
        <f t="shared" si="252"/>
        <v>0</v>
      </c>
    </row>
    <row r="129" spans="2:41" s="9" customFormat="1" ht="18" outlineLevel="2" x14ac:dyDescent="0.25">
      <c r="B129" s="23"/>
      <c r="C129" s="23"/>
      <c r="D129" s="163" t="s">
        <v>97</v>
      </c>
      <c r="E129" s="164"/>
      <c r="F129" s="63">
        <f>F124</f>
        <v>156.96999999999997</v>
      </c>
      <c r="G129" s="51" t="s">
        <v>68</v>
      </c>
      <c r="H129" s="64">
        <v>40.2395</v>
      </c>
      <c r="I129" s="88">
        <f t="shared" si="264"/>
        <v>6316.3943149999986</v>
      </c>
      <c r="J129" s="67">
        <f t="shared" si="334"/>
        <v>156.96999999999997</v>
      </c>
      <c r="K129" s="83">
        <f t="shared" si="335"/>
        <v>6316.3943149999986</v>
      </c>
      <c r="L129" s="37">
        <f t="shared" si="336"/>
        <v>1</v>
      </c>
      <c r="M129" s="68">
        <f t="shared" si="337"/>
        <v>0</v>
      </c>
      <c r="N129" s="81">
        <f t="shared" si="338"/>
        <v>0</v>
      </c>
      <c r="O129" s="49"/>
      <c r="P129" s="76"/>
      <c r="Q129" s="70"/>
      <c r="R129" s="49"/>
      <c r="S129" s="76"/>
      <c r="T129" s="70"/>
      <c r="U129" s="49"/>
      <c r="V129" s="76"/>
      <c r="W129" s="70"/>
      <c r="X129" s="49"/>
      <c r="Y129" s="76">
        <f t="shared" si="315"/>
        <v>0</v>
      </c>
      <c r="Z129" s="70">
        <f t="shared" si="329"/>
        <v>0</v>
      </c>
      <c r="AA129" s="49"/>
      <c r="AB129" s="76">
        <f t="shared" si="330"/>
        <v>0</v>
      </c>
      <c r="AC129" s="70">
        <f t="shared" si="240"/>
        <v>0</v>
      </c>
      <c r="AD129" s="49"/>
      <c r="AE129" s="76">
        <f t="shared" si="339"/>
        <v>0</v>
      </c>
      <c r="AF129" s="70">
        <f t="shared" si="226"/>
        <v>0</v>
      </c>
      <c r="AG129" s="49">
        <f>F129</f>
        <v>156.96999999999997</v>
      </c>
      <c r="AH129" s="76">
        <f t="shared" si="331"/>
        <v>6316.3943149999986</v>
      </c>
      <c r="AI129" s="70">
        <f t="shared" si="227"/>
        <v>1</v>
      </c>
      <c r="AJ129" s="49"/>
      <c r="AK129" s="76">
        <f t="shared" si="332"/>
        <v>0</v>
      </c>
      <c r="AL129" s="70">
        <f t="shared" si="228"/>
        <v>0</v>
      </c>
      <c r="AM129" s="49"/>
      <c r="AN129" s="76">
        <f t="shared" si="333"/>
        <v>0</v>
      </c>
      <c r="AO129" s="70">
        <f t="shared" si="252"/>
        <v>0</v>
      </c>
    </row>
    <row r="130" spans="2:41" s="50" customFormat="1" ht="25.35" customHeight="1" outlineLevel="2" x14ac:dyDescent="0.25">
      <c r="B130" s="61"/>
      <c r="C130" s="23"/>
      <c r="D130" s="165" t="s">
        <v>76</v>
      </c>
      <c r="E130" s="166"/>
      <c r="F130" s="63">
        <f>SUM(F131:F133)</f>
        <v>156.96999999999997</v>
      </c>
      <c r="G130" s="51"/>
      <c r="H130" s="64"/>
      <c r="I130" s="88">
        <f>SUM(I131:I135)</f>
        <v>126327.8863</v>
      </c>
      <c r="J130" s="67"/>
      <c r="K130" s="75"/>
      <c r="L130" s="65"/>
      <c r="M130" s="69"/>
      <c r="N130" s="80"/>
      <c r="O130" s="66"/>
      <c r="P130" s="75"/>
      <c r="Q130" s="65"/>
      <c r="R130" s="66"/>
      <c r="S130" s="75"/>
      <c r="T130" s="65"/>
      <c r="U130" s="49"/>
      <c r="V130" s="76">
        <f t="shared" si="303"/>
        <v>0</v>
      </c>
      <c r="W130" s="65"/>
      <c r="X130" s="49"/>
      <c r="Y130" s="76"/>
      <c r="Z130" s="76"/>
      <c r="AA130" s="49"/>
      <c r="AB130" s="76"/>
      <c r="AC130" s="70">
        <f t="shared" si="240"/>
        <v>0</v>
      </c>
      <c r="AD130" s="49"/>
      <c r="AE130" s="76"/>
      <c r="AF130" s="70">
        <f t="shared" si="226"/>
        <v>0</v>
      </c>
      <c r="AG130" s="49"/>
      <c r="AH130" s="76"/>
      <c r="AI130" s="70">
        <f t="shared" si="227"/>
        <v>0</v>
      </c>
      <c r="AJ130" s="49"/>
      <c r="AK130" s="76"/>
      <c r="AL130" s="70">
        <f t="shared" si="228"/>
        <v>0</v>
      </c>
      <c r="AM130" s="49"/>
      <c r="AN130" s="76"/>
      <c r="AO130" s="70">
        <f t="shared" si="252"/>
        <v>0</v>
      </c>
    </row>
    <row r="131" spans="2:41" s="9" customFormat="1" ht="18" outlineLevel="2" x14ac:dyDescent="0.25">
      <c r="B131" s="23"/>
      <c r="C131" s="23"/>
      <c r="D131" s="163" t="s">
        <v>54</v>
      </c>
      <c r="E131" s="164"/>
      <c r="F131" s="32">
        <v>42.66</v>
      </c>
      <c r="G131" s="51" t="s">
        <v>68</v>
      </c>
      <c r="H131" s="64">
        <v>724.31100000000004</v>
      </c>
      <c r="I131" s="88">
        <f t="shared" si="264"/>
        <v>30899.107260000001</v>
      </c>
      <c r="J131" s="67">
        <f t="shared" ref="J131:J135" si="340">SUM(O131,R131,U131,X131,AA131,AD131,AG131,AJ131)</f>
        <v>42.66</v>
      </c>
      <c r="K131" s="83">
        <f t="shared" si="212"/>
        <v>30899.107260000001</v>
      </c>
      <c r="L131" s="37">
        <f t="shared" si="213"/>
        <v>1</v>
      </c>
      <c r="M131" s="68">
        <f t="shared" si="214"/>
        <v>0</v>
      </c>
      <c r="N131" s="81">
        <f t="shared" si="215"/>
        <v>0</v>
      </c>
      <c r="O131" s="49"/>
      <c r="P131" s="76">
        <f t="shared" si="266"/>
        <v>0</v>
      </c>
      <c r="Q131" s="70">
        <f t="shared" si="267"/>
        <v>0</v>
      </c>
      <c r="R131" s="49"/>
      <c r="S131" s="76">
        <f t="shared" si="268"/>
        <v>0</v>
      </c>
      <c r="T131" s="70">
        <f t="shared" si="269"/>
        <v>0</v>
      </c>
      <c r="U131" s="49"/>
      <c r="V131" s="76">
        <f t="shared" si="303"/>
        <v>0</v>
      </c>
      <c r="W131" s="70">
        <f t="shared" si="270"/>
        <v>0</v>
      </c>
      <c r="X131" s="49"/>
      <c r="Y131" s="76">
        <f t="shared" si="315"/>
        <v>0</v>
      </c>
      <c r="Z131" s="70">
        <f t="shared" ref="Z131:Z135" si="341">IFERROR(Y131/$I131,0)</f>
        <v>0</v>
      </c>
      <c r="AA131" s="63">
        <v>42.66</v>
      </c>
      <c r="AB131" s="76">
        <f t="shared" ref="AB131:AB135" si="342">AA131*$H131</f>
        <v>30899.107260000001</v>
      </c>
      <c r="AC131" s="70">
        <f t="shared" si="240"/>
        <v>1</v>
      </c>
      <c r="AD131" s="63"/>
      <c r="AE131" s="76">
        <f t="shared" ref="AE131:AE135" si="343">AD131*$H131</f>
        <v>0</v>
      </c>
      <c r="AF131" s="70">
        <f t="shared" si="226"/>
        <v>0</v>
      </c>
      <c r="AG131" s="49"/>
      <c r="AH131" s="76">
        <f t="shared" ref="AH131:AH135" si="344">AG131*$H131</f>
        <v>0</v>
      </c>
      <c r="AI131" s="70">
        <f t="shared" si="227"/>
        <v>0</v>
      </c>
      <c r="AJ131" s="49"/>
      <c r="AK131" s="76">
        <f t="shared" ref="AK131:AK135" si="345">AJ131*$H131</f>
        <v>0</v>
      </c>
      <c r="AL131" s="70">
        <f t="shared" si="228"/>
        <v>0</v>
      </c>
      <c r="AM131" s="49"/>
      <c r="AN131" s="76">
        <f t="shared" ref="AN131:AN135" si="346">AM131*$H131</f>
        <v>0</v>
      </c>
      <c r="AO131" s="70">
        <f t="shared" si="252"/>
        <v>0</v>
      </c>
    </row>
    <row r="132" spans="2:41" s="9" customFormat="1" ht="18" outlineLevel="2" x14ac:dyDescent="0.25">
      <c r="B132" s="23"/>
      <c r="C132" s="23"/>
      <c r="D132" s="163" t="s">
        <v>55</v>
      </c>
      <c r="E132" s="164"/>
      <c r="F132" s="32">
        <v>28.82</v>
      </c>
      <c r="G132" s="51" t="s">
        <v>68</v>
      </c>
      <c r="H132" s="64">
        <v>724.31100000000004</v>
      </c>
      <c r="I132" s="88">
        <f t="shared" si="264"/>
        <v>20874.64302</v>
      </c>
      <c r="J132" s="67">
        <f t="shared" si="340"/>
        <v>28.82</v>
      </c>
      <c r="K132" s="83">
        <f t="shared" ref="K132:K135" si="347">J132*H132</f>
        <v>20874.64302</v>
      </c>
      <c r="L132" s="37">
        <f t="shared" ref="L132:L135" si="348">IFERROR(K132/I132, 0)</f>
        <v>1</v>
      </c>
      <c r="M132" s="68">
        <f t="shared" ref="M132:M135" si="349">F132-J132</f>
        <v>0</v>
      </c>
      <c r="N132" s="81">
        <f t="shared" ref="N132:N135" si="350">M132*H132</f>
        <v>0</v>
      </c>
      <c r="O132" s="49"/>
      <c r="P132" s="76">
        <f t="shared" si="266"/>
        <v>0</v>
      </c>
      <c r="Q132" s="70">
        <f t="shared" si="267"/>
        <v>0</v>
      </c>
      <c r="R132" s="49"/>
      <c r="S132" s="76">
        <f t="shared" si="268"/>
        <v>0</v>
      </c>
      <c r="T132" s="70">
        <f t="shared" si="269"/>
        <v>0</v>
      </c>
      <c r="U132" s="49"/>
      <c r="V132" s="76">
        <f t="shared" si="303"/>
        <v>0</v>
      </c>
      <c r="W132" s="70">
        <f t="shared" si="270"/>
        <v>0</v>
      </c>
      <c r="X132" s="49"/>
      <c r="Y132" s="76">
        <f t="shared" si="315"/>
        <v>0</v>
      </c>
      <c r="Z132" s="70">
        <f t="shared" si="341"/>
        <v>0</v>
      </c>
      <c r="AA132" s="63">
        <v>28.82</v>
      </c>
      <c r="AB132" s="76">
        <f t="shared" si="342"/>
        <v>20874.64302</v>
      </c>
      <c r="AC132" s="70">
        <f t="shared" si="240"/>
        <v>1</v>
      </c>
      <c r="AD132" s="63"/>
      <c r="AE132" s="76">
        <f t="shared" si="343"/>
        <v>0</v>
      </c>
      <c r="AF132" s="70">
        <f t="shared" si="226"/>
        <v>0</v>
      </c>
      <c r="AG132" s="49"/>
      <c r="AH132" s="76">
        <f t="shared" si="344"/>
        <v>0</v>
      </c>
      <c r="AI132" s="70">
        <f t="shared" si="227"/>
        <v>0</v>
      </c>
      <c r="AJ132" s="49"/>
      <c r="AK132" s="76">
        <f t="shared" si="345"/>
        <v>0</v>
      </c>
      <c r="AL132" s="70">
        <f t="shared" si="228"/>
        <v>0</v>
      </c>
      <c r="AM132" s="49"/>
      <c r="AN132" s="76">
        <f t="shared" si="346"/>
        <v>0</v>
      </c>
      <c r="AO132" s="70">
        <f t="shared" si="252"/>
        <v>0</v>
      </c>
    </row>
    <row r="133" spans="2:41" s="9" customFormat="1" ht="18" outlineLevel="2" x14ac:dyDescent="0.25">
      <c r="B133" s="23"/>
      <c r="C133" s="23"/>
      <c r="D133" s="163" t="s">
        <v>56</v>
      </c>
      <c r="E133" s="164"/>
      <c r="F133" s="32">
        <v>85.49</v>
      </c>
      <c r="G133" s="51" t="s">
        <v>68</v>
      </c>
      <c r="H133" s="64">
        <v>724.31100000000004</v>
      </c>
      <c r="I133" s="88">
        <f t="shared" si="264"/>
        <v>61921.347390000003</v>
      </c>
      <c r="J133" s="67">
        <f t="shared" si="340"/>
        <v>85.49</v>
      </c>
      <c r="K133" s="83">
        <f t="shared" si="347"/>
        <v>61921.347390000003</v>
      </c>
      <c r="L133" s="37">
        <f t="shared" si="348"/>
        <v>1</v>
      </c>
      <c r="M133" s="68">
        <f t="shared" si="349"/>
        <v>0</v>
      </c>
      <c r="N133" s="81">
        <f t="shared" si="350"/>
        <v>0</v>
      </c>
      <c r="O133" s="49"/>
      <c r="P133" s="76">
        <f t="shared" si="266"/>
        <v>0</v>
      </c>
      <c r="Q133" s="70">
        <f t="shared" si="267"/>
        <v>0</v>
      </c>
      <c r="R133" s="49"/>
      <c r="S133" s="76">
        <f t="shared" si="268"/>
        <v>0</v>
      </c>
      <c r="T133" s="70">
        <f t="shared" si="269"/>
        <v>0</v>
      </c>
      <c r="U133" s="49"/>
      <c r="V133" s="76">
        <f t="shared" si="303"/>
        <v>0</v>
      </c>
      <c r="W133" s="70">
        <f t="shared" si="270"/>
        <v>0</v>
      </c>
      <c r="X133" s="49"/>
      <c r="Y133" s="76">
        <f t="shared" si="315"/>
        <v>0</v>
      </c>
      <c r="Z133" s="70">
        <f t="shared" si="341"/>
        <v>0</v>
      </c>
      <c r="AA133" s="32">
        <v>85.49</v>
      </c>
      <c r="AB133" s="76">
        <f t="shared" si="342"/>
        <v>61921.347390000003</v>
      </c>
      <c r="AC133" s="70">
        <f t="shared" si="240"/>
        <v>1</v>
      </c>
      <c r="AD133" s="32"/>
      <c r="AE133" s="76">
        <f t="shared" si="343"/>
        <v>0</v>
      </c>
      <c r="AF133" s="70">
        <f t="shared" si="226"/>
        <v>0</v>
      </c>
      <c r="AG133" s="49"/>
      <c r="AH133" s="76">
        <f t="shared" si="344"/>
        <v>0</v>
      </c>
      <c r="AI133" s="70">
        <f t="shared" si="227"/>
        <v>0</v>
      </c>
      <c r="AJ133" s="49"/>
      <c r="AK133" s="76">
        <f t="shared" si="345"/>
        <v>0</v>
      </c>
      <c r="AL133" s="70">
        <f t="shared" si="228"/>
        <v>0</v>
      </c>
      <c r="AM133" s="49"/>
      <c r="AN133" s="76">
        <f t="shared" si="346"/>
        <v>0</v>
      </c>
      <c r="AO133" s="70">
        <f t="shared" si="252"/>
        <v>0</v>
      </c>
    </row>
    <row r="134" spans="2:41" s="9" customFormat="1" ht="18" outlineLevel="2" x14ac:dyDescent="0.25">
      <c r="B134" s="23"/>
      <c r="C134" s="23"/>
      <c r="D134" s="163" t="s">
        <v>96</v>
      </c>
      <c r="E134" s="164"/>
      <c r="F134" s="63">
        <f>F130</f>
        <v>156.96999999999997</v>
      </c>
      <c r="G134" s="51" t="s">
        <v>68</v>
      </c>
      <c r="H134" s="64">
        <v>40.2395</v>
      </c>
      <c r="I134" s="88">
        <f t="shared" si="264"/>
        <v>6316.3943149999986</v>
      </c>
      <c r="J134" s="67">
        <f t="shared" si="340"/>
        <v>156.96999999999997</v>
      </c>
      <c r="K134" s="83">
        <f t="shared" si="347"/>
        <v>6316.3943149999986</v>
      </c>
      <c r="L134" s="37">
        <f t="shared" si="348"/>
        <v>1</v>
      </c>
      <c r="M134" s="68">
        <f t="shared" si="349"/>
        <v>0</v>
      </c>
      <c r="N134" s="81">
        <f t="shared" si="350"/>
        <v>0</v>
      </c>
      <c r="O134" s="49"/>
      <c r="P134" s="76"/>
      <c r="Q134" s="70"/>
      <c r="R134" s="49"/>
      <c r="S134" s="76"/>
      <c r="T134" s="70"/>
      <c r="U134" s="49"/>
      <c r="V134" s="76"/>
      <c r="W134" s="70"/>
      <c r="X134" s="49"/>
      <c r="Y134" s="76">
        <f t="shared" si="315"/>
        <v>0</v>
      </c>
      <c r="Z134" s="70">
        <f t="shared" si="341"/>
        <v>0</v>
      </c>
      <c r="AA134" s="49"/>
      <c r="AB134" s="76">
        <f t="shared" si="342"/>
        <v>0</v>
      </c>
      <c r="AC134" s="70">
        <f t="shared" si="240"/>
        <v>0</v>
      </c>
      <c r="AD134" s="49"/>
      <c r="AE134" s="76">
        <f t="shared" si="343"/>
        <v>0</v>
      </c>
      <c r="AF134" s="70">
        <f t="shared" si="226"/>
        <v>0</v>
      </c>
      <c r="AG134" s="49">
        <f>F134</f>
        <v>156.96999999999997</v>
      </c>
      <c r="AH134" s="76">
        <f t="shared" si="344"/>
        <v>6316.3943149999986</v>
      </c>
      <c r="AI134" s="70">
        <f t="shared" si="227"/>
        <v>1</v>
      </c>
      <c r="AJ134" s="49"/>
      <c r="AK134" s="76">
        <f t="shared" si="345"/>
        <v>0</v>
      </c>
      <c r="AL134" s="70">
        <f t="shared" si="228"/>
        <v>0</v>
      </c>
      <c r="AM134" s="49"/>
      <c r="AN134" s="76">
        <f t="shared" si="346"/>
        <v>0</v>
      </c>
      <c r="AO134" s="70">
        <f t="shared" si="252"/>
        <v>0</v>
      </c>
    </row>
    <row r="135" spans="2:41" s="9" customFormat="1" ht="18" outlineLevel="2" x14ac:dyDescent="0.25">
      <c r="B135" s="23"/>
      <c r="C135" s="23"/>
      <c r="D135" s="163" t="s">
        <v>97</v>
      </c>
      <c r="E135" s="164"/>
      <c r="F135" s="63">
        <f>F130</f>
        <v>156.96999999999997</v>
      </c>
      <c r="G135" s="51" t="s">
        <v>68</v>
      </c>
      <c r="H135" s="64">
        <v>40.2395</v>
      </c>
      <c r="I135" s="88">
        <f t="shared" si="264"/>
        <v>6316.3943149999986</v>
      </c>
      <c r="J135" s="67">
        <f t="shared" si="340"/>
        <v>156.96999999999997</v>
      </c>
      <c r="K135" s="83">
        <f t="shared" si="347"/>
        <v>6316.3943149999986</v>
      </c>
      <c r="L135" s="37">
        <f t="shared" si="348"/>
        <v>1</v>
      </c>
      <c r="M135" s="68">
        <f t="shared" si="349"/>
        <v>0</v>
      </c>
      <c r="N135" s="81">
        <f t="shared" si="350"/>
        <v>0</v>
      </c>
      <c r="O135" s="49"/>
      <c r="P135" s="76"/>
      <c r="Q135" s="70"/>
      <c r="R135" s="49"/>
      <c r="S135" s="76"/>
      <c r="T135" s="70"/>
      <c r="U135" s="49"/>
      <c r="V135" s="76"/>
      <c r="W135" s="70"/>
      <c r="X135" s="49"/>
      <c r="Y135" s="76">
        <f t="shared" si="315"/>
        <v>0</v>
      </c>
      <c r="Z135" s="70">
        <f t="shared" si="341"/>
        <v>0</v>
      </c>
      <c r="AA135" s="49"/>
      <c r="AB135" s="76">
        <f t="shared" si="342"/>
        <v>0</v>
      </c>
      <c r="AC135" s="70">
        <f t="shared" si="240"/>
        <v>0</v>
      </c>
      <c r="AD135" s="49"/>
      <c r="AE135" s="76">
        <f t="shared" si="343"/>
        <v>0</v>
      </c>
      <c r="AF135" s="70">
        <f t="shared" si="226"/>
        <v>0</v>
      </c>
      <c r="AG135" s="49">
        <f>F135</f>
        <v>156.96999999999997</v>
      </c>
      <c r="AH135" s="76">
        <f t="shared" si="344"/>
        <v>6316.3943149999986</v>
      </c>
      <c r="AI135" s="70">
        <f t="shared" si="227"/>
        <v>1</v>
      </c>
      <c r="AJ135" s="49"/>
      <c r="AK135" s="76">
        <f t="shared" si="345"/>
        <v>0</v>
      </c>
      <c r="AL135" s="70">
        <f t="shared" si="228"/>
        <v>0</v>
      </c>
      <c r="AM135" s="49"/>
      <c r="AN135" s="76">
        <f t="shared" si="346"/>
        <v>0</v>
      </c>
      <c r="AO135" s="70">
        <f t="shared" si="252"/>
        <v>0</v>
      </c>
    </row>
    <row r="136" spans="2:41" s="50" customFormat="1" ht="25.35" customHeight="1" outlineLevel="2" x14ac:dyDescent="0.25">
      <c r="B136" s="61"/>
      <c r="C136" s="23"/>
      <c r="D136" s="165" t="s">
        <v>105</v>
      </c>
      <c r="E136" s="166"/>
      <c r="F136" s="63">
        <f>SUM(F137:F139)</f>
        <v>156.96999999999997</v>
      </c>
      <c r="G136" s="51"/>
      <c r="H136" s="64"/>
      <c r="I136" s="88">
        <f>SUM(I137:I141)</f>
        <v>126327.8863</v>
      </c>
      <c r="J136" s="67"/>
      <c r="K136" s="75"/>
      <c r="L136" s="65"/>
      <c r="M136" s="69"/>
      <c r="N136" s="80"/>
      <c r="O136" s="66"/>
      <c r="P136" s="75"/>
      <c r="Q136" s="65"/>
      <c r="R136" s="66"/>
      <c r="S136" s="75"/>
      <c r="T136" s="65"/>
      <c r="U136" s="49"/>
      <c r="V136" s="76">
        <f t="shared" ref="V136:V139" si="351">U136*H136</f>
        <v>0</v>
      </c>
      <c r="W136" s="65"/>
      <c r="X136" s="49"/>
      <c r="Y136" s="76"/>
      <c r="Z136" s="76"/>
      <c r="AA136" s="49"/>
      <c r="AB136" s="76"/>
      <c r="AC136" s="70">
        <f t="shared" ref="AC136:AC147" si="352">IFERROR(AB136/$I136,0)</f>
        <v>0</v>
      </c>
      <c r="AD136" s="49"/>
      <c r="AE136" s="76"/>
      <c r="AF136" s="70">
        <f t="shared" ref="AF136:AF147" si="353">IFERROR(AE136/$I136,0)</f>
        <v>0</v>
      </c>
      <c r="AG136" s="49"/>
      <c r="AH136" s="76"/>
      <c r="AI136" s="70">
        <f t="shared" ref="AI136:AI147" si="354">IFERROR(AH136/$I136,0)</f>
        <v>0</v>
      </c>
      <c r="AJ136" s="49"/>
      <c r="AK136" s="76"/>
      <c r="AL136" s="70">
        <f t="shared" ref="AL136:AL147" si="355">IFERROR(AK136/$I136,0)</f>
        <v>0</v>
      </c>
      <c r="AM136" s="49"/>
      <c r="AN136" s="76"/>
      <c r="AO136" s="70">
        <f t="shared" si="252"/>
        <v>0</v>
      </c>
    </row>
    <row r="137" spans="2:41" s="9" customFormat="1" ht="18" outlineLevel="2" x14ac:dyDescent="0.25">
      <c r="B137" s="23"/>
      <c r="C137" s="23"/>
      <c r="D137" s="163" t="s">
        <v>54</v>
      </c>
      <c r="E137" s="164"/>
      <c r="F137" s="32">
        <v>42.66</v>
      </c>
      <c r="G137" s="51" t="s">
        <v>68</v>
      </c>
      <c r="H137" s="64">
        <v>724.31100000000004</v>
      </c>
      <c r="I137" s="88">
        <f t="shared" ref="I137:I141" si="356">F137*H137</f>
        <v>30899.107260000001</v>
      </c>
      <c r="J137" s="67">
        <f t="shared" ref="J137:J141" si="357">SUM(O137,R137,U137,X137,AA137,AD137,AG137,AJ137)</f>
        <v>42.66</v>
      </c>
      <c r="K137" s="83">
        <f t="shared" ref="K137:K141" si="358">J137*H137</f>
        <v>30899.107260000001</v>
      </c>
      <c r="L137" s="37">
        <f t="shared" ref="L137:L141" si="359">IFERROR(K137/I137, 0)</f>
        <v>1</v>
      </c>
      <c r="M137" s="68">
        <f t="shared" ref="M137:M141" si="360">F137-J137</f>
        <v>0</v>
      </c>
      <c r="N137" s="81">
        <f t="shared" ref="N137:N141" si="361">M137*H137</f>
        <v>0</v>
      </c>
      <c r="O137" s="49"/>
      <c r="P137" s="76">
        <f t="shared" ref="P137:P139" si="362">O137*$H137</f>
        <v>0</v>
      </c>
      <c r="Q137" s="70">
        <f t="shared" ref="Q137:Q139" si="363">IFERROR(P137/$I137,0)</f>
        <v>0</v>
      </c>
      <c r="R137" s="49"/>
      <c r="S137" s="76">
        <f t="shared" ref="S137:S139" si="364">R137*H137</f>
        <v>0</v>
      </c>
      <c r="T137" s="70">
        <f t="shared" ref="T137:T139" si="365">IFERROR(S137/$I137,0)</f>
        <v>0</v>
      </c>
      <c r="U137" s="49"/>
      <c r="V137" s="76">
        <f t="shared" si="351"/>
        <v>0</v>
      </c>
      <c r="W137" s="70">
        <f t="shared" ref="W137:W139" si="366">IFERROR(V137/$I137,0)</f>
        <v>0</v>
      </c>
      <c r="X137" s="49"/>
      <c r="Y137" s="76">
        <f t="shared" ref="Y137:Y141" si="367">X137*$H137</f>
        <v>0</v>
      </c>
      <c r="Z137" s="70">
        <f t="shared" ref="Z137:Z141" si="368">IFERROR(Y137/$I137,0)</f>
        <v>0</v>
      </c>
      <c r="AA137" s="49"/>
      <c r="AB137" s="76">
        <f t="shared" ref="AB137:AB141" si="369">AA137*$H137</f>
        <v>0</v>
      </c>
      <c r="AC137" s="70">
        <f t="shared" si="352"/>
        <v>0</v>
      </c>
      <c r="AD137" s="32">
        <v>42.66</v>
      </c>
      <c r="AE137" s="76">
        <f t="shared" ref="AE137:AE141" si="370">AD137*$H137</f>
        <v>30899.107260000001</v>
      </c>
      <c r="AF137" s="70">
        <f t="shared" si="353"/>
        <v>1</v>
      </c>
      <c r="AG137" s="49"/>
      <c r="AH137" s="76">
        <f t="shared" ref="AH137:AH141" si="371">AG137*$H137</f>
        <v>0</v>
      </c>
      <c r="AI137" s="70">
        <f t="shared" si="354"/>
        <v>0</v>
      </c>
      <c r="AJ137" s="49"/>
      <c r="AK137" s="76">
        <f t="shared" ref="AK137:AK141" si="372">AJ137*$H137</f>
        <v>0</v>
      </c>
      <c r="AL137" s="70">
        <f t="shared" si="355"/>
        <v>0</v>
      </c>
      <c r="AM137" s="49"/>
      <c r="AN137" s="76">
        <f t="shared" ref="AN137:AN141" si="373">AM137*$H137</f>
        <v>0</v>
      </c>
      <c r="AO137" s="70">
        <f t="shared" si="252"/>
        <v>0</v>
      </c>
    </row>
    <row r="138" spans="2:41" s="9" customFormat="1" ht="18" outlineLevel="2" x14ac:dyDescent="0.25">
      <c r="B138" s="23"/>
      <c r="C138" s="23"/>
      <c r="D138" s="163" t="s">
        <v>55</v>
      </c>
      <c r="E138" s="164"/>
      <c r="F138" s="32">
        <v>28.82</v>
      </c>
      <c r="G138" s="51" t="s">
        <v>68</v>
      </c>
      <c r="H138" s="64">
        <v>724.31100000000004</v>
      </c>
      <c r="I138" s="88">
        <f t="shared" si="356"/>
        <v>20874.64302</v>
      </c>
      <c r="J138" s="67">
        <f t="shared" si="357"/>
        <v>28.82</v>
      </c>
      <c r="K138" s="83">
        <f t="shared" si="358"/>
        <v>20874.64302</v>
      </c>
      <c r="L138" s="37">
        <f t="shared" si="359"/>
        <v>1</v>
      </c>
      <c r="M138" s="68">
        <f t="shared" si="360"/>
        <v>0</v>
      </c>
      <c r="N138" s="81">
        <f t="shared" si="361"/>
        <v>0</v>
      </c>
      <c r="O138" s="49"/>
      <c r="P138" s="76">
        <f t="shared" si="362"/>
        <v>0</v>
      </c>
      <c r="Q138" s="70">
        <f t="shared" si="363"/>
        <v>0</v>
      </c>
      <c r="R138" s="49"/>
      <c r="S138" s="76">
        <f t="shared" si="364"/>
        <v>0</v>
      </c>
      <c r="T138" s="70">
        <f t="shared" si="365"/>
        <v>0</v>
      </c>
      <c r="U138" s="49"/>
      <c r="V138" s="76">
        <f t="shared" si="351"/>
        <v>0</v>
      </c>
      <c r="W138" s="70">
        <f t="shared" si="366"/>
        <v>0</v>
      </c>
      <c r="X138" s="49"/>
      <c r="Y138" s="76">
        <f t="shared" si="367"/>
        <v>0</v>
      </c>
      <c r="Z138" s="70">
        <f t="shared" si="368"/>
        <v>0</v>
      </c>
      <c r="AA138" s="49"/>
      <c r="AB138" s="76">
        <f t="shared" si="369"/>
        <v>0</v>
      </c>
      <c r="AC138" s="70">
        <f t="shared" si="352"/>
        <v>0</v>
      </c>
      <c r="AD138" s="32">
        <v>28.82</v>
      </c>
      <c r="AE138" s="76">
        <f t="shared" si="370"/>
        <v>20874.64302</v>
      </c>
      <c r="AF138" s="70">
        <f t="shared" si="353"/>
        <v>1</v>
      </c>
      <c r="AG138" s="49"/>
      <c r="AH138" s="76">
        <f t="shared" si="371"/>
        <v>0</v>
      </c>
      <c r="AI138" s="70">
        <f t="shared" si="354"/>
        <v>0</v>
      </c>
      <c r="AJ138" s="49"/>
      <c r="AK138" s="76">
        <f t="shared" si="372"/>
        <v>0</v>
      </c>
      <c r="AL138" s="70">
        <f t="shared" si="355"/>
        <v>0</v>
      </c>
      <c r="AM138" s="49"/>
      <c r="AN138" s="76">
        <f t="shared" si="373"/>
        <v>0</v>
      </c>
      <c r="AO138" s="70">
        <f t="shared" si="252"/>
        <v>0</v>
      </c>
    </row>
    <row r="139" spans="2:41" s="9" customFormat="1" ht="18" outlineLevel="2" x14ac:dyDescent="0.25">
      <c r="B139" s="23"/>
      <c r="C139" s="23"/>
      <c r="D139" s="163" t="s">
        <v>56</v>
      </c>
      <c r="E139" s="164"/>
      <c r="F139" s="32">
        <v>85.49</v>
      </c>
      <c r="G139" s="51" t="s">
        <v>68</v>
      </c>
      <c r="H139" s="64">
        <v>724.31100000000004</v>
      </c>
      <c r="I139" s="88">
        <f t="shared" si="356"/>
        <v>61921.347390000003</v>
      </c>
      <c r="J139" s="67">
        <f t="shared" si="357"/>
        <v>85.49</v>
      </c>
      <c r="K139" s="83">
        <f t="shared" si="358"/>
        <v>61921.347390000003</v>
      </c>
      <c r="L139" s="37">
        <f t="shared" si="359"/>
        <v>1</v>
      </c>
      <c r="M139" s="68">
        <f t="shared" si="360"/>
        <v>0</v>
      </c>
      <c r="N139" s="81">
        <f t="shared" si="361"/>
        <v>0</v>
      </c>
      <c r="O139" s="49"/>
      <c r="P139" s="76">
        <f t="shared" si="362"/>
        <v>0</v>
      </c>
      <c r="Q139" s="70">
        <f t="shared" si="363"/>
        <v>0</v>
      </c>
      <c r="R139" s="49"/>
      <c r="S139" s="76">
        <f t="shared" si="364"/>
        <v>0</v>
      </c>
      <c r="T139" s="70">
        <f t="shared" si="365"/>
        <v>0</v>
      </c>
      <c r="U139" s="49"/>
      <c r="V139" s="76">
        <f t="shared" si="351"/>
        <v>0</v>
      </c>
      <c r="W139" s="70">
        <f t="shared" si="366"/>
        <v>0</v>
      </c>
      <c r="X139" s="49"/>
      <c r="Y139" s="76">
        <f t="shared" si="367"/>
        <v>0</v>
      </c>
      <c r="Z139" s="70">
        <f t="shared" si="368"/>
        <v>0</v>
      </c>
      <c r="AA139" s="49"/>
      <c r="AB139" s="76">
        <f t="shared" si="369"/>
        <v>0</v>
      </c>
      <c r="AC139" s="70">
        <f t="shared" si="352"/>
        <v>0</v>
      </c>
      <c r="AD139" s="32">
        <v>85.49</v>
      </c>
      <c r="AE139" s="76">
        <f t="shared" si="370"/>
        <v>61921.347390000003</v>
      </c>
      <c r="AF139" s="70">
        <f t="shared" si="353"/>
        <v>1</v>
      </c>
      <c r="AG139" s="49"/>
      <c r="AH139" s="76">
        <f t="shared" si="371"/>
        <v>0</v>
      </c>
      <c r="AI139" s="70">
        <f t="shared" si="354"/>
        <v>0</v>
      </c>
      <c r="AJ139" s="49"/>
      <c r="AK139" s="76">
        <f t="shared" si="372"/>
        <v>0</v>
      </c>
      <c r="AL139" s="70">
        <f t="shared" si="355"/>
        <v>0</v>
      </c>
      <c r="AM139" s="49"/>
      <c r="AN139" s="76">
        <f t="shared" si="373"/>
        <v>0</v>
      </c>
      <c r="AO139" s="70">
        <f t="shared" si="252"/>
        <v>0</v>
      </c>
    </row>
    <row r="140" spans="2:41" s="9" customFormat="1" ht="18" outlineLevel="2" x14ac:dyDescent="0.25">
      <c r="B140" s="23"/>
      <c r="C140" s="23"/>
      <c r="D140" s="163" t="s">
        <v>96</v>
      </c>
      <c r="E140" s="164"/>
      <c r="F140" s="63">
        <f>F136</f>
        <v>156.96999999999997</v>
      </c>
      <c r="G140" s="51" t="s">
        <v>68</v>
      </c>
      <c r="H140" s="64">
        <v>40.2395</v>
      </c>
      <c r="I140" s="88">
        <f t="shared" si="356"/>
        <v>6316.3943149999986</v>
      </c>
      <c r="J140" s="67">
        <f t="shared" si="357"/>
        <v>156.96999999999997</v>
      </c>
      <c r="K140" s="83">
        <f t="shared" si="358"/>
        <v>6316.3943149999986</v>
      </c>
      <c r="L140" s="37">
        <f t="shared" si="359"/>
        <v>1</v>
      </c>
      <c r="M140" s="68">
        <f t="shared" si="360"/>
        <v>0</v>
      </c>
      <c r="N140" s="81">
        <f t="shared" si="361"/>
        <v>0</v>
      </c>
      <c r="O140" s="49"/>
      <c r="P140" s="76"/>
      <c r="Q140" s="70"/>
      <c r="R140" s="49"/>
      <c r="S140" s="76"/>
      <c r="T140" s="70"/>
      <c r="U140" s="49"/>
      <c r="V140" s="76"/>
      <c r="W140" s="70"/>
      <c r="X140" s="49"/>
      <c r="Y140" s="76">
        <f t="shared" si="367"/>
        <v>0</v>
      </c>
      <c r="Z140" s="70">
        <f t="shared" si="368"/>
        <v>0</v>
      </c>
      <c r="AA140" s="49"/>
      <c r="AB140" s="76">
        <f t="shared" si="369"/>
        <v>0</v>
      </c>
      <c r="AC140" s="70">
        <f t="shared" si="352"/>
        <v>0</v>
      </c>
      <c r="AD140" s="49"/>
      <c r="AE140" s="76">
        <f t="shared" si="370"/>
        <v>0</v>
      </c>
      <c r="AF140" s="70">
        <f t="shared" si="353"/>
        <v>0</v>
      </c>
      <c r="AG140" s="49">
        <f>F140</f>
        <v>156.96999999999997</v>
      </c>
      <c r="AH140" s="76">
        <f t="shared" si="371"/>
        <v>6316.3943149999986</v>
      </c>
      <c r="AI140" s="70">
        <f t="shared" si="354"/>
        <v>1</v>
      </c>
      <c r="AJ140" s="49"/>
      <c r="AK140" s="76">
        <f t="shared" si="372"/>
        <v>0</v>
      </c>
      <c r="AL140" s="70">
        <f t="shared" si="355"/>
        <v>0</v>
      </c>
      <c r="AM140" s="49"/>
      <c r="AN140" s="76">
        <f t="shared" si="373"/>
        <v>0</v>
      </c>
      <c r="AO140" s="70">
        <f t="shared" si="252"/>
        <v>0</v>
      </c>
    </row>
    <row r="141" spans="2:41" s="9" customFormat="1" ht="18" outlineLevel="2" x14ac:dyDescent="0.25">
      <c r="B141" s="23"/>
      <c r="C141" s="23"/>
      <c r="D141" s="163" t="s">
        <v>97</v>
      </c>
      <c r="E141" s="164"/>
      <c r="F141" s="63">
        <f>F136</f>
        <v>156.96999999999997</v>
      </c>
      <c r="G141" s="51" t="s">
        <v>68</v>
      </c>
      <c r="H141" s="64">
        <v>40.2395</v>
      </c>
      <c r="I141" s="88">
        <f t="shared" si="356"/>
        <v>6316.3943149999986</v>
      </c>
      <c r="J141" s="67">
        <f t="shared" si="357"/>
        <v>156.96999999999997</v>
      </c>
      <c r="K141" s="83">
        <f t="shared" si="358"/>
        <v>6316.3943149999986</v>
      </c>
      <c r="L141" s="37">
        <f t="shared" si="359"/>
        <v>1</v>
      </c>
      <c r="M141" s="68">
        <f t="shared" si="360"/>
        <v>0</v>
      </c>
      <c r="N141" s="81">
        <f t="shared" si="361"/>
        <v>0</v>
      </c>
      <c r="O141" s="49"/>
      <c r="P141" s="76"/>
      <c r="Q141" s="70"/>
      <c r="R141" s="49"/>
      <c r="S141" s="76"/>
      <c r="T141" s="70"/>
      <c r="U141" s="49"/>
      <c r="V141" s="76"/>
      <c r="W141" s="70"/>
      <c r="X141" s="49"/>
      <c r="Y141" s="76">
        <f t="shared" si="367"/>
        <v>0</v>
      </c>
      <c r="Z141" s="70">
        <f t="shared" si="368"/>
        <v>0</v>
      </c>
      <c r="AA141" s="49"/>
      <c r="AB141" s="76">
        <f t="shared" si="369"/>
        <v>0</v>
      </c>
      <c r="AC141" s="70">
        <f t="shared" si="352"/>
        <v>0</v>
      </c>
      <c r="AD141" s="49"/>
      <c r="AE141" s="76">
        <f t="shared" si="370"/>
        <v>0</v>
      </c>
      <c r="AF141" s="70">
        <f t="shared" si="353"/>
        <v>0</v>
      </c>
      <c r="AG141" s="49">
        <f>F141</f>
        <v>156.96999999999997</v>
      </c>
      <c r="AH141" s="76">
        <f t="shared" si="371"/>
        <v>6316.3943149999986</v>
      </c>
      <c r="AI141" s="70">
        <f t="shared" si="354"/>
        <v>1</v>
      </c>
      <c r="AJ141" s="49"/>
      <c r="AK141" s="76">
        <f t="shared" si="372"/>
        <v>0</v>
      </c>
      <c r="AL141" s="70">
        <f t="shared" si="355"/>
        <v>0</v>
      </c>
      <c r="AM141" s="49"/>
      <c r="AN141" s="76">
        <f t="shared" si="373"/>
        <v>0</v>
      </c>
      <c r="AO141" s="70">
        <f t="shared" si="252"/>
        <v>0</v>
      </c>
    </row>
    <row r="142" spans="2:41" s="50" customFormat="1" ht="25.35" customHeight="1" outlineLevel="2" x14ac:dyDescent="0.25">
      <c r="B142" s="61"/>
      <c r="C142" s="23"/>
      <c r="D142" s="165" t="s">
        <v>106</v>
      </c>
      <c r="E142" s="166"/>
      <c r="F142" s="63">
        <f>SUM(F143:F145)</f>
        <v>156.96999999999997</v>
      </c>
      <c r="G142" s="51"/>
      <c r="H142" s="64"/>
      <c r="I142" s="88">
        <f>SUM(I143:I147)</f>
        <v>126327.8863</v>
      </c>
      <c r="J142" s="67"/>
      <c r="K142" s="75"/>
      <c r="L142" s="65"/>
      <c r="M142" s="69"/>
      <c r="N142" s="80"/>
      <c r="O142" s="66"/>
      <c r="P142" s="75"/>
      <c r="Q142" s="65"/>
      <c r="R142" s="66"/>
      <c r="S142" s="75"/>
      <c r="T142" s="65"/>
      <c r="U142" s="49"/>
      <c r="V142" s="76">
        <f t="shared" ref="V142:V145" si="374">U142*H142</f>
        <v>0</v>
      </c>
      <c r="W142" s="65"/>
      <c r="X142" s="49"/>
      <c r="Y142" s="76"/>
      <c r="Z142" s="76"/>
      <c r="AA142" s="49"/>
      <c r="AB142" s="76"/>
      <c r="AC142" s="70">
        <f t="shared" si="352"/>
        <v>0</v>
      </c>
      <c r="AD142" s="49"/>
      <c r="AE142" s="76"/>
      <c r="AF142" s="70">
        <f t="shared" si="353"/>
        <v>0</v>
      </c>
      <c r="AG142" s="49"/>
      <c r="AH142" s="76"/>
      <c r="AI142" s="70">
        <f t="shared" si="354"/>
        <v>0</v>
      </c>
      <c r="AJ142" s="49"/>
      <c r="AK142" s="76"/>
      <c r="AL142" s="70">
        <f t="shared" si="355"/>
        <v>0</v>
      </c>
      <c r="AM142" s="49"/>
      <c r="AN142" s="76"/>
      <c r="AO142" s="70">
        <f t="shared" si="252"/>
        <v>0</v>
      </c>
    </row>
    <row r="143" spans="2:41" s="9" customFormat="1" ht="18" outlineLevel="2" x14ac:dyDescent="0.25">
      <c r="B143" s="23"/>
      <c r="C143" s="23"/>
      <c r="D143" s="163" t="s">
        <v>54</v>
      </c>
      <c r="E143" s="164"/>
      <c r="F143" s="32">
        <v>42.66</v>
      </c>
      <c r="G143" s="51" t="s">
        <v>68</v>
      </c>
      <c r="H143" s="64">
        <v>724.31100000000004</v>
      </c>
      <c r="I143" s="88">
        <f t="shared" ref="I143:I147" si="375">F143*H143</f>
        <v>30899.107260000001</v>
      </c>
      <c r="J143" s="67">
        <f t="shared" ref="J143:J145" si="376">SUM(O143,R143,U143,X143,AA143,AD143,AG143,AJ143)</f>
        <v>42.66</v>
      </c>
      <c r="K143" s="83">
        <f t="shared" ref="K143:K147" si="377">J143*H143</f>
        <v>30899.107260000001</v>
      </c>
      <c r="L143" s="37">
        <f t="shared" ref="L143:L147" si="378">IFERROR(K143/I143, 0)</f>
        <v>1</v>
      </c>
      <c r="M143" s="68">
        <f t="shared" ref="M143:M147" si="379">F143-J143</f>
        <v>0</v>
      </c>
      <c r="N143" s="81">
        <f t="shared" ref="N143:N147" si="380">M143*H143</f>
        <v>0</v>
      </c>
      <c r="O143" s="49"/>
      <c r="P143" s="76">
        <f t="shared" ref="P143:P145" si="381">O143*$H143</f>
        <v>0</v>
      </c>
      <c r="Q143" s="70">
        <f t="shared" ref="Q143:Q145" si="382">IFERROR(P143/$I143,0)</f>
        <v>0</v>
      </c>
      <c r="R143" s="49"/>
      <c r="S143" s="76">
        <f t="shared" ref="S143:S145" si="383">R143*H143</f>
        <v>0</v>
      </c>
      <c r="T143" s="70">
        <f t="shared" ref="T143:T145" si="384">IFERROR(S143/$I143,0)</f>
        <v>0</v>
      </c>
      <c r="U143" s="49"/>
      <c r="V143" s="76">
        <f t="shared" si="374"/>
        <v>0</v>
      </c>
      <c r="W143" s="70">
        <f t="shared" ref="W143:W145" si="385">IFERROR(V143/$I143,0)</f>
        <v>0</v>
      </c>
      <c r="X143" s="49"/>
      <c r="Y143" s="76">
        <f t="shared" ref="Y143:Y147" si="386">X143*$H143</f>
        <v>0</v>
      </c>
      <c r="Z143" s="70">
        <f t="shared" ref="Z143:Z147" si="387">IFERROR(Y143/$I143,0)</f>
        <v>0</v>
      </c>
      <c r="AA143" s="49"/>
      <c r="AB143" s="76">
        <f t="shared" ref="AB143:AB147" si="388">AA143*$H143</f>
        <v>0</v>
      </c>
      <c r="AC143" s="70">
        <f t="shared" si="352"/>
        <v>0</v>
      </c>
      <c r="AD143" s="32">
        <v>42.66</v>
      </c>
      <c r="AE143" s="76">
        <f t="shared" ref="AE143:AE147" si="389">AD143*$H143</f>
        <v>30899.107260000001</v>
      </c>
      <c r="AF143" s="70">
        <f t="shared" si="353"/>
        <v>1</v>
      </c>
      <c r="AG143" s="49"/>
      <c r="AH143" s="76">
        <f t="shared" ref="AH143:AH147" si="390">AG143*$H143</f>
        <v>0</v>
      </c>
      <c r="AI143" s="70">
        <f t="shared" si="354"/>
        <v>0</v>
      </c>
      <c r="AJ143" s="49"/>
      <c r="AK143" s="76">
        <f t="shared" ref="AK143:AK147" si="391">AJ143*$H143</f>
        <v>0</v>
      </c>
      <c r="AL143" s="70">
        <f t="shared" si="355"/>
        <v>0</v>
      </c>
      <c r="AM143" s="49"/>
      <c r="AN143" s="76">
        <f t="shared" ref="AN143:AN147" si="392">AM143*$H143</f>
        <v>0</v>
      </c>
      <c r="AO143" s="70">
        <f t="shared" si="252"/>
        <v>0</v>
      </c>
    </row>
    <row r="144" spans="2:41" s="9" customFormat="1" ht="18" outlineLevel="2" x14ac:dyDescent="0.25">
      <c r="B144" s="23"/>
      <c r="C144" s="23"/>
      <c r="D144" s="163" t="s">
        <v>55</v>
      </c>
      <c r="E144" s="164"/>
      <c r="F144" s="32">
        <v>28.82</v>
      </c>
      <c r="G144" s="51" t="s">
        <v>68</v>
      </c>
      <c r="H144" s="64">
        <v>724.31100000000004</v>
      </c>
      <c r="I144" s="88">
        <f t="shared" si="375"/>
        <v>20874.64302</v>
      </c>
      <c r="J144" s="67">
        <f t="shared" si="376"/>
        <v>28.82</v>
      </c>
      <c r="K144" s="83">
        <f t="shared" si="377"/>
        <v>20874.64302</v>
      </c>
      <c r="L144" s="37">
        <f t="shared" si="378"/>
        <v>1</v>
      </c>
      <c r="M144" s="68">
        <f t="shared" si="379"/>
        <v>0</v>
      </c>
      <c r="N144" s="81">
        <f t="shared" si="380"/>
        <v>0</v>
      </c>
      <c r="O144" s="49"/>
      <c r="P144" s="76">
        <f t="shared" si="381"/>
        <v>0</v>
      </c>
      <c r="Q144" s="70">
        <f t="shared" si="382"/>
        <v>0</v>
      </c>
      <c r="R144" s="49"/>
      <c r="S144" s="76">
        <f t="shared" si="383"/>
        <v>0</v>
      </c>
      <c r="T144" s="70">
        <f t="shared" si="384"/>
        <v>0</v>
      </c>
      <c r="U144" s="49"/>
      <c r="V144" s="76">
        <f t="shared" si="374"/>
        <v>0</v>
      </c>
      <c r="W144" s="70">
        <f t="shared" si="385"/>
        <v>0</v>
      </c>
      <c r="X144" s="49"/>
      <c r="Y144" s="76">
        <f t="shared" si="386"/>
        <v>0</v>
      </c>
      <c r="Z144" s="70">
        <f t="shared" si="387"/>
        <v>0</v>
      </c>
      <c r="AA144" s="49"/>
      <c r="AB144" s="76">
        <f t="shared" si="388"/>
        <v>0</v>
      </c>
      <c r="AC144" s="70">
        <f t="shared" si="352"/>
        <v>0</v>
      </c>
      <c r="AD144" s="32">
        <v>28.82</v>
      </c>
      <c r="AE144" s="76">
        <f t="shared" si="389"/>
        <v>20874.64302</v>
      </c>
      <c r="AF144" s="70">
        <f t="shared" si="353"/>
        <v>1</v>
      </c>
      <c r="AG144" s="49"/>
      <c r="AH144" s="76">
        <f t="shared" si="390"/>
        <v>0</v>
      </c>
      <c r="AI144" s="70">
        <f t="shared" si="354"/>
        <v>0</v>
      </c>
      <c r="AJ144" s="49"/>
      <c r="AK144" s="76">
        <f t="shared" si="391"/>
        <v>0</v>
      </c>
      <c r="AL144" s="70">
        <f t="shared" si="355"/>
        <v>0</v>
      </c>
      <c r="AM144" s="49"/>
      <c r="AN144" s="76">
        <f t="shared" si="392"/>
        <v>0</v>
      </c>
      <c r="AO144" s="70">
        <f t="shared" si="252"/>
        <v>0</v>
      </c>
    </row>
    <row r="145" spans="2:41" s="9" customFormat="1" ht="18" outlineLevel="2" x14ac:dyDescent="0.25">
      <c r="B145" s="23"/>
      <c r="C145" s="23"/>
      <c r="D145" s="163" t="s">
        <v>56</v>
      </c>
      <c r="E145" s="164"/>
      <c r="F145" s="32">
        <v>85.49</v>
      </c>
      <c r="G145" s="51" t="s">
        <v>68</v>
      </c>
      <c r="H145" s="64">
        <v>724.31100000000004</v>
      </c>
      <c r="I145" s="88">
        <f t="shared" si="375"/>
        <v>61921.347390000003</v>
      </c>
      <c r="J145" s="67">
        <f t="shared" si="376"/>
        <v>85.49</v>
      </c>
      <c r="K145" s="83">
        <f t="shared" si="377"/>
        <v>61921.347390000003</v>
      </c>
      <c r="L145" s="37">
        <f t="shared" si="378"/>
        <v>1</v>
      </c>
      <c r="M145" s="68">
        <f t="shared" si="379"/>
        <v>0</v>
      </c>
      <c r="N145" s="81">
        <f t="shared" si="380"/>
        <v>0</v>
      </c>
      <c r="O145" s="49"/>
      <c r="P145" s="76">
        <f t="shared" si="381"/>
        <v>0</v>
      </c>
      <c r="Q145" s="70">
        <f t="shared" si="382"/>
        <v>0</v>
      </c>
      <c r="R145" s="49"/>
      <c r="S145" s="76">
        <f t="shared" si="383"/>
        <v>0</v>
      </c>
      <c r="T145" s="70">
        <f t="shared" si="384"/>
        <v>0</v>
      </c>
      <c r="U145" s="49"/>
      <c r="V145" s="76">
        <f t="shared" si="374"/>
        <v>0</v>
      </c>
      <c r="W145" s="70">
        <f t="shared" si="385"/>
        <v>0</v>
      </c>
      <c r="X145" s="49"/>
      <c r="Y145" s="76">
        <f t="shared" si="386"/>
        <v>0</v>
      </c>
      <c r="Z145" s="70">
        <f t="shared" si="387"/>
        <v>0</v>
      </c>
      <c r="AA145" s="49"/>
      <c r="AB145" s="76">
        <f t="shared" si="388"/>
        <v>0</v>
      </c>
      <c r="AC145" s="70">
        <f t="shared" si="352"/>
        <v>0</v>
      </c>
      <c r="AD145" s="32">
        <v>85.49</v>
      </c>
      <c r="AE145" s="76">
        <f t="shared" si="389"/>
        <v>61921.347390000003</v>
      </c>
      <c r="AF145" s="70">
        <f t="shared" si="353"/>
        <v>1</v>
      </c>
      <c r="AG145" s="49"/>
      <c r="AH145" s="76">
        <f t="shared" si="390"/>
        <v>0</v>
      </c>
      <c r="AI145" s="70">
        <f t="shared" si="354"/>
        <v>0</v>
      </c>
      <c r="AJ145" s="49"/>
      <c r="AK145" s="76">
        <f t="shared" si="391"/>
        <v>0</v>
      </c>
      <c r="AL145" s="70">
        <f t="shared" si="355"/>
        <v>0</v>
      </c>
      <c r="AM145" s="49"/>
      <c r="AN145" s="76">
        <f t="shared" si="392"/>
        <v>0</v>
      </c>
      <c r="AO145" s="70">
        <f t="shared" si="252"/>
        <v>0</v>
      </c>
    </row>
    <row r="146" spans="2:41" s="9" customFormat="1" ht="18" outlineLevel="2" x14ac:dyDescent="0.25">
      <c r="B146" s="23"/>
      <c r="C146" s="23"/>
      <c r="D146" s="163" t="s">
        <v>96</v>
      </c>
      <c r="E146" s="164"/>
      <c r="F146" s="63">
        <f>F142</f>
        <v>156.96999999999997</v>
      </c>
      <c r="G146" s="51" t="s">
        <v>68</v>
      </c>
      <c r="H146" s="64">
        <v>40.2395</v>
      </c>
      <c r="I146" s="88">
        <f t="shared" si="375"/>
        <v>6316.3943149999986</v>
      </c>
      <c r="J146" s="67">
        <f>SUM(O146,R146,U146,X146,AA146,AD146,AG146,AJ146,AM146)</f>
        <v>156.97</v>
      </c>
      <c r="K146" s="83">
        <f t="shared" si="377"/>
        <v>6316.3943149999996</v>
      </c>
      <c r="L146" s="37">
        <f t="shared" si="378"/>
        <v>1.0000000000000002</v>
      </c>
      <c r="M146" s="68">
        <f t="shared" si="379"/>
        <v>0</v>
      </c>
      <c r="N146" s="81">
        <f t="shared" si="380"/>
        <v>0</v>
      </c>
      <c r="O146" s="49"/>
      <c r="P146" s="76"/>
      <c r="Q146" s="70"/>
      <c r="R146" s="49"/>
      <c r="S146" s="76"/>
      <c r="T146" s="70"/>
      <c r="U146" s="49"/>
      <c r="V146" s="76"/>
      <c r="W146" s="70"/>
      <c r="X146" s="49"/>
      <c r="Y146" s="76">
        <f t="shared" si="386"/>
        <v>0</v>
      </c>
      <c r="Z146" s="70">
        <f t="shared" si="387"/>
        <v>0</v>
      </c>
      <c r="AA146" s="49"/>
      <c r="AB146" s="76">
        <f t="shared" si="388"/>
        <v>0</v>
      </c>
      <c r="AC146" s="70">
        <f t="shared" si="352"/>
        <v>0</v>
      </c>
      <c r="AD146" s="49"/>
      <c r="AE146" s="76">
        <f t="shared" si="389"/>
        <v>0</v>
      </c>
      <c r="AF146" s="70">
        <f t="shared" si="353"/>
        <v>0</v>
      </c>
      <c r="AG146" s="49"/>
      <c r="AH146" s="76">
        <f t="shared" si="390"/>
        <v>0</v>
      </c>
      <c r="AI146" s="70">
        <f t="shared" si="354"/>
        <v>0</v>
      </c>
      <c r="AJ146" s="49"/>
      <c r="AK146" s="76">
        <f t="shared" si="391"/>
        <v>0</v>
      </c>
      <c r="AL146" s="70">
        <f t="shared" si="355"/>
        <v>0</v>
      </c>
      <c r="AM146" s="49">
        <v>156.97</v>
      </c>
      <c r="AN146" s="76">
        <f t="shared" si="392"/>
        <v>6316.3943149999996</v>
      </c>
      <c r="AO146" s="70">
        <f t="shared" si="252"/>
        <v>1.0000000000000002</v>
      </c>
    </row>
    <row r="147" spans="2:41" s="9" customFormat="1" ht="18" outlineLevel="2" x14ac:dyDescent="0.25">
      <c r="B147" s="23"/>
      <c r="C147" s="23"/>
      <c r="D147" s="163" t="s">
        <v>97</v>
      </c>
      <c r="E147" s="164"/>
      <c r="F147" s="63">
        <f>F142</f>
        <v>156.96999999999997</v>
      </c>
      <c r="G147" s="51" t="s">
        <v>68</v>
      </c>
      <c r="H147" s="64">
        <v>40.2395</v>
      </c>
      <c r="I147" s="88">
        <f t="shared" si="375"/>
        <v>6316.3943149999986</v>
      </c>
      <c r="J147" s="67">
        <f>SUM(O147,R147,U147,X147,AA147,AD147,AG147,AJ147,AM147)</f>
        <v>156.97</v>
      </c>
      <c r="K147" s="83">
        <f t="shared" si="377"/>
        <v>6316.3943149999996</v>
      </c>
      <c r="L147" s="37">
        <f t="shared" si="378"/>
        <v>1.0000000000000002</v>
      </c>
      <c r="M147" s="68">
        <f t="shared" si="379"/>
        <v>0</v>
      </c>
      <c r="N147" s="81">
        <f t="shared" si="380"/>
        <v>0</v>
      </c>
      <c r="O147" s="49"/>
      <c r="P147" s="76"/>
      <c r="Q147" s="70"/>
      <c r="R147" s="49"/>
      <c r="S147" s="76"/>
      <c r="T147" s="70"/>
      <c r="U147" s="49"/>
      <c r="V147" s="76"/>
      <c r="W147" s="70"/>
      <c r="X147" s="49"/>
      <c r="Y147" s="76">
        <f t="shared" si="386"/>
        <v>0</v>
      </c>
      <c r="Z147" s="70">
        <f t="shared" si="387"/>
        <v>0</v>
      </c>
      <c r="AA147" s="49"/>
      <c r="AB147" s="76">
        <f t="shared" si="388"/>
        <v>0</v>
      </c>
      <c r="AC147" s="70">
        <f t="shared" si="352"/>
        <v>0</v>
      </c>
      <c r="AD147" s="49"/>
      <c r="AE147" s="76">
        <f t="shared" si="389"/>
        <v>0</v>
      </c>
      <c r="AF147" s="70">
        <f t="shared" si="353"/>
        <v>0</v>
      </c>
      <c r="AG147" s="49"/>
      <c r="AH147" s="76">
        <f t="shared" si="390"/>
        <v>0</v>
      </c>
      <c r="AI147" s="70">
        <f t="shared" si="354"/>
        <v>0</v>
      </c>
      <c r="AJ147" s="49"/>
      <c r="AK147" s="76">
        <f t="shared" si="391"/>
        <v>0</v>
      </c>
      <c r="AL147" s="70">
        <f t="shared" si="355"/>
        <v>0</v>
      </c>
      <c r="AM147" s="49">
        <v>156.97</v>
      </c>
      <c r="AN147" s="76">
        <f t="shared" si="392"/>
        <v>6316.3943149999996</v>
      </c>
      <c r="AO147" s="70">
        <f t="shared" si="252"/>
        <v>1.0000000000000002</v>
      </c>
    </row>
    <row r="148" spans="2:41" s="50" customFormat="1" ht="25.35" customHeight="1" outlineLevel="2" x14ac:dyDescent="0.25">
      <c r="B148" s="61"/>
      <c r="C148" s="23"/>
      <c r="D148" s="165" t="s">
        <v>77</v>
      </c>
      <c r="E148" s="166"/>
      <c r="F148" s="63">
        <f>SUM(F149:F151)</f>
        <v>157.72999999999999</v>
      </c>
      <c r="G148" s="51"/>
      <c r="H148" s="64"/>
      <c r="I148" s="88">
        <f>SUM(I149:I153)</f>
        <v>126939.52669999999</v>
      </c>
      <c r="J148" s="67"/>
      <c r="K148" s="75"/>
      <c r="L148" s="65"/>
      <c r="M148" s="69"/>
      <c r="N148" s="80"/>
      <c r="O148" s="66"/>
      <c r="P148" s="75"/>
      <c r="Q148" s="65"/>
      <c r="R148" s="66"/>
      <c r="S148" s="75"/>
      <c r="T148" s="65"/>
      <c r="U148" s="49"/>
      <c r="V148" s="76">
        <f t="shared" si="303"/>
        <v>0</v>
      </c>
      <c r="W148" s="65"/>
      <c r="X148" s="49"/>
      <c r="Y148" s="76"/>
      <c r="Z148" s="76"/>
      <c r="AA148" s="49"/>
      <c r="AB148" s="76"/>
      <c r="AC148" s="70">
        <f t="shared" si="240"/>
        <v>0</v>
      </c>
      <c r="AD148" s="49"/>
      <c r="AE148" s="76"/>
      <c r="AF148" s="70">
        <f t="shared" si="226"/>
        <v>0</v>
      </c>
      <c r="AG148" s="49"/>
      <c r="AH148" s="76"/>
      <c r="AI148" s="70">
        <f t="shared" si="227"/>
        <v>0</v>
      </c>
      <c r="AJ148" s="49"/>
      <c r="AK148" s="76"/>
      <c r="AL148" s="70">
        <f t="shared" si="228"/>
        <v>0</v>
      </c>
      <c r="AM148" s="49"/>
      <c r="AN148" s="76"/>
      <c r="AO148" s="70">
        <f t="shared" si="252"/>
        <v>0</v>
      </c>
    </row>
    <row r="149" spans="2:41" s="9" customFormat="1" ht="18" outlineLevel="2" x14ac:dyDescent="0.25">
      <c r="B149" s="23"/>
      <c r="C149" s="23"/>
      <c r="D149" s="163" t="s">
        <v>54</v>
      </c>
      <c r="E149" s="164"/>
      <c r="F149" s="32">
        <v>42.31</v>
      </c>
      <c r="G149" s="51" t="s">
        <v>68</v>
      </c>
      <c r="H149" s="64">
        <v>724.31100000000004</v>
      </c>
      <c r="I149" s="88">
        <f t="shared" si="264"/>
        <v>30645.598410000002</v>
      </c>
      <c r="J149" s="67">
        <f t="shared" ref="J149:J151" si="393">SUM(O149,R149,U149,X149,AA149,AD149,AG149,AJ149)</f>
        <v>42.31</v>
      </c>
      <c r="K149" s="83">
        <f t="shared" si="212"/>
        <v>30645.598410000002</v>
      </c>
      <c r="L149" s="37">
        <f t="shared" si="213"/>
        <v>1</v>
      </c>
      <c r="M149" s="68">
        <f t="shared" si="214"/>
        <v>0</v>
      </c>
      <c r="N149" s="81">
        <f t="shared" si="215"/>
        <v>0</v>
      </c>
      <c r="O149" s="49"/>
      <c r="P149" s="76">
        <f t="shared" si="266"/>
        <v>0</v>
      </c>
      <c r="Q149" s="70">
        <f t="shared" si="267"/>
        <v>0</v>
      </c>
      <c r="R149" s="49"/>
      <c r="S149" s="76">
        <f t="shared" si="268"/>
        <v>0</v>
      </c>
      <c r="T149" s="70">
        <f t="shared" si="269"/>
        <v>0</v>
      </c>
      <c r="U149" s="49"/>
      <c r="V149" s="76">
        <f t="shared" si="303"/>
        <v>0</v>
      </c>
      <c r="W149" s="70">
        <f t="shared" si="270"/>
        <v>0</v>
      </c>
      <c r="X149" s="49"/>
      <c r="Y149" s="76">
        <f t="shared" si="315"/>
        <v>0</v>
      </c>
      <c r="Z149" s="70">
        <f t="shared" ref="Z149:Z153" si="394">IFERROR(Y149/$I149,0)</f>
        <v>0</v>
      </c>
      <c r="AA149" s="49"/>
      <c r="AB149" s="76">
        <f t="shared" ref="AB149:AB153" si="395">AA149*$H149</f>
        <v>0</v>
      </c>
      <c r="AC149" s="70">
        <f t="shared" si="240"/>
        <v>0</v>
      </c>
      <c r="AD149" s="32">
        <f>F149</f>
        <v>42.31</v>
      </c>
      <c r="AE149" s="76">
        <f t="shared" ref="AE149:AE153" si="396">AD149*$H149</f>
        <v>30645.598410000002</v>
      </c>
      <c r="AF149" s="70">
        <f t="shared" ref="AF149:AF177" si="397">IFERROR(AE149/$I149,0)</f>
        <v>1</v>
      </c>
      <c r="AG149" s="49"/>
      <c r="AH149" s="76">
        <f t="shared" ref="AH149:AH153" si="398">AG149*$H149</f>
        <v>0</v>
      </c>
      <c r="AI149" s="70">
        <f t="shared" ref="AI149:AI177" si="399">IFERROR(AH149/$I149,0)</f>
        <v>0</v>
      </c>
      <c r="AJ149" s="49"/>
      <c r="AK149" s="76">
        <f t="shared" ref="AK149:AK153" si="400">AJ149*$H149</f>
        <v>0</v>
      </c>
      <c r="AL149" s="70">
        <f t="shared" ref="AL149:AL177" si="401">IFERROR(AK149/$I149,0)</f>
        <v>0</v>
      </c>
      <c r="AM149" s="49"/>
      <c r="AN149" s="76">
        <f t="shared" ref="AN149:AN153" si="402">AM149*$H149</f>
        <v>0</v>
      </c>
      <c r="AO149" s="70">
        <f t="shared" si="252"/>
        <v>0</v>
      </c>
    </row>
    <row r="150" spans="2:41" s="9" customFormat="1" ht="18" outlineLevel="2" x14ac:dyDescent="0.25">
      <c r="B150" s="23"/>
      <c r="C150" s="23"/>
      <c r="D150" s="163" t="s">
        <v>55</v>
      </c>
      <c r="E150" s="164"/>
      <c r="F150" s="32">
        <v>27.29</v>
      </c>
      <c r="G150" s="51" t="s">
        <v>68</v>
      </c>
      <c r="H150" s="64">
        <v>724.31100000000004</v>
      </c>
      <c r="I150" s="88">
        <f t="shared" si="264"/>
        <v>19766.447189999999</v>
      </c>
      <c r="J150" s="67">
        <f t="shared" si="393"/>
        <v>27.29</v>
      </c>
      <c r="K150" s="83">
        <f t="shared" ref="K150:K153" si="403">J150*H150</f>
        <v>19766.447189999999</v>
      </c>
      <c r="L150" s="37">
        <f t="shared" ref="L150:L153" si="404">IFERROR(K150/I150, 0)</f>
        <v>1</v>
      </c>
      <c r="M150" s="68">
        <f t="shared" ref="M150:M153" si="405">F150-J150</f>
        <v>0</v>
      </c>
      <c r="N150" s="81">
        <f t="shared" ref="N150:N153" si="406">M150*H150</f>
        <v>0</v>
      </c>
      <c r="O150" s="49"/>
      <c r="P150" s="76">
        <f t="shared" si="266"/>
        <v>0</v>
      </c>
      <c r="Q150" s="70">
        <f t="shared" si="267"/>
        <v>0</v>
      </c>
      <c r="R150" s="49"/>
      <c r="S150" s="76">
        <f t="shared" si="268"/>
        <v>0</v>
      </c>
      <c r="T150" s="70">
        <f t="shared" si="269"/>
        <v>0</v>
      </c>
      <c r="U150" s="49"/>
      <c r="V150" s="76">
        <f t="shared" si="303"/>
        <v>0</v>
      </c>
      <c r="W150" s="70">
        <f t="shared" si="270"/>
        <v>0</v>
      </c>
      <c r="X150" s="49"/>
      <c r="Y150" s="76">
        <f t="shared" si="315"/>
        <v>0</v>
      </c>
      <c r="Z150" s="70">
        <f t="shared" si="394"/>
        <v>0</v>
      </c>
      <c r="AA150" s="49"/>
      <c r="AB150" s="76">
        <f t="shared" si="395"/>
        <v>0</v>
      </c>
      <c r="AC150" s="70">
        <f t="shared" si="240"/>
        <v>0</v>
      </c>
      <c r="AD150" s="32">
        <f t="shared" ref="AD150:AD151" si="407">F150</f>
        <v>27.29</v>
      </c>
      <c r="AE150" s="76">
        <f t="shared" si="396"/>
        <v>19766.447189999999</v>
      </c>
      <c r="AF150" s="70">
        <f t="shared" si="397"/>
        <v>1</v>
      </c>
      <c r="AG150" s="49"/>
      <c r="AH150" s="76">
        <f t="shared" si="398"/>
        <v>0</v>
      </c>
      <c r="AI150" s="70">
        <f t="shared" si="399"/>
        <v>0</v>
      </c>
      <c r="AJ150" s="49"/>
      <c r="AK150" s="76">
        <f t="shared" si="400"/>
        <v>0</v>
      </c>
      <c r="AL150" s="70">
        <f t="shared" si="401"/>
        <v>0</v>
      </c>
      <c r="AM150" s="49"/>
      <c r="AN150" s="76">
        <f t="shared" si="402"/>
        <v>0</v>
      </c>
      <c r="AO150" s="70">
        <f t="shared" si="252"/>
        <v>0</v>
      </c>
    </row>
    <row r="151" spans="2:41" s="9" customFormat="1" ht="18" outlineLevel="2" x14ac:dyDescent="0.25">
      <c r="B151" s="23"/>
      <c r="C151" s="23"/>
      <c r="D151" s="163" t="s">
        <v>56</v>
      </c>
      <c r="E151" s="164"/>
      <c r="F151" s="32">
        <v>88.13</v>
      </c>
      <c r="G151" s="51" t="s">
        <v>68</v>
      </c>
      <c r="H151" s="64">
        <v>724.31100000000004</v>
      </c>
      <c r="I151" s="88">
        <f t="shared" si="264"/>
        <v>63833.528429999998</v>
      </c>
      <c r="J151" s="67">
        <f t="shared" si="393"/>
        <v>88.13</v>
      </c>
      <c r="K151" s="83">
        <f t="shared" si="403"/>
        <v>63833.528429999998</v>
      </c>
      <c r="L151" s="37">
        <f t="shared" si="404"/>
        <v>1</v>
      </c>
      <c r="M151" s="68">
        <f t="shared" si="405"/>
        <v>0</v>
      </c>
      <c r="N151" s="81">
        <f t="shared" si="406"/>
        <v>0</v>
      </c>
      <c r="O151" s="49"/>
      <c r="P151" s="76">
        <f t="shared" si="266"/>
        <v>0</v>
      </c>
      <c r="Q151" s="70">
        <f t="shared" si="267"/>
        <v>0</v>
      </c>
      <c r="R151" s="49"/>
      <c r="S151" s="76">
        <f t="shared" si="268"/>
        <v>0</v>
      </c>
      <c r="T151" s="70">
        <f t="shared" si="269"/>
        <v>0</v>
      </c>
      <c r="U151" s="49"/>
      <c r="V151" s="76">
        <f t="shared" si="303"/>
        <v>0</v>
      </c>
      <c r="W151" s="70">
        <f t="shared" si="270"/>
        <v>0</v>
      </c>
      <c r="X151" s="49"/>
      <c r="Y151" s="76">
        <f t="shared" si="315"/>
        <v>0</v>
      </c>
      <c r="Z151" s="70">
        <f t="shared" si="394"/>
        <v>0</v>
      </c>
      <c r="AA151" s="49"/>
      <c r="AB151" s="76">
        <f t="shared" si="395"/>
        <v>0</v>
      </c>
      <c r="AC151" s="70">
        <f t="shared" si="240"/>
        <v>0</v>
      </c>
      <c r="AD151" s="32">
        <f t="shared" si="407"/>
        <v>88.13</v>
      </c>
      <c r="AE151" s="76">
        <f t="shared" si="396"/>
        <v>63833.528429999998</v>
      </c>
      <c r="AF151" s="70">
        <f t="shared" si="397"/>
        <v>1</v>
      </c>
      <c r="AG151" s="49"/>
      <c r="AH151" s="76">
        <f t="shared" si="398"/>
        <v>0</v>
      </c>
      <c r="AI151" s="70">
        <f t="shared" si="399"/>
        <v>0</v>
      </c>
      <c r="AJ151" s="49"/>
      <c r="AK151" s="76">
        <f t="shared" si="400"/>
        <v>0</v>
      </c>
      <c r="AL151" s="70">
        <f t="shared" si="401"/>
        <v>0</v>
      </c>
      <c r="AM151" s="49"/>
      <c r="AN151" s="76">
        <f t="shared" si="402"/>
        <v>0</v>
      </c>
      <c r="AO151" s="70">
        <f t="shared" si="252"/>
        <v>0</v>
      </c>
    </row>
    <row r="152" spans="2:41" s="9" customFormat="1" ht="18" outlineLevel="2" x14ac:dyDescent="0.25">
      <c r="B152" s="23"/>
      <c r="C152" s="23"/>
      <c r="D152" s="163" t="s">
        <v>96</v>
      </c>
      <c r="E152" s="164"/>
      <c r="F152" s="63">
        <f>F148</f>
        <v>157.72999999999999</v>
      </c>
      <c r="G152" s="51" t="s">
        <v>68</v>
      </c>
      <c r="H152" s="64">
        <v>40.2395</v>
      </c>
      <c r="I152" s="88">
        <f t="shared" si="264"/>
        <v>6346.9763349999994</v>
      </c>
      <c r="J152" s="67">
        <f t="shared" ref="J152:J153" si="408">SUM(O152,R152,U152,X152,AA152,AD152,AG152,AJ152,AM152)</f>
        <v>157.72999999999999</v>
      </c>
      <c r="K152" s="83">
        <f t="shared" si="403"/>
        <v>6346.9763349999994</v>
      </c>
      <c r="L152" s="37">
        <f t="shared" si="404"/>
        <v>1</v>
      </c>
      <c r="M152" s="68">
        <f t="shared" si="405"/>
        <v>0</v>
      </c>
      <c r="N152" s="81">
        <f t="shared" si="406"/>
        <v>0</v>
      </c>
      <c r="O152" s="49"/>
      <c r="P152" s="76"/>
      <c r="Q152" s="70"/>
      <c r="R152" s="49"/>
      <c r="S152" s="76"/>
      <c r="T152" s="70"/>
      <c r="U152" s="49"/>
      <c r="V152" s="76"/>
      <c r="W152" s="70"/>
      <c r="X152" s="49"/>
      <c r="Y152" s="76">
        <f t="shared" si="315"/>
        <v>0</v>
      </c>
      <c r="Z152" s="70">
        <f t="shared" si="394"/>
        <v>0</v>
      </c>
      <c r="AA152" s="49"/>
      <c r="AB152" s="76">
        <f t="shared" si="395"/>
        <v>0</v>
      </c>
      <c r="AC152" s="70">
        <f t="shared" si="240"/>
        <v>0</v>
      </c>
      <c r="AD152" s="49"/>
      <c r="AE152" s="76">
        <f t="shared" si="396"/>
        <v>0</v>
      </c>
      <c r="AF152" s="70">
        <f t="shared" si="397"/>
        <v>0</v>
      </c>
      <c r="AG152" s="49"/>
      <c r="AH152" s="76">
        <f t="shared" si="398"/>
        <v>0</v>
      </c>
      <c r="AI152" s="70">
        <f t="shared" si="399"/>
        <v>0</v>
      </c>
      <c r="AJ152" s="49"/>
      <c r="AK152" s="76">
        <f t="shared" si="400"/>
        <v>0</v>
      </c>
      <c r="AL152" s="70">
        <f t="shared" si="401"/>
        <v>0</v>
      </c>
      <c r="AM152" s="49">
        <v>157.72999999999999</v>
      </c>
      <c r="AN152" s="76">
        <f t="shared" si="402"/>
        <v>6346.9763349999994</v>
      </c>
      <c r="AO152" s="70">
        <f t="shared" si="252"/>
        <v>1</v>
      </c>
    </row>
    <row r="153" spans="2:41" s="9" customFormat="1" ht="18" outlineLevel="2" x14ac:dyDescent="0.25">
      <c r="B153" s="23"/>
      <c r="C153" s="23"/>
      <c r="D153" s="163" t="s">
        <v>97</v>
      </c>
      <c r="E153" s="164"/>
      <c r="F153" s="63">
        <f>F148</f>
        <v>157.72999999999999</v>
      </c>
      <c r="G153" s="51" t="s">
        <v>68</v>
      </c>
      <c r="H153" s="64">
        <v>40.2395</v>
      </c>
      <c r="I153" s="88">
        <f t="shared" si="264"/>
        <v>6346.9763349999994</v>
      </c>
      <c r="J153" s="67">
        <f t="shared" si="408"/>
        <v>157.72999999999999</v>
      </c>
      <c r="K153" s="83">
        <f t="shared" si="403"/>
        <v>6346.9763349999994</v>
      </c>
      <c r="L153" s="37">
        <f t="shared" si="404"/>
        <v>1</v>
      </c>
      <c r="M153" s="68">
        <f t="shared" si="405"/>
        <v>0</v>
      </c>
      <c r="N153" s="81">
        <f t="shared" si="406"/>
        <v>0</v>
      </c>
      <c r="O153" s="49"/>
      <c r="P153" s="76"/>
      <c r="Q153" s="70"/>
      <c r="R153" s="49"/>
      <c r="S153" s="76"/>
      <c r="T153" s="70"/>
      <c r="U153" s="49"/>
      <c r="V153" s="76"/>
      <c r="W153" s="70"/>
      <c r="X153" s="49"/>
      <c r="Y153" s="76">
        <f t="shared" si="315"/>
        <v>0</v>
      </c>
      <c r="Z153" s="70">
        <f t="shared" si="394"/>
        <v>0</v>
      </c>
      <c r="AA153" s="49"/>
      <c r="AB153" s="76">
        <f t="shared" si="395"/>
        <v>0</v>
      </c>
      <c r="AC153" s="70">
        <f t="shared" si="240"/>
        <v>0</v>
      </c>
      <c r="AD153" s="49"/>
      <c r="AE153" s="76">
        <f t="shared" si="396"/>
        <v>0</v>
      </c>
      <c r="AF153" s="70">
        <f t="shared" si="397"/>
        <v>0</v>
      </c>
      <c r="AG153" s="49"/>
      <c r="AH153" s="76">
        <f t="shared" si="398"/>
        <v>0</v>
      </c>
      <c r="AI153" s="70">
        <f t="shared" si="399"/>
        <v>0</v>
      </c>
      <c r="AJ153" s="49"/>
      <c r="AK153" s="76">
        <f t="shared" si="400"/>
        <v>0</v>
      </c>
      <c r="AL153" s="70">
        <f t="shared" si="401"/>
        <v>0</v>
      </c>
      <c r="AM153" s="49">
        <v>157.72999999999999</v>
      </c>
      <c r="AN153" s="76">
        <f t="shared" si="402"/>
        <v>6346.9763349999994</v>
      </c>
      <c r="AO153" s="70">
        <f t="shared" si="252"/>
        <v>1</v>
      </c>
    </row>
    <row r="154" spans="2:41" s="50" customFormat="1" ht="25.35" customHeight="1" outlineLevel="2" x14ac:dyDescent="0.25">
      <c r="B154" s="61"/>
      <c r="C154" s="23"/>
      <c r="D154" s="165" t="s">
        <v>78</v>
      </c>
      <c r="E154" s="166"/>
      <c r="F154" s="63">
        <f>SUM(F155:F157)</f>
        <v>168.01</v>
      </c>
      <c r="G154" s="51"/>
      <c r="H154" s="64"/>
      <c r="I154" s="88">
        <f>SUM(I155:I159)</f>
        <v>135212.76790000001</v>
      </c>
      <c r="J154" s="67"/>
      <c r="K154" s="75"/>
      <c r="L154" s="65"/>
      <c r="M154" s="69"/>
      <c r="N154" s="80"/>
      <c r="O154" s="66"/>
      <c r="P154" s="75"/>
      <c r="Q154" s="65"/>
      <c r="R154" s="66"/>
      <c r="S154" s="75"/>
      <c r="T154" s="65"/>
      <c r="U154" s="49"/>
      <c r="V154" s="76">
        <f t="shared" si="303"/>
        <v>0</v>
      </c>
      <c r="W154" s="65"/>
      <c r="X154" s="49"/>
      <c r="Y154" s="76"/>
      <c r="Z154" s="76"/>
      <c r="AA154" s="49"/>
      <c r="AB154" s="76"/>
      <c r="AC154" s="70">
        <f t="shared" ref="AC154:AC177" si="409">IFERROR(AB154/$I154,0)</f>
        <v>0</v>
      </c>
      <c r="AD154" s="49"/>
      <c r="AE154" s="76"/>
      <c r="AF154" s="70">
        <f t="shared" si="397"/>
        <v>0</v>
      </c>
      <c r="AG154" s="49"/>
      <c r="AH154" s="76"/>
      <c r="AI154" s="70">
        <f t="shared" si="399"/>
        <v>0</v>
      </c>
      <c r="AJ154" s="49"/>
      <c r="AK154" s="76"/>
      <c r="AL154" s="70">
        <f t="shared" si="401"/>
        <v>0</v>
      </c>
      <c r="AM154" s="49"/>
      <c r="AN154" s="76"/>
      <c r="AO154" s="70">
        <f t="shared" si="252"/>
        <v>0</v>
      </c>
    </row>
    <row r="155" spans="2:41" s="9" customFormat="1" ht="18" outlineLevel="2" x14ac:dyDescent="0.25">
      <c r="B155" s="23"/>
      <c r="C155" s="23"/>
      <c r="D155" s="163" t="s">
        <v>54</v>
      </c>
      <c r="E155" s="164"/>
      <c r="F155" s="32">
        <v>42.3</v>
      </c>
      <c r="G155" s="51" t="s">
        <v>68</v>
      </c>
      <c r="H155" s="64">
        <v>724.31100000000004</v>
      </c>
      <c r="I155" s="88">
        <f t="shared" si="264"/>
        <v>30638.355299999999</v>
      </c>
      <c r="J155" s="67">
        <f t="shared" ref="J155:J157" si="410">SUM(O155,R155,U155,X155,AA155,AD155,AG155,AJ155)</f>
        <v>42.3</v>
      </c>
      <c r="K155" s="83">
        <f t="shared" si="212"/>
        <v>30638.355299999999</v>
      </c>
      <c r="L155" s="37">
        <f t="shared" si="213"/>
        <v>1</v>
      </c>
      <c r="M155" s="68">
        <f t="shared" si="214"/>
        <v>0</v>
      </c>
      <c r="N155" s="81">
        <f t="shared" si="215"/>
        <v>0</v>
      </c>
      <c r="O155" s="49"/>
      <c r="P155" s="76">
        <f t="shared" si="266"/>
        <v>0</v>
      </c>
      <c r="Q155" s="70">
        <f t="shared" si="267"/>
        <v>0</v>
      </c>
      <c r="R155" s="49"/>
      <c r="S155" s="76">
        <f t="shared" si="268"/>
        <v>0</v>
      </c>
      <c r="T155" s="70">
        <f t="shared" si="269"/>
        <v>0</v>
      </c>
      <c r="U155" s="49"/>
      <c r="V155" s="76">
        <f t="shared" si="303"/>
        <v>0</v>
      </c>
      <c r="W155" s="70">
        <f t="shared" si="270"/>
        <v>0</v>
      </c>
      <c r="X155" s="49"/>
      <c r="Y155" s="76">
        <f t="shared" si="315"/>
        <v>0</v>
      </c>
      <c r="Z155" s="70">
        <f t="shared" ref="Z155:Z159" si="411">IFERROR(Y155/$I155,0)</f>
        <v>0</v>
      </c>
      <c r="AA155" s="49"/>
      <c r="AB155" s="76">
        <f t="shared" ref="AB155:AB159" si="412">AA155*$H155</f>
        <v>0</v>
      </c>
      <c r="AC155" s="70">
        <f t="shared" si="409"/>
        <v>0</v>
      </c>
      <c r="AD155" s="32">
        <f>F155</f>
        <v>42.3</v>
      </c>
      <c r="AE155" s="76">
        <f t="shared" ref="AE155:AE159" si="413">AD155*$H155</f>
        <v>30638.355299999999</v>
      </c>
      <c r="AF155" s="70">
        <f t="shared" si="397"/>
        <v>1</v>
      </c>
      <c r="AG155" s="49"/>
      <c r="AH155" s="76">
        <f t="shared" ref="AH155:AH159" si="414">AG155*$H155</f>
        <v>0</v>
      </c>
      <c r="AI155" s="70">
        <f t="shared" si="399"/>
        <v>0</v>
      </c>
      <c r="AJ155" s="49"/>
      <c r="AK155" s="76">
        <f t="shared" ref="AK155:AK159" si="415">AJ155*$H155</f>
        <v>0</v>
      </c>
      <c r="AL155" s="70">
        <f t="shared" si="401"/>
        <v>0</v>
      </c>
      <c r="AM155" s="49"/>
      <c r="AN155" s="76">
        <f t="shared" ref="AN155:AN159" si="416">AM155*$H155</f>
        <v>0</v>
      </c>
      <c r="AO155" s="70">
        <f t="shared" si="252"/>
        <v>0</v>
      </c>
    </row>
    <row r="156" spans="2:41" s="9" customFormat="1" ht="18" outlineLevel="2" x14ac:dyDescent="0.25">
      <c r="B156" s="23"/>
      <c r="C156" s="23"/>
      <c r="D156" s="163" t="s">
        <v>55</v>
      </c>
      <c r="E156" s="164"/>
      <c r="F156" s="32">
        <v>41.28</v>
      </c>
      <c r="G156" s="51" t="s">
        <v>68</v>
      </c>
      <c r="H156" s="64">
        <v>724.31100000000004</v>
      </c>
      <c r="I156" s="88">
        <f t="shared" si="264"/>
        <v>29899.558080000003</v>
      </c>
      <c r="J156" s="67">
        <f t="shared" si="410"/>
        <v>41.28</v>
      </c>
      <c r="K156" s="83">
        <f t="shared" ref="K156:K159" si="417">J156*H156</f>
        <v>29899.558080000003</v>
      </c>
      <c r="L156" s="37">
        <f t="shared" ref="L156:L159" si="418">IFERROR(K156/I156, 0)</f>
        <v>1</v>
      </c>
      <c r="M156" s="68">
        <f t="shared" ref="M156:M159" si="419">F156-J156</f>
        <v>0</v>
      </c>
      <c r="N156" s="81">
        <f t="shared" ref="N156:N159" si="420">M156*H156</f>
        <v>0</v>
      </c>
      <c r="O156" s="49"/>
      <c r="P156" s="76">
        <f t="shared" si="266"/>
        <v>0</v>
      </c>
      <c r="Q156" s="70">
        <f t="shared" si="267"/>
        <v>0</v>
      </c>
      <c r="R156" s="49"/>
      <c r="S156" s="76">
        <f t="shared" si="268"/>
        <v>0</v>
      </c>
      <c r="T156" s="70">
        <f t="shared" si="269"/>
        <v>0</v>
      </c>
      <c r="U156" s="49"/>
      <c r="V156" s="76">
        <f t="shared" si="303"/>
        <v>0</v>
      </c>
      <c r="W156" s="70">
        <f t="shared" si="270"/>
        <v>0</v>
      </c>
      <c r="X156" s="49"/>
      <c r="Y156" s="76">
        <f t="shared" si="315"/>
        <v>0</v>
      </c>
      <c r="Z156" s="70">
        <f t="shared" si="411"/>
        <v>0</v>
      </c>
      <c r="AA156" s="49"/>
      <c r="AB156" s="76">
        <f t="shared" si="412"/>
        <v>0</v>
      </c>
      <c r="AC156" s="70">
        <f t="shared" si="409"/>
        <v>0</v>
      </c>
      <c r="AD156" s="32">
        <f t="shared" ref="AD156:AD157" si="421">F156</f>
        <v>41.28</v>
      </c>
      <c r="AE156" s="76">
        <f t="shared" si="413"/>
        <v>29899.558080000003</v>
      </c>
      <c r="AF156" s="70">
        <f t="shared" si="397"/>
        <v>1</v>
      </c>
      <c r="AG156" s="49"/>
      <c r="AH156" s="76">
        <f t="shared" si="414"/>
        <v>0</v>
      </c>
      <c r="AI156" s="70">
        <f t="shared" si="399"/>
        <v>0</v>
      </c>
      <c r="AJ156" s="49"/>
      <c r="AK156" s="76">
        <f t="shared" si="415"/>
        <v>0</v>
      </c>
      <c r="AL156" s="70">
        <f t="shared" si="401"/>
        <v>0</v>
      </c>
      <c r="AM156" s="49"/>
      <c r="AN156" s="76">
        <f t="shared" si="416"/>
        <v>0</v>
      </c>
      <c r="AO156" s="70">
        <f t="shared" si="252"/>
        <v>0</v>
      </c>
    </row>
    <row r="157" spans="2:41" s="9" customFormat="1" ht="18" outlineLevel="2" x14ac:dyDescent="0.25">
      <c r="B157" s="23"/>
      <c r="C157" s="23"/>
      <c r="D157" s="163" t="s">
        <v>56</v>
      </c>
      <c r="E157" s="164"/>
      <c r="F157" s="32">
        <v>84.43</v>
      </c>
      <c r="G157" s="51" t="s">
        <v>68</v>
      </c>
      <c r="H157" s="64">
        <v>724.31100000000004</v>
      </c>
      <c r="I157" s="88">
        <f t="shared" si="264"/>
        <v>61153.577730000005</v>
      </c>
      <c r="J157" s="67">
        <f t="shared" si="410"/>
        <v>84.43</v>
      </c>
      <c r="K157" s="83">
        <f t="shared" si="417"/>
        <v>61153.577730000005</v>
      </c>
      <c r="L157" s="37">
        <f t="shared" si="418"/>
        <v>1</v>
      </c>
      <c r="M157" s="68">
        <f t="shared" si="419"/>
        <v>0</v>
      </c>
      <c r="N157" s="81">
        <f t="shared" si="420"/>
        <v>0</v>
      </c>
      <c r="O157" s="49"/>
      <c r="P157" s="76">
        <f t="shared" si="266"/>
        <v>0</v>
      </c>
      <c r="Q157" s="70">
        <f t="shared" si="267"/>
        <v>0</v>
      </c>
      <c r="R157" s="49"/>
      <c r="S157" s="76">
        <f t="shared" si="268"/>
        <v>0</v>
      </c>
      <c r="T157" s="70">
        <f t="shared" si="269"/>
        <v>0</v>
      </c>
      <c r="U157" s="49"/>
      <c r="V157" s="76">
        <f t="shared" si="303"/>
        <v>0</v>
      </c>
      <c r="W157" s="70">
        <f t="shared" si="270"/>
        <v>0</v>
      </c>
      <c r="X157" s="49"/>
      <c r="Y157" s="76">
        <f t="shared" si="315"/>
        <v>0</v>
      </c>
      <c r="Z157" s="70">
        <f t="shared" si="411"/>
        <v>0</v>
      </c>
      <c r="AA157" s="49"/>
      <c r="AB157" s="76">
        <f t="shared" si="412"/>
        <v>0</v>
      </c>
      <c r="AC157" s="70">
        <f t="shared" si="409"/>
        <v>0</v>
      </c>
      <c r="AD157" s="32">
        <f t="shared" si="421"/>
        <v>84.43</v>
      </c>
      <c r="AE157" s="76">
        <f t="shared" si="413"/>
        <v>61153.577730000005</v>
      </c>
      <c r="AF157" s="70">
        <f t="shared" si="397"/>
        <v>1</v>
      </c>
      <c r="AG157" s="49"/>
      <c r="AH157" s="76">
        <f t="shared" si="414"/>
        <v>0</v>
      </c>
      <c r="AI157" s="70">
        <f t="shared" si="399"/>
        <v>0</v>
      </c>
      <c r="AJ157" s="49"/>
      <c r="AK157" s="76">
        <f t="shared" si="415"/>
        <v>0</v>
      </c>
      <c r="AL157" s="70">
        <f t="shared" si="401"/>
        <v>0</v>
      </c>
      <c r="AM157" s="49"/>
      <c r="AN157" s="76">
        <f t="shared" si="416"/>
        <v>0</v>
      </c>
      <c r="AO157" s="70">
        <f t="shared" si="252"/>
        <v>0</v>
      </c>
    </row>
    <row r="158" spans="2:41" s="9" customFormat="1" ht="18" outlineLevel="2" x14ac:dyDescent="0.25">
      <c r="B158" s="23"/>
      <c r="C158" s="23"/>
      <c r="D158" s="163" t="s">
        <v>96</v>
      </c>
      <c r="E158" s="164"/>
      <c r="F158" s="63">
        <f>F154</f>
        <v>168.01</v>
      </c>
      <c r="G158" s="51" t="s">
        <v>68</v>
      </c>
      <c r="H158" s="64">
        <v>40.2395</v>
      </c>
      <c r="I158" s="88">
        <f t="shared" si="264"/>
        <v>6760.6383949999999</v>
      </c>
      <c r="J158" s="67">
        <f t="shared" ref="J158:J159" si="422">SUM(O158,R158,U158,X158,AA158,AD158,AG158,AJ158,AM158)</f>
        <v>168.01</v>
      </c>
      <c r="K158" s="83">
        <f t="shared" si="417"/>
        <v>6760.6383949999999</v>
      </c>
      <c r="L158" s="37">
        <f t="shared" si="418"/>
        <v>1</v>
      </c>
      <c r="M158" s="68">
        <f t="shared" si="419"/>
        <v>0</v>
      </c>
      <c r="N158" s="81">
        <f t="shared" si="420"/>
        <v>0</v>
      </c>
      <c r="O158" s="49"/>
      <c r="P158" s="76"/>
      <c r="Q158" s="70"/>
      <c r="R158" s="49"/>
      <c r="S158" s="76"/>
      <c r="T158" s="70"/>
      <c r="U158" s="49"/>
      <c r="V158" s="76"/>
      <c r="W158" s="70"/>
      <c r="X158" s="49"/>
      <c r="Y158" s="76">
        <f t="shared" si="315"/>
        <v>0</v>
      </c>
      <c r="Z158" s="70">
        <f t="shared" si="411"/>
        <v>0</v>
      </c>
      <c r="AA158" s="49"/>
      <c r="AB158" s="76">
        <f t="shared" si="412"/>
        <v>0</v>
      </c>
      <c r="AC158" s="70">
        <f t="shared" si="409"/>
        <v>0</v>
      </c>
      <c r="AD158" s="49"/>
      <c r="AE158" s="76">
        <f t="shared" si="413"/>
        <v>0</v>
      </c>
      <c r="AF158" s="70">
        <f t="shared" si="397"/>
        <v>0</v>
      </c>
      <c r="AG158" s="49"/>
      <c r="AH158" s="76">
        <f t="shared" si="414"/>
        <v>0</v>
      </c>
      <c r="AI158" s="70">
        <f t="shared" si="399"/>
        <v>0</v>
      </c>
      <c r="AJ158" s="49"/>
      <c r="AK158" s="76">
        <f t="shared" si="415"/>
        <v>0</v>
      </c>
      <c r="AL158" s="70">
        <f t="shared" si="401"/>
        <v>0</v>
      </c>
      <c r="AM158" s="49">
        <v>168.01</v>
      </c>
      <c r="AN158" s="76">
        <f t="shared" si="416"/>
        <v>6760.6383949999999</v>
      </c>
      <c r="AO158" s="70">
        <f t="shared" si="252"/>
        <v>1</v>
      </c>
    </row>
    <row r="159" spans="2:41" s="9" customFormat="1" ht="18" outlineLevel="2" x14ac:dyDescent="0.25">
      <c r="B159" s="23"/>
      <c r="C159" s="23"/>
      <c r="D159" s="163" t="s">
        <v>97</v>
      </c>
      <c r="E159" s="164"/>
      <c r="F159" s="63">
        <f>F154</f>
        <v>168.01</v>
      </c>
      <c r="G159" s="51" t="s">
        <v>68</v>
      </c>
      <c r="H159" s="64">
        <v>40.2395</v>
      </c>
      <c r="I159" s="88">
        <f t="shared" si="264"/>
        <v>6760.6383949999999</v>
      </c>
      <c r="J159" s="67">
        <f t="shared" si="422"/>
        <v>168.01</v>
      </c>
      <c r="K159" s="83">
        <f t="shared" si="417"/>
        <v>6760.6383949999999</v>
      </c>
      <c r="L159" s="37">
        <f t="shared" si="418"/>
        <v>1</v>
      </c>
      <c r="M159" s="68">
        <f t="shared" si="419"/>
        <v>0</v>
      </c>
      <c r="N159" s="81">
        <f t="shared" si="420"/>
        <v>0</v>
      </c>
      <c r="O159" s="49"/>
      <c r="P159" s="76"/>
      <c r="Q159" s="70"/>
      <c r="R159" s="49"/>
      <c r="S159" s="76"/>
      <c r="T159" s="70"/>
      <c r="U159" s="49"/>
      <c r="V159" s="76"/>
      <c r="W159" s="70"/>
      <c r="X159" s="49"/>
      <c r="Y159" s="76">
        <f t="shared" si="315"/>
        <v>0</v>
      </c>
      <c r="Z159" s="70">
        <f t="shared" si="411"/>
        <v>0</v>
      </c>
      <c r="AA159" s="49"/>
      <c r="AB159" s="76">
        <f t="shared" si="412"/>
        <v>0</v>
      </c>
      <c r="AC159" s="70">
        <f t="shared" si="409"/>
        <v>0</v>
      </c>
      <c r="AD159" s="49"/>
      <c r="AE159" s="76">
        <f t="shared" si="413"/>
        <v>0</v>
      </c>
      <c r="AF159" s="70">
        <f t="shared" si="397"/>
        <v>0</v>
      </c>
      <c r="AG159" s="49"/>
      <c r="AH159" s="76">
        <f t="shared" si="414"/>
        <v>0</v>
      </c>
      <c r="AI159" s="70">
        <f t="shared" si="399"/>
        <v>0</v>
      </c>
      <c r="AJ159" s="49"/>
      <c r="AK159" s="76">
        <f t="shared" si="415"/>
        <v>0</v>
      </c>
      <c r="AL159" s="70">
        <f t="shared" si="401"/>
        <v>0</v>
      </c>
      <c r="AM159" s="49">
        <v>168.01</v>
      </c>
      <c r="AN159" s="76">
        <f t="shared" si="416"/>
        <v>6760.6383949999999</v>
      </c>
      <c r="AO159" s="70">
        <f t="shared" si="252"/>
        <v>1</v>
      </c>
    </row>
    <row r="160" spans="2:41" s="50" customFormat="1" ht="25.35" customHeight="1" outlineLevel="2" x14ac:dyDescent="0.25">
      <c r="B160" s="61"/>
      <c r="C160" s="23"/>
      <c r="D160" s="165" t="s">
        <v>90</v>
      </c>
      <c r="E160" s="166"/>
      <c r="F160" s="63">
        <f>SUM(F161:F163)</f>
        <v>152.04000000000002</v>
      </c>
      <c r="G160" s="51"/>
      <c r="H160" s="64"/>
      <c r="I160" s="88">
        <f>SUM(I161:I165)</f>
        <v>122360.27160000001</v>
      </c>
      <c r="J160" s="67"/>
      <c r="K160" s="75"/>
      <c r="L160" s="65"/>
      <c r="M160" s="69"/>
      <c r="N160" s="80"/>
      <c r="O160" s="66"/>
      <c r="P160" s="75"/>
      <c r="Q160" s="65"/>
      <c r="R160" s="66"/>
      <c r="S160" s="75"/>
      <c r="T160" s="65"/>
      <c r="U160" s="49"/>
      <c r="V160" s="76">
        <f t="shared" si="303"/>
        <v>0</v>
      </c>
      <c r="W160" s="65"/>
      <c r="X160" s="49"/>
      <c r="Y160" s="76"/>
      <c r="Z160" s="76"/>
      <c r="AA160" s="49"/>
      <c r="AB160" s="76"/>
      <c r="AC160" s="70">
        <f t="shared" si="409"/>
        <v>0</v>
      </c>
      <c r="AD160" s="49"/>
      <c r="AE160" s="76"/>
      <c r="AF160" s="70">
        <f t="shared" si="397"/>
        <v>0</v>
      </c>
      <c r="AG160" s="49"/>
      <c r="AH160" s="76"/>
      <c r="AI160" s="70">
        <f t="shared" si="399"/>
        <v>0</v>
      </c>
      <c r="AJ160" s="49"/>
      <c r="AK160" s="76"/>
      <c r="AL160" s="70">
        <f t="shared" si="401"/>
        <v>0</v>
      </c>
      <c r="AM160" s="49"/>
      <c r="AN160" s="76"/>
      <c r="AO160" s="70">
        <f t="shared" si="252"/>
        <v>0</v>
      </c>
    </row>
    <row r="161" spans="2:41" s="9" customFormat="1" ht="18" outlineLevel="2" x14ac:dyDescent="0.25">
      <c r="B161" s="23"/>
      <c r="C161" s="23"/>
      <c r="D161" s="163" t="s">
        <v>54</v>
      </c>
      <c r="E161" s="164"/>
      <c r="F161" s="32">
        <v>34.130000000000003</v>
      </c>
      <c r="G161" s="51" t="s">
        <v>68</v>
      </c>
      <c r="H161" s="64">
        <v>724.31100000000004</v>
      </c>
      <c r="I161" s="88">
        <f t="shared" ref="I161:I165" si="423">F161*H161</f>
        <v>24720.734430000004</v>
      </c>
      <c r="J161" s="67">
        <f t="shared" ref="J161:J163" si="424">SUM(O161,R161,U161,X161,AA161,AD161,AG161,AJ161)</f>
        <v>34.130000000000003</v>
      </c>
      <c r="K161" s="83">
        <f t="shared" ref="K161" si="425">J161*H161</f>
        <v>24720.734430000004</v>
      </c>
      <c r="L161" s="37">
        <f t="shared" ref="L161" si="426">IFERROR(K161/I161, 0)</f>
        <v>1</v>
      </c>
      <c r="M161" s="68">
        <f t="shared" ref="M161" si="427">F161-J161</f>
        <v>0</v>
      </c>
      <c r="N161" s="81">
        <f t="shared" ref="N161" si="428">M161*H161</f>
        <v>0</v>
      </c>
      <c r="O161" s="49"/>
      <c r="P161" s="76">
        <f t="shared" ref="P161:P163" si="429">O161*$H161</f>
        <v>0</v>
      </c>
      <c r="Q161" s="70">
        <f t="shared" ref="Q161:Q163" si="430">IFERROR(P161/$I161,0)</f>
        <v>0</v>
      </c>
      <c r="R161" s="49"/>
      <c r="S161" s="76">
        <f t="shared" ref="S161:S163" si="431">R161*H161</f>
        <v>0</v>
      </c>
      <c r="T161" s="70">
        <f t="shared" ref="T161:T163" si="432">IFERROR(S161/$I161,0)</f>
        <v>0</v>
      </c>
      <c r="U161" s="49"/>
      <c r="V161" s="76">
        <f t="shared" si="303"/>
        <v>0</v>
      </c>
      <c r="W161" s="70">
        <f t="shared" ref="W161:W163" si="433">IFERROR(V161/$I161,0)</f>
        <v>0</v>
      </c>
      <c r="X161" s="49"/>
      <c r="Y161" s="76">
        <f t="shared" si="315"/>
        <v>0</v>
      </c>
      <c r="Z161" s="70">
        <f t="shared" ref="Z161:Z165" si="434">IFERROR(Y161/$I161,0)</f>
        <v>0</v>
      </c>
      <c r="AA161" s="49"/>
      <c r="AB161" s="76">
        <f t="shared" ref="AB161:AB165" si="435">AA161*$H161</f>
        <v>0</v>
      </c>
      <c r="AC161" s="70">
        <f t="shared" si="409"/>
        <v>0</v>
      </c>
      <c r="AD161" s="49"/>
      <c r="AE161" s="76">
        <f t="shared" ref="AE161:AE165" si="436">AD161*$H161</f>
        <v>0</v>
      </c>
      <c r="AF161" s="70">
        <f t="shared" si="397"/>
        <v>0</v>
      </c>
      <c r="AG161" s="32">
        <v>34.130000000000003</v>
      </c>
      <c r="AH161" s="76">
        <f t="shared" ref="AH161:AH165" si="437">AG161*$H161</f>
        <v>24720.734430000004</v>
      </c>
      <c r="AI161" s="70">
        <f t="shared" si="399"/>
        <v>1</v>
      </c>
      <c r="AJ161" s="49"/>
      <c r="AK161" s="76">
        <f t="shared" ref="AK161:AK165" si="438">AJ161*$H161</f>
        <v>0</v>
      </c>
      <c r="AL161" s="70">
        <f t="shared" si="401"/>
        <v>0</v>
      </c>
      <c r="AM161" s="49"/>
      <c r="AN161" s="76">
        <f t="shared" ref="AN161:AN165" si="439">AM161*$H161</f>
        <v>0</v>
      </c>
      <c r="AO161" s="70">
        <f t="shared" si="252"/>
        <v>0</v>
      </c>
    </row>
    <row r="162" spans="2:41" s="9" customFormat="1" ht="18" outlineLevel="2" x14ac:dyDescent="0.25">
      <c r="B162" s="23"/>
      <c r="C162" s="23"/>
      <c r="D162" s="163" t="s">
        <v>55</v>
      </c>
      <c r="E162" s="164"/>
      <c r="F162" s="32">
        <v>56.27</v>
      </c>
      <c r="G162" s="51" t="s">
        <v>68</v>
      </c>
      <c r="H162" s="64">
        <v>724.31100000000004</v>
      </c>
      <c r="I162" s="88">
        <f t="shared" si="423"/>
        <v>40756.979970000008</v>
      </c>
      <c r="J162" s="67">
        <f t="shared" si="424"/>
        <v>56.27</v>
      </c>
      <c r="K162" s="83">
        <f t="shared" ref="K162:K165" si="440">J162*H162</f>
        <v>40756.979970000008</v>
      </c>
      <c r="L162" s="37">
        <f t="shared" ref="L162:L165" si="441">IFERROR(K162/I162, 0)</f>
        <v>1</v>
      </c>
      <c r="M162" s="68">
        <f t="shared" ref="M162:M165" si="442">F162-J162</f>
        <v>0</v>
      </c>
      <c r="N162" s="81">
        <f t="shared" ref="N162:N165" si="443">M162*H162</f>
        <v>0</v>
      </c>
      <c r="O162" s="49"/>
      <c r="P162" s="76">
        <f t="shared" si="429"/>
        <v>0</v>
      </c>
      <c r="Q162" s="70">
        <f t="shared" si="430"/>
        <v>0</v>
      </c>
      <c r="R162" s="49"/>
      <c r="S162" s="76">
        <f t="shared" si="431"/>
        <v>0</v>
      </c>
      <c r="T162" s="70">
        <f t="shared" si="432"/>
        <v>0</v>
      </c>
      <c r="U162" s="49"/>
      <c r="V162" s="76">
        <f t="shared" si="303"/>
        <v>0</v>
      </c>
      <c r="W162" s="70">
        <f t="shared" si="433"/>
        <v>0</v>
      </c>
      <c r="X162" s="49"/>
      <c r="Y162" s="76">
        <f t="shared" si="315"/>
        <v>0</v>
      </c>
      <c r="Z162" s="70">
        <f t="shared" si="434"/>
        <v>0</v>
      </c>
      <c r="AA162" s="49"/>
      <c r="AB162" s="76">
        <f t="shared" si="435"/>
        <v>0</v>
      </c>
      <c r="AC162" s="70">
        <f t="shared" si="409"/>
        <v>0</v>
      </c>
      <c r="AD162" s="49"/>
      <c r="AE162" s="76">
        <f t="shared" si="436"/>
        <v>0</v>
      </c>
      <c r="AF162" s="70">
        <f t="shared" si="397"/>
        <v>0</v>
      </c>
      <c r="AG162" s="32">
        <v>56.27</v>
      </c>
      <c r="AH162" s="76">
        <f t="shared" si="437"/>
        <v>40756.979970000008</v>
      </c>
      <c r="AI162" s="70">
        <f t="shared" si="399"/>
        <v>1</v>
      </c>
      <c r="AJ162" s="49"/>
      <c r="AK162" s="76">
        <f t="shared" si="438"/>
        <v>0</v>
      </c>
      <c r="AL162" s="70">
        <f t="shared" si="401"/>
        <v>0</v>
      </c>
      <c r="AM162" s="49"/>
      <c r="AN162" s="76">
        <f t="shared" si="439"/>
        <v>0</v>
      </c>
      <c r="AO162" s="70">
        <f t="shared" ref="AO162:AO185" si="444">IFERROR(AN162/$I162,0)</f>
        <v>0</v>
      </c>
    </row>
    <row r="163" spans="2:41" s="9" customFormat="1" ht="18" outlineLevel="2" x14ac:dyDescent="0.25">
      <c r="B163" s="23"/>
      <c r="C163" s="23"/>
      <c r="D163" s="163" t="s">
        <v>56</v>
      </c>
      <c r="E163" s="164"/>
      <c r="F163" s="32">
        <v>61.64</v>
      </c>
      <c r="G163" s="51" t="s">
        <v>68</v>
      </c>
      <c r="H163" s="64">
        <v>724.31100000000004</v>
      </c>
      <c r="I163" s="88">
        <f t="shared" si="423"/>
        <v>44646.530040000005</v>
      </c>
      <c r="J163" s="67">
        <f t="shared" si="424"/>
        <v>61.64</v>
      </c>
      <c r="K163" s="83">
        <f t="shared" si="440"/>
        <v>44646.530040000005</v>
      </c>
      <c r="L163" s="37">
        <f t="shared" si="441"/>
        <v>1</v>
      </c>
      <c r="M163" s="68">
        <f t="shared" si="442"/>
        <v>0</v>
      </c>
      <c r="N163" s="81">
        <f t="shared" si="443"/>
        <v>0</v>
      </c>
      <c r="O163" s="49"/>
      <c r="P163" s="76">
        <f t="shared" si="429"/>
        <v>0</v>
      </c>
      <c r="Q163" s="70">
        <f t="shared" si="430"/>
        <v>0</v>
      </c>
      <c r="R163" s="49"/>
      <c r="S163" s="76">
        <f t="shared" si="431"/>
        <v>0</v>
      </c>
      <c r="T163" s="70">
        <f t="shared" si="432"/>
        <v>0</v>
      </c>
      <c r="U163" s="49"/>
      <c r="V163" s="76">
        <f t="shared" si="303"/>
        <v>0</v>
      </c>
      <c r="W163" s="70">
        <f t="shared" si="433"/>
        <v>0</v>
      </c>
      <c r="X163" s="49"/>
      <c r="Y163" s="76">
        <f t="shared" si="315"/>
        <v>0</v>
      </c>
      <c r="Z163" s="70">
        <f t="shared" si="434"/>
        <v>0</v>
      </c>
      <c r="AA163" s="49"/>
      <c r="AB163" s="76">
        <f t="shared" si="435"/>
        <v>0</v>
      </c>
      <c r="AC163" s="70">
        <f t="shared" si="409"/>
        <v>0</v>
      </c>
      <c r="AD163" s="49"/>
      <c r="AE163" s="76">
        <f t="shared" si="436"/>
        <v>0</v>
      </c>
      <c r="AF163" s="70">
        <f t="shared" si="397"/>
        <v>0</v>
      </c>
      <c r="AG163" s="32">
        <v>61.64</v>
      </c>
      <c r="AH163" s="76">
        <f t="shared" si="437"/>
        <v>44646.530040000005</v>
      </c>
      <c r="AI163" s="70">
        <f t="shared" si="399"/>
        <v>1</v>
      </c>
      <c r="AJ163" s="49"/>
      <c r="AK163" s="76">
        <f t="shared" si="438"/>
        <v>0</v>
      </c>
      <c r="AL163" s="70">
        <f t="shared" si="401"/>
        <v>0</v>
      </c>
      <c r="AM163" s="49"/>
      <c r="AN163" s="76">
        <f t="shared" si="439"/>
        <v>0</v>
      </c>
      <c r="AO163" s="70">
        <f t="shared" si="444"/>
        <v>0</v>
      </c>
    </row>
    <row r="164" spans="2:41" s="9" customFormat="1" ht="18" outlineLevel="2" x14ac:dyDescent="0.25">
      <c r="B164" s="23"/>
      <c r="C164" s="23"/>
      <c r="D164" s="163" t="s">
        <v>96</v>
      </c>
      <c r="E164" s="164"/>
      <c r="F164" s="32">
        <f>F160</f>
        <v>152.04000000000002</v>
      </c>
      <c r="G164" s="51" t="s">
        <v>68</v>
      </c>
      <c r="H164" s="64">
        <v>40.2395</v>
      </c>
      <c r="I164" s="88">
        <f t="shared" si="423"/>
        <v>6118.0135800000007</v>
      </c>
      <c r="J164" s="67">
        <f t="shared" ref="J164:J165" si="445">SUM(O164,R164,U164,X164,AA164,AD164,AG164,AJ164,AM164)</f>
        <v>152.04</v>
      </c>
      <c r="K164" s="83">
        <f t="shared" si="440"/>
        <v>6118.0135799999998</v>
      </c>
      <c r="L164" s="37">
        <f t="shared" si="441"/>
        <v>0.99999999999999989</v>
      </c>
      <c r="M164" s="68">
        <f t="shared" si="442"/>
        <v>0</v>
      </c>
      <c r="N164" s="81">
        <f t="shared" si="443"/>
        <v>0</v>
      </c>
      <c r="O164" s="49"/>
      <c r="P164" s="76"/>
      <c r="Q164" s="70"/>
      <c r="R164" s="49"/>
      <c r="S164" s="76"/>
      <c r="T164" s="70"/>
      <c r="U164" s="49"/>
      <c r="V164" s="76"/>
      <c r="W164" s="70"/>
      <c r="X164" s="49"/>
      <c r="Y164" s="76">
        <f t="shared" si="315"/>
        <v>0</v>
      </c>
      <c r="Z164" s="70">
        <f t="shared" si="434"/>
        <v>0</v>
      </c>
      <c r="AA164" s="49"/>
      <c r="AB164" s="76">
        <f t="shared" si="435"/>
        <v>0</v>
      </c>
      <c r="AC164" s="70">
        <f t="shared" si="409"/>
        <v>0</v>
      </c>
      <c r="AD164" s="49"/>
      <c r="AE164" s="76">
        <f t="shared" si="436"/>
        <v>0</v>
      </c>
      <c r="AF164" s="70">
        <f t="shared" si="397"/>
        <v>0</v>
      </c>
      <c r="AG164" s="49"/>
      <c r="AH164" s="76">
        <f t="shared" si="437"/>
        <v>0</v>
      </c>
      <c r="AI164" s="70">
        <f t="shared" si="399"/>
        <v>0</v>
      </c>
      <c r="AJ164" s="49"/>
      <c r="AK164" s="76">
        <f t="shared" si="438"/>
        <v>0</v>
      </c>
      <c r="AL164" s="70">
        <f t="shared" si="401"/>
        <v>0</v>
      </c>
      <c r="AM164" s="49">
        <v>152.04</v>
      </c>
      <c r="AN164" s="76">
        <f t="shared" si="439"/>
        <v>6118.0135799999998</v>
      </c>
      <c r="AO164" s="70">
        <f t="shared" si="444"/>
        <v>0.99999999999999989</v>
      </c>
    </row>
    <row r="165" spans="2:41" s="9" customFormat="1" ht="18" outlineLevel="2" x14ac:dyDescent="0.25">
      <c r="B165" s="23"/>
      <c r="C165" s="23"/>
      <c r="D165" s="163" t="s">
        <v>97</v>
      </c>
      <c r="E165" s="164"/>
      <c r="F165" s="32">
        <f>F160</f>
        <v>152.04000000000002</v>
      </c>
      <c r="G165" s="51" t="s">
        <v>68</v>
      </c>
      <c r="H165" s="64">
        <v>40.2395</v>
      </c>
      <c r="I165" s="88">
        <f t="shared" si="423"/>
        <v>6118.0135800000007</v>
      </c>
      <c r="J165" s="67">
        <f t="shared" si="445"/>
        <v>152.04</v>
      </c>
      <c r="K165" s="83">
        <f t="shared" si="440"/>
        <v>6118.0135799999998</v>
      </c>
      <c r="L165" s="37">
        <f t="shared" si="441"/>
        <v>0.99999999999999989</v>
      </c>
      <c r="M165" s="68">
        <f t="shared" si="442"/>
        <v>0</v>
      </c>
      <c r="N165" s="81">
        <f t="shared" si="443"/>
        <v>0</v>
      </c>
      <c r="O165" s="49"/>
      <c r="P165" s="76"/>
      <c r="Q165" s="70"/>
      <c r="R165" s="49"/>
      <c r="S165" s="76"/>
      <c r="T165" s="70"/>
      <c r="U165" s="49"/>
      <c r="V165" s="76"/>
      <c r="W165" s="70"/>
      <c r="X165" s="49"/>
      <c r="Y165" s="76">
        <f t="shared" si="315"/>
        <v>0</v>
      </c>
      <c r="Z165" s="70">
        <f t="shared" si="434"/>
        <v>0</v>
      </c>
      <c r="AA165" s="49"/>
      <c r="AB165" s="76">
        <f t="shared" si="435"/>
        <v>0</v>
      </c>
      <c r="AC165" s="70">
        <f t="shared" si="409"/>
        <v>0</v>
      </c>
      <c r="AD165" s="49"/>
      <c r="AE165" s="76">
        <f t="shared" si="436"/>
        <v>0</v>
      </c>
      <c r="AF165" s="70">
        <f t="shared" si="397"/>
        <v>0</v>
      </c>
      <c r="AG165" s="49"/>
      <c r="AH165" s="76">
        <f t="shared" si="437"/>
        <v>0</v>
      </c>
      <c r="AI165" s="70">
        <f t="shared" si="399"/>
        <v>0</v>
      </c>
      <c r="AJ165" s="49"/>
      <c r="AK165" s="76">
        <f t="shared" si="438"/>
        <v>0</v>
      </c>
      <c r="AL165" s="70">
        <f t="shared" si="401"/>
        <v>0</v>
      </c>
      <c r="AM165" s="49">
        <v>152.04</v>
      </c>
      <c r="AN165" s="76">
        <f t="shared" si="439"/>
        <v>6118.0135799999998</v>
      </c>
      <c r="AO165" s="70">
        <f t="shared" si="444"/>
        <v>0.99999999999999989</v>
      </c>
    </row>
    <row r="166" spans="2:41" s="50" customFormat="1" ht="25.35" customHeight="1" outlineLevel="2" x14ac:dyDescent="0.25">
      <c r="B166" s="61"/>
      <c r="C166" s="23"/>
      <c r="D166" s="165" t="s">
        <v>79</v>
      </c>
      <c r="E166" s="166"/>
      <c r="F166" s="63">
        <f>SUM(F167:F169)</f>
        <v>103.41</v>
      </c>
      <c r="G166" s="51"/>
      <c r="H166" s="64"/>
      <c r="I166" s="88">
        <f>SUM(I167:I171)</f>
        <v>83223.333899999998</v>
      </c>
      <c r="J166" s="67"/>
      <c r="K166" s="75"/>
      <c r="L166" s="65"/>
      <c r="M166" s="69"/>
      <c r="N166" s="80"/>
      <c r="O166" s="66"/>
      <c r="P166" s="75"/>
      <c r="Q166" s="65"/>
      <c r="R166" s="66"/>
      <c r="S166" s="75"/>
      <c r="T166" s="65"/>
      <c r="U166" s="49"/>
      <c r="V166" s="76">
        <f t="shared" si="303"/>
        <v>0</v>
      </c>
      <c r="W166" s="65"/>
      <c r="X166" s="49"/>
      <c r="Y166" s="76"/>
      <c r="Z166" s="76"/>
      <c r="AA166" s="49"/>
      <c r="AB166" s="76"/>
      <c r="AC166" s="70">
        <f t="shared" si="409"/>
        <v>0</v>
      </c>
      <c r="AD166" s="49"/>
      <c r="AE166" s="76"/>
      <c r="AF166" s="70">
        <f t="shared" si="397"/>
        <v>0</v>
      </c>
      <c r="AG166" s="49"/>
      <c r="AH166" s="76"/>
      <c r="AI166" s="70">
        <f t="shared" si="399"/>
        <v>0</v>
      </c>
      <c r="AJ166" s="49"/>
      <c r="AK166" s="76"/>
      <c r="AL166" s="70">
        <f t="shared" si="401"/>
        <v>0</v>
      </c>
      <c r="AM166" s="49"/>
      <c r="AN166" s="76"/>
      <c r="AO166" s="70">
        <f t="shared" si="444"/>
        <v>0</v>
      </c>
    </row>
    <row r="167" spans="2:41" s="9" customFormat="1" ht="18" outlineLevel="2" x14ac:dyDescent="0.25">
      <c r="B167" s="23"/>
      <c r="C167" s="23"/>
      <c r="D167" s="163" t="s">
        <v>54</v>
      </c>
      <c r="E167" s="164"/>
      <c r="F167" s="32">
        <v>32.79</v>
      </c>
      <c r="G167" s="51" t="s">
        <v>68</v>
      </c>
      <c r="H167" s="64">
        <v>724.31100000000004</v>
      </c>
      <c r="I167" s="88">
        <f t="shared" si="264"/>
        <v>23750.15769</v>
      </c>
      <c r="J167" s="67">
        <f t="shared" ref="J167:J169" si="446">SUM(O167,R167,U167,X167,AA167,AD167,AG167,AJ167)</f>
        <v>32.79</v>
      </c>
      <c r="K167" s="83">
        <f t="shared" si="212"/>
        <v>23750.15769</v>
      </c>
      <c r="L167" s="37">
        <f t="shared" si="213"/>
        <v>1</v>
      </c>
      <c r="M167" s="68">
        <f t="shared" si="214"/>
        <v>0</v>
      </c>
      <c r="N167" s="81">
        <f t="shared" si="215"/>
        <v>0</v>
      </c>
      <c r="O167" s="49"/>
      <c r="P167" s="76">
        <f t="shared" si="266"/>
        <v>0</v>
      </c>
      <c r="Q167" s="70">
        <f t="shared" si="267"/>
        <v>0</v>
      </c>
      <c r="R167" s="49"/>
      <c r="S167" s="76">
        <f t="shared" si="268"/>
        <v>0</v>
      </c>
      <c r="T167" s="70">
        <f t="shared" si="269"/>
        <v>0</v>
      </c>
      <c r="U167" s="49"/>
      <c r="V167" s="76">
        <f t="shared" si="303"/>
        <v>0</v>
      </c>
      <c r="W167" s="70">
        <f t="shared" si="270"/>
        <v>0</v>
      </c>
      <c r="X167" s="49"/>
      <c r="Y167" s="76">
        <f t="shared" si="315"/>
        <v>0</v>
      </c>
      <c r="Z167" s="70">
        <f t="shared" ref="Z167:Z171" si="447">IFERROR(Y167/$I167,0)</f>
        <v>0</v>
      </c>
      <c r="AA167" s="49"/>
      <c r="AB167" s="76">
        <f t="shared" ref="AB167:AB171" si="448">AA167*$H167</f>
        <v>0</v>
      </c>
      <c r="AC167" s="70">
        <f t="shared" si="409"/>
        <v>0</v>
      </c>
      <c r="AD167" s="49"/>
      <c r="AE167" s="76">
        <f t="shared" ref="AE167:AE171" si="449">AD167*$H167</f>
        <v>0</v>
      </c>
      <c r="AF167" s="70">
        <f t="shared" si="397"/>
        <v>0</v>
      </c>
      <c r="AG167" s="32">
        <v>32.79</v>
      </c>
      <c r="AH167" s="76">
        <f t="shared" ref="AH167:AH171" si="450">AG167*$H167</f>
        <v>23750.15769</v>
      </c>
      <c r="AI167" s="70">
        <f t="shared" si="399"/>
        <v>1</v>
      </c>
      <c r="AJ167" s="49"/>
      <c r="AK167" s="76">
        <f t="shared" ref="AK167:AK171" si="451">AJ167*$H167</f>
        <v>0</v>
      </c>
      <c r="AL167" s="70">
        <f t="shared" si="401"/>
        <v>0</v>
      </c>
      <c r="AM167" s="49"/>
      <c r="AN167" s="76">
        <f t="shared" ref="AN167:AN171" si="452">AM167*$H167</f>
        <v>0</v>
      </c>
      <c r="AO167" s="70">
        <f t="shared" si="444"/>
        <v>0</v>
      </c>
    </row>
    <row r="168" spans="2:41" s="9" customFormat="1" ht="18" outlineLevel="2" x14ac:dyDescent="0.25">
      <c r="B168" s="23"/>
      <c r="C168" s="23"/>
      <c r="D168" s="163" t="s">
        <v>55</v>
      </c>
      <c r="E168" s="164"/>
      <c r="F168" s="32">
        <v>32.19</v>
      </c>
      <c r="G168" s="51" t="s">
        <v>68</v>
      </c>
      <c r="H168" s="64">
        <v>724.31100000000004</v>
      </c>
      <c r="I168" s="88">
        <f t="shared" si="264"/>
        <v>23315.571090000001</v>
      </c>
      <c r="J168" s="67">
        <f t="shared" si="446"/>
        <v>32.19</v>
      </c>
      <c r="K168" s="83">
        <f t="shared" ref="K168:K171" si="453">J168*H168</f>
        <v>23315.571090000001</v>
      </c>
      <c r="L168" s="37">
        <f t="shared" ref="L168:L171" si="454">IFERROR(K168/I168, 0)</f>
        <v>1</v>
      </c>
      <c r="M168" s="68">
        <f t="shared" ref="M168:M171" si="455">F168-J168</f>
        <v>0</v>
      </c>
      <c r="N168" s="81">
        <f t="shared" ref="N168:N171" si="456">M168*H168</f>
        <v>0</v>
      </c>
      <c r="O168" s="49"/>
      <c r="P168" s="76">
        <f t="shared" si="266"/>
        <v>0</v>
      </c>
      <c r="Q168" s="70">
        <f t="shared" si="267"/>
        <v>0</v>
      </c>
      <c r="R168" s="49"/>
      <c r="S168" s="76">
        <f t="shared" si="268"/>
        <v>0</v>
      </c>
      <c r="T168" s="70">
        <f t="shared" si="269"/>
        <v>0</v>
      </c>
      <c r="U168" s="49"/>
      <c r="V168" s="76">
        <f t="shared" si="303"/>
        <v>0</v>
      </c>
      <c r="W168" s="70">
        <f t="shared" si="270"/>
        <v>0</v>
      </c>
      <c r="X168" s="49"/>
      <c r="Y168" s="76">
        <f t="shared" si="315"/>
        <v>0</v>
      </c>
      <c r="Z168" s="70">
        <f t="shared" si="447"/>
        <v>0</v>
      </c>
      <c r="AA168" s="49"/>
      <c r="AB168" s="76">
        <f t="shared" si="448"/>
        <v>0</v>
      </c>
      <c r="AC168" s="70">
        <f t="shared" si="409"/>
        <v>0</v>
      </c>
      <c r="AD168" s="49"/>
      <c r="AE168" s="76">
        <f t="shared" si="449"/>
        <v>0</v>
      </c>
      <c r="AF168" s="70">
        <f t="shared" si="397"/>
        <v>0</v>
      </c>
      <c r="AG168" s="32">
        <v>32.19</v>
      </c>
      <c r="AH168" s="76">
        <f t="shared" si="450"/>
        <v>23315.571090000001</v>
      </c>
      <c r="AI168" s="70">
        <f t="shared" si="399"/>
        <v>1</v>
      </c>
      <c r="AJ168" s="49"/>
      <c r="AK168" s="76">
        <f t="shared" si="451"/>
        <v>0</v>
      </c>
      <c r="AL168" s="70">
        <f t="shared" si="401"/>
        <v>0</v>
      </c>
      <c r="AM168" s="49"/>
      <c r="AN168" s="76">
        <f t="shared" si="452"/>
        <v>0</v>
      </c>
      <c r="AO168" s="70">
        <f t="shared" si="444"/>
        <v>0</v>
      </c>
    </row>
    <row r="169" spans="2:41" s="9" customFormat="1" ht="18" outlineLevel="2" x14ac:dyDescent="0.25">
      <c r="B169" s="23"/>
      <c r="C169" s="23"/>
      <c r="D169" s="163" t="s">
        <v>56</v>
      </c>
      <c r="E169" s="164"/>
      <c r="F169" s="32">
        <v>38.43</v>
      </c>
      <c r="G169" s="51" t="s">
        <v>68</v>
      </c>
      <c r="H169" s="64">
        <v>724.31100000000004</v>
      </c>
      <c r="I169" s="88">
        <f t="shared" si="264"/>
        <v>27835.27173</v>
      </c>
      <c r="J169" s="67">
        <f t="shared" si="446"/>
        <v>38.43</v>
      </c>
      <c r="K169" s="83">
        <f t="shared" si="453"/>
        <v>27835.27173</v>
      </c>
      <c r="L169" s="37">
        <f t="shared" si="454"/>
        <v>1</v>
      </c>
      <c r="M169" s="68">
        <f t="shared" si="455"/>
        <v>0</v>
      </c>
      <c r="N169" s="81">
        <f t="shared" si="456"/>
        <v>0</v>
      </c>
      <c r="O169" s="49"/>
      <c r="P169" s="76">
        <f t="shared" si="266"/>
        <v>0</v>
      </c>
      <c r="Q169" s="70">
        <f t="shared" si="267"/>
        <v>0</v>
      </c>
      <c r="R169" s="49"/>
      <c r="S169" s="76">
        <f t="shared" si="268"/>
        <v>0</v>
      </c>
      <c r="T169" s="70">
        <f t="shared" si="269"/>
        <v>0</v>
      </c>
      <c r="U169" s="49"/>
      <c r="V169" s="76">
        <f t="shared" si="303"/>
        <v>0</v>
      </c>
      <c r="W169" s="70">
        <f t="shared" si="270"/>
        <v>0</v>
      </c>
      <c r="X169" s="49"/>
      <c r="Y169" s="76">
        <f t="shared" si="315"/>
        <v>0</v>
      </c>
      <c r="Z169" s="70">
        <f t="shared" si="447"/>
        <v>0</v>
      </c>
      <c r="AA169" s="49"/>
      <c r="AB169" s="76">
        <f t="shared" si="448"/>
        <v>0</v>
      </c>
      <c r="AC169" s="70">
        <f t="shared" si="409"/>
        <v>0</v>
      </c>
      <c r="AD169" s="49"/>
      <c r="AE169" s="76">
        <f t="shared" si="449"/>
        <v>0</v>
      </c>
      <c r="AF169" s="70">
        <f t="shared" si="397"/>
        <v>0</v>
      </c>
      <c r="AG169" s="32">
        <v>38.43</v>
      </c>
      <c r="AH169" s="76">
        <f t="shared" si="450"/>
        <v>27835.27173</v>
      </c>
      <c r="AI169" s="70">
        <f t="shared" si="399"/>
        <v>1</v>
      </c>
      <c r="AJ169" s="49"/>
      <c r="AK169" s="76">
        <f t="shared" si="451"/>
        <v>0</v>
      </c>
      <c r="AL169" s="70">
        <f t="shared" si="401"/>
        <v>0</v>
      </c>
      <c r="AM169" s="49"/>
      <c r="AN169" s="76">
        <f t="shared" si="452"/>
        <v>0</v>
      </c>
      <c r="AO169" s="70">
        <f t="shared" si="444"/>
        <v>0</v>
      </c>
    </row>
    <row r="170" spans="2:41" s="9" customFormat="1" ht="18" outlineLevel="2" x14ac:dyDescent="0.25">
      <c r="B170" s="23"/>
      <c r="C170" s="23"/>
      <c r="D170" s="163" t="s">
        <v>96</v>
      </c>
      <c r="E170" s="164"/>
      <c r="F170" s="32">
        <f>F166</f>
        <v>103.41</v>
      </c>
      <c r="G170" s="51" t="s">
        <v>68</v>
      </c>
      <c r="H170" s="64">
        <v>40.2395</v>
      </c>
      <c r="I170" s="88">
        <f t="shared" si="264"/>
        <v>4161.1666949999999</v>
      </c>
      <c r="J170" s="67">
        <f t="shared" ref="J170:J171" si="457">SUM(O170,R170,U170,X170,AA170,AD170,AG170,AJ170,AM170)</f>
        <v>103.41</v>
      </c>
      <c r="K170" s="83">
        <f t="shared" si="453"/>
        <v>4161.1666949999999</v>
      </c>
      <c r="L170" s="37">
        <f t="shared" si="454"/>
        <v>1</v>
      </c>
      <c r="M170" s="68">
        <f t="shared" si="455"/>
        <v>0</v>
      </c>
      <c r="N170" s="81">
        <f t="shared" si="456"/>
        <v>0</v>
      </c>
      <c r="O170" s="49"/>
      <c r="P170" s="76"/>
      <c r="Q170" s="70"/>
      <c r="R170" s="49"/>
      <c r="S170" s="76"/>
      <c r="T170" s="70"/>
      <c r="U170" s="49"/>
      <c r="V170" s="76"/>
      <c r="W170" s="70"/>
      <c r="X170" s="49"/>
      <c r="Y170" s="76">
        <f t="shared" si="315"/>
        <v>0</v>
      </c>
      <c r="Z170" s="70">
        <f t="shared" si="447"/>
        <v>0</v>
      </c>
      <c r="AA170" s="49"/>
      <c r="AB170" s="76">
        <f t="shared" si="448"/>
        <v>0</v>
      </c>
      <c r="AC170" s="70">
        <f t="shared" si="409"/>
        <v>0</v>
      </c>
      <c r="AD170" s="49"/>
      <c r="AE170" s="76">
        <f t="shared" si="449"/>
        <v>0</v>
      </c>
      <c r="AF170" s="70">
        <f t="shared" si="397"/>
        <v>0</v>
      </c>
      <c r="AG170" s="49"/>
      <c r="AH170" s="76">
        <f t="shared" si="450"/>
        <v>0</v>
      </c>
      <c r="AI170" s="70">
        <f t="shared" si="399"/>
        <v>0</v>
      </c>
      <c r="AJ170" s="49"/>
      <c r="AK170" s="76">
        <f t="shared" si="451"/>
        <v>0</v>
      </c>
      <c r="AL170" s="70">
        <f t="shared" si="401"/>
        <v>0</v>
      </c>
      <c r="AM170" s="49">
        <v>103.41</v>
      </c>
      <c r="AN170" s="76">
        <f t="shared" si="452"/>
        <v>4161.1666949999999</v>
      </c>
      <c r="AO170" s="70">
        <f t="shared" si="444"/>
        <v>1</v>
      </c>
    </row>
    <row r="171" spans="2:41" s="9" customFormat="1" ht="18" outlineLevel="2" x14ac:dyDescent="0.25">
      <c r="B171" s="23"/>
      <c r="C171" s="23"/>
      <c r="D171" s="163" t="s">
        <v>97</v>
      </c>
      <c r="E171" s="164"/>
      <c r="F171" s="32">
        <f>F166</f>
        <v>103.41</v>
      </c>
      <c r="G171" s="51" t="s">
        <v>68</v>
      </c>
      <c r="H171" s="64">
        <v>40.2395</v>
      </c>
      <c r="I171" s="88">
        <f t="shared" ref="I171" si="458">F171*H171</f>
        <v>4161.1666949999999</v>
      </c>
      <c r="J171" s="67">
        <f t="shared" si="457"/>
        <v>103.41</v>
      </c>
      <c r="K171" s="83">
        <f t="shared" si="453"/>
        <v>4161.1666949999999</v>
      </c>
      <c r="L171" s="37">
        <f t="shared" si="454"/>
        <v>1</v>
      </c>
      <c r="M171" s="68">
        <f t="shared" si="455"/>
        <v>0</v>
      </c>
      <c r="N171" s="81">
        <f t="shared" si="456"/>
        <v>0</v>
      </c>
      <c r="O171" s="49"/>
      <c r="P171" s="76"/>
      <c r="Q171" s="70"/>
      <c r="R171" s="49"/>
      <c r="S171" s="76"/>
      <c r="T171" s="70"/>
      <c r="U171" s="49"/>
      <c r="V171" s="76"/>
      <c r="W171" s="70"/>
      <c r="X171" s="49"/>
      <c r="Y171" s="76">
        <f t="shared" si="315"/>
        <v>0</v>
      </c>
      <c r="Z171" s="70">
        <f t="shared" si="447"/>
        <v>0</v>
      </c>
      <c r="AA171" s="49"/>
      <c r="AB171" s="76">
        <f t="shared" si="448"/>
        <v>0</v>
      </c>
      <c r="AC171" s="70">
        <f t="shared" si="409"/>
        <v>0</v>
      </c>
      <c r="AD171" s="49"/>
      <c r="AE171" s="76">
        <f t="shared" si="449"/>
        <v>0</v>
      </c>
      <c r="AF171" s="70">
        <f t="shared" si="397"/>
        <v>0</v>
      </c>
      <c r="AG171" s="49"/>
      <c r="AH171" s="76">
        <f t="shared" si="450"/>
        <v>0</v>
      </c>
      <c r="AI171" s="70">
        <f t="shared" si="399"/>
        <v>0</v>
      </c>
      <c r="AJ171" s="49"/>
      <c r="AK171" s="76">
        <f t="shared" si="451"/>
        <v>0</v>
      </c>
      <c r="AL171" s="70">
        <f t="shared" si="401"/>
        <v>0</v>
      </c>
      <c r="AM171" s="49">
        <v>103.41</v>
      </c>
      <c r="AN171" s="76">
        <f t="shared" si="452"/>
        <v>4161.1666949999999</v>
      </c>
      <c r="AO171" s="70">
        <f t="shared" si="444"/>
        <v>1</v>
      </c>
    </row>
    <row r="172" spans="2:41" s="50" customFormat="1" ht="25.35" customHeight="1" outlineLevel="2" x14ac:dyDescent="0.25">
      <c r="B172" s="61"/>
      <c r="C172" s="23"/>
      <c r="D172" s="165" t="s">
        <v>80</v>
      </c>
      <c r="E172" s="166"/>
      <c r="F172" s="63">
        <f>SUM(F173:F175)</f>
        <v>74.23</v>
      </c>
      <c r="G172" s="51"/>
      <c r="H172" s="64"/>
      <c r="I172" s="88">
        <f>SUM(I173:I177)</f>
        <v>59739.561700000006</v>
      </c>
      <c r="J172" s="67"/>
      <c r="K172" s="75"/>
      <c r="L172" s="65"/>
      <c r="M172" s="69"/>
      <c r="N172" s="65"/>
      <c r="O172" s="66"/>
      <c r="P172" s="75"/>
      <c r="Q172" s="65"/>
      <c r="R172" s="66"/>
      <c r="S172" s="75"/>
      <c r="T172" s="65"/>
      <c r="U172" s="49"/>
      <c r="V172" s="76">
        <f t="shared" si="303"/>
        <v>0</v>
      </c>
      <c r="W172" s="65"/>
      <c r="X172" s="49"/>
      <c r="Y172" s="76"/>
      <c r="Z172" s="76"/>
      <c r="AA172" s="49"/>
      <c r="AB172" s="76"/>
      <c r="AC172" s="70">
        <f t="shared" si="409"/>
        <v>0</v>
      </c>
      <c r="AD172" s="49"/>
      <c r="AE172" s="76"/>
      <c r="AF172" s="70">
        <f t="shared" si="397"/>
        <v>0</v>
      </c>
      <c r="AG172" s="49"/>
      <c r="AH172" s="76"/>
      <c r="AI172" s="70">
        <f t="shared" si="399"/>
        <v>0</v>
      </c>
      <c r="AJ172" s="49"/>
      <c r="AK172" s="76"/>
      <c r="AL172" s="70">
        <f t="shared" si="401"/>
        <v>0</v>
      </c>
      <c r="AM172" s="49"/>
      <c r="AN172" s="76"/>
      <c r="AO172" s="70">
        <f t="shared" si="444"/>
        <v>0</v>
      </c>
    </row>
    <row r="173" spans="2:41" s="9" customFormat="1" ht="18" outlineLevel="2" x14ac:dyDescent="0.25">
      <c r="B173" s="23"/>
      <c r="C173" s="23"/>
      <c r="D173" s="163" t="s">
        <v>54</v>
      </c>
      <c r="E173" s="164"/>
      <c r="F173" s="32">
        <v>7.13</v>
      </c>
      <c r="G173" s="51" t="s">
        <v>68</v>
      </c>
      <c r="H173" s="64">
        <v>724.31100000000004</v>
      </c>
      <c r="I173" s="88">
        <f t="shared" ref="I173:I177" si="459">F173*H173</f>
        <v>5164.3374300000005</v>
      </c>
      <c r="J173" s="67">
        <f t="shared" ref="J173:J175" si="460">SUM(O173,R173,U173,X173,AA173,AD173,AG173,AJ173)</f>
        <v>7.13</v>
      </c>
      <c r="K173" s="83">
        <f t="shared" ref="K173:K178" si="461">J173*H173</f>
        <v>5164.3374300000005</v>
      </c>
      <c r="L173" s="37">
        <f t="shared" ref="L173" si="462">IFERROR(K173/I173, 0)</f>
        <v>1</v>
      </c>
      <c r="M173" s="68">
        <f t="shared" ref="M173" si="463">F173-J173</f>
        <v>0</v>
      </c>
      <c r="N173" s="81">
        <f t="shared" ref="N173" si="464">M173*H173</f>
        <v>0</v>
      </c>
      <c r="O173" s="49"/>
      <c r="P173" s="76">
        <f t="shared" ref="P173:P175" si="465">O173*$H173</f>
        <v>0</v>
      </c>
      <c r="Q173" s="70">
        <f t="shared" ref="Q173:Q178" si="466">IFERROR(P173/$I173,0)</f>
        <v>0</v>
      </c>
      <c r="R173" s="49"/>
      <c r="S173" s="76">
        <f t="shared" ref="S173:S178" si="467">R173*H173</f>
        <v>0</v>
      </c>
      <c r="T173" s="70">
        <f t="shared" ref="T173:T178" si="468">IFERROR(S173/$I173,0)</f>
        <v>0</v>
      </c>
      <c r="U173" s="49"/>
      <c r="V173" s="76">
        <f t="shared" si="303"/>
        <v>0</v>
      </c>
      <c r="W173" s="70">
        <f t="shared" ref="W173:W178" si="469">IFERROR(V173/$I173,0)</f>
        <v>0</v>
      </c>
      <c r="X173" s="49"/>
      <c r="Y173" s="76">
        <f t="shared" si="315"/>
        <v>0</v>
      </c>
      <c r="Z173" s="70">
        <f t="shared" ref="Z173:Z176" si="470">IFERROR(Y173/$I173,0)</f>
        <v>0</v>
      </c>
      <c r="AA173" s="49"/>
      <c r="AB173" s="76">
        <f t="shared" ref="AB173:AB176" si="471">AA173*$H173</f>
        <v>0</v>
      </c>
      <c r="AC173" s="70">
        <f t="shared" si="409"/>
        <v>0</v>
      </c>
      <c r="AD173" s="49"/>
      <c r="AE173" s="76">
        <f t="shared" ref="AE173:AE176" si="472">AD173*$H173</f>
        <v>0</v>
      </c>
      <c r="AF173" s="70">
        <f t="shared" si="397"/>
        <v>0</v>
      </c>
      <c r="AG173" s="49"/>
      <c r="AH173" s="76">
        <f t="shared" ref="AH173:AH176" si="473">AG173*$H173</f>
        <v>0</v>
      </c>
      <c r="AI173" s="70">
        <f t="shared" si="399"/>
        <v>0</v>
      </c>
      <c r="AJ173" s="32">
        <v>7.13</v>
      </c>
      <c r="AK173" s="76">
        <f t="shared" ref="AK173:AK176" si="474">AJ173*$H173</f>
        <v>5164.3374300000005</v>
      </c>
      <c r="AL173" s="70">
        <f t="shared" si="401"/>
        <v>1</v>
      </c>
      <c r="AM173" s="32"/>
      <c r="AN173" s="76">
        <f t="shared" ref="AN173:AN177" si="475">AM173*$H173</f>
        <v>0</v>
      </c>
      <c r="AO173" s="70">
        <f t="shared" si="444"/>
        <v>0</v>
      </c>
    </row>
    <row r="174" spans="2:41" s="9" customFormat="1" ht="18" outlineLevel="2" x14ac:dyDescent="0.25">
      <c r="B174" s="23"/>
      <c r="C174" s="23"/>
      <c r="D174" s="163" t="s">
        <v>55</v>
      </c>
      <c r="E174" s="164"/>
      <c r="F174" s="32">
        <v>48.69</v>
      </c>
      <c r="G174" s="51" t="s">
        <v>68</v>
      </c>
      <c r="H174" s="64">
        <v>724.31100000000004</v>
      </c>
      <c r="I174" s="88">
        <f t="shared" si="459"/>
        <v>35266.702590000001</v>
      </c>
      <c r="J174" s="67">
        <f t="shared" si="460"/>
        <v>48.69</v>
      </c>
      <c r="K174" s="83">
        <f t="shared" ref="K174:K177" si="476">J174*H174</f>
        <v>35266.702590000001</v>
      </c>
      <c r="L174" s="37">
        <f t="shared" ref="L174:L177" si="477">IFERROR(K174/I174, 0)</f>
        <v>1</v>
      </c>
      <c r="M174" s="68">
        <f t="shared" ref="M174:M177" si="478">F174-J174</f>
        <v>0</v>
      </c>
      <c r="N174" s="81">
        <f t="shared" ref="N174:N177" si="479">M174*H174</f>
        <v>0</v>
      </c>
      <c r="O174" s="49"/>
      <c r="P174" s="76">
        <f t="shared" si="465"/>
        <v>0</v>
      </c>
      <c r="Q174" s="70">
        <f t="shared" si="466"/>
        <v>0</v>
      </c>
      <c r="R174" s="49"/>
      <c r="S174" s="76">
        <f t="shared" si="467"/>
        <v>0</v>
      </c>
      <c r="T174" s="70">
        <f t="shared" si="468"/>
        <v>0</v>
      </c>
      <c r="U174" s="49"/>
      <c r="V174" s="76">
        <f t="shared" si="303"/>
        <v>0</v>
      </c>
      <c r="W174" s="70">
        <f t="shared" si="469"/>
        <v>0</v>
      </c>
      <c r="X174" s="49"/>
      <c r="Y174" s="76">
        <f t="shared" si="315"/>
        <v>0</v>
      </c>
      <c r="Z174" s="70">
        <f t="shared" si="470"/>
        <v>0</v>
      </c>
      <c r="AA174" s="49"/>
      <c r="AB174" s="76">
        <f t="shared" si="471"/>
        <v>0</v>
      </c>
      <c r="AC174" s="70">
        <f t="shared" si="409"/>
        <v>0</v>
      </c>
      <c r="AD174" s="49"/>
      <c r="AE174" s="76">
        <f t="shared" si="472"/>
        <v>0</v>
      </c>
      <c r="AF174" s="70">
        <f t="shared" si="397"/>
        <v>0</v>
      </c>
      <c r="AG174" s="49"/>
      <c r="AH174" s="76">
        <f t="shared" si="473"/>
        <v>0</v>
      </c>
      <c r="AI174" s="70">
        <f t="shared" si="399"/>
        <v>0</v>
      </c>
      <c r="AJ174" s="32">
        <v>48.69</v>
      </c>
      <c r="AK174" s="76">
        <f t="shared" si="474"/>
        <v>35266.702590000001</v>
      </c>
      <c r="AL174" s="70">
        <f t="shared" si="401"/>
        <v>1</v>
      </c>
      <c r="AM174" s="32"/>
      <c r="AN174" s="76">
        <f t="shared" si="475"/>
        <v>0</v>
      </c>
      <c r="AO174" s="70">
        <f t="shared" si="444"/>
        <v>0</v>
      </c>
    </row>
    <row r="175" spans="2:41" s="9" customFormat="1" ht="18" outlineLevel="2" x14ac:dyDescent="0.25">
      <c r="B175" s="23"/>
      <c r="C175" s="23"/>
      <c r="D175" s="163" t="s">
        <v>56</v>
      </c>
      <c r="E175" s="164"/>
      <c r="F175" s="32">
        <v>18.41</v>
      </c>
      <c r="G175" s="51" t="s">
        <v>68</v>
      </c>
      <c r="H175" s="64">
        <v>724.31100000000004</v>
      </c>
      <c r="I175" s="88">
        <f t="shared" si="459"/>
        <v>13334.56551</v>
      </c>
      <c r="J175" s="67">
        <f t="shared" si="460"/>
        <v>18.41</v>
      </c>
      <c r="K175" s="83">
        <f t="shared" si="476"/>
        <v>13334.56551</v>
      </c>
      <c r="L175" s="37">
        <f t="shared" si="477"/>
        <v>1</v>
      </c>
      <c r="M175" s="68">
        <f t="shared" si="478"/>
        <v>0</v>
      </c>
      <c r="N175" s="81">
        <f t="shared" si="479"/>
        <v>0</v>
      </c>
      <c r="O175" s="49"/>
      <c r="P175" s="76">
        <f t="shared" si="465"/>
        <v>0</v>
      </c>
      <c r="Q175" s="70">
        <f t="shared" si="466"/>
        <v>0</v>
      </c>
      <c r="R175" s="49"/>
      <c r="S175" s="76">
        <f t="shared" si="467"/>
        <v>0</v>
      </c>
      <c r="T175" s="70">
        <f t="shared" si="468"/>
        <v>0</v>
      </c>
      <c r="U175" s="49"/>
      <c r="V175" s="76">
        <f t="shared" si="303"/>
        <v>0</v>
      </c>
      <c r="W175" s="70">
        <f t="shared" si="469"/>
        <v>0</v>
      </c>
      <c r="X175" s="49"/>
      <c r="Y175" s="76">
        <f t="shared" si="315"/>
        <v>0</v>
      </c>
      <c r="Z175" s="70">
        <f t="shared" si="470"/>
        <v>0</v>
      </c>
      <c r="AA175" s="49"/>
      <c r="AB175" s="76">
        <f t="shared" si="471"/>
        <v>0</v>
      </c>
      <c r="AC175" s="70">
        <f t="shared" si="409"/>
        <v>0</v>
      </c>
      <c r="AD175" s="49"/>
      <c r="AE175" s="76">
        <f t="shared" si="472"/>
        <v>0</v>
      </c>
      <c r="AF175" s="70">
        <f t="shared" si="397"/>
        <v>0</v>
      </c>
      <c r="AG175" s="49"/>
      <c r="AH175" s="76">
        <f t="shared" si="473"/>
        <v>0</v>
      </c>
      <c r="AI175" s="70">
        <f t="shared" si="399"/>
        <v>0</v>
      </c>
      <c r="AJ175" s="32">
        <v>18.41</v>
      </c>
      <c r="AK175" s="76">
        <f t="shared" si="474"/>
        <v>13334.56551</v>
      </c>
      <c r="AL175" s="70">
        <f t="shared" si="401"/>
        <v>1</v>
      </c>
      <c r="AM175" s="32"/>
      <c r="AN175" s="76">
        <f t="shared" si="475"/>
        <v>0</v>
      </c>
      <c r="AO175" s="70">
        <f t="shared" si="444"/>
        <v>0</v>
      </c>
    </row>
    <row r="176" spans="2:41" s="9" customFormat="1" ht="18" outlineLevel="2" x14ac:dyDescent="0.25">
      <c r="B176" s="23"/>
      <c r="C176" s="23"/>
      <c r="D176" s="163" t="s">
        <v>96</v>
      </c>
      <c r="E176" s="164"/>
      <c r="F176" s="32">
        <f>F172</f>
        <v>74.23</v>
      </c>
      <c r="G176" s="51" t="s">
        <v>68</v>
      </c>
      <c r="H176" s="64">
        <v>40.2395</v>
      </c>
      <c r="I176" s="88">
        <f t="shared" si="459"/>
        <v>2986.9780850000002</v>
      </c>
      <c r="J176" s="67">
        <f t="shared" ref="J176:J177" si="480">SUM(O176,R176,U176,X176,AA176,AD176,AG176,AJ176,AM176)</f>
        <v>74.23</v>
      </c>
      <c r="K176" s="83">
        <f t="shared" si="476"/>
        <v>2986.9780850000002</v>
      </c>
      <c r="L176" s="37">
        <f t="shared" si="477"/>
        <v>1</v>
      </c>
      <c r="M176" s="68">
        <f t="shared" si="478"/>
        <v>0</v>
      </c>
      <c r="N176" s="81">
        <f t="shared" si="479"/>
        <v>0</v>
      </c>
      <c r="O176" s="49"/>
      <c r="P176" s="76"/>
      <c r="Q176" s="70"/>
      <c r="R176" s="49"/>
      <c r="S176" s="76"/>
      <c r="T176" s="70"/>
      <c r="U176" s="49"/>
      <c r="V176" s="76"/>
      <c r="W176" s="70"/>
      <c r="X176" s="49"/>
      <c r="Y176" s="76">
        <f t="shared" si="315"/>
        <v>0</v>
      </c>
      <c r="Z176" s="70">
        <f t="shared" si="470"/>
        <v>0</v>
      </c>
      <c r="AA176" s="49"/>
      <c r="AB176" s="76">
        <f t="shared" si="471"/>
        <v>0</v>
      </c>
      <c r="AC176" s="70">
        <f t="shared" si="409"/>
        <v>0</v>
      </c>
      <c r="AD176" s="49"/>
      <c r="AE176" s="76">
        <f t="shared" si="472"/>
        <v>0</v>
      </c>
      <c r="AF176" s="70">
        <f t="shared" si="397"/>
        <v>0</v>
      </c>
      <c r="AG176" s="49"/>
      <c r="AH176" s="76">
        <f t="shared" si="473"/>
        <v>0</v>
      </c>
      <c r="AI176" s="70">
        <f t="shared" si="399"/>
        <v>0</v>
      </c>
      <c r="AJ176" s="49"/>
      <c r="AK176" s="76">
        <f t="shared" si="474"/>
        <v>0</v>
      </c>
      <c r="AL176" s="70">
        <f t="shared" si="401"/>
        <v>0</v>
      </c>
      <c r="AM176" s="49">
        <v>74.23</v>
      </c>
      <c r="AN176" s="76">
        <f t="shared" si="475"/>
        <v>2986.9780850000002</v>
      </c>
      <c r="AO176" s="70">
        <f t="shared" si="444"/>
        <v>1</v>
      </c>
    </row>
    <row r="177" spans="2:41" s="9" customFormat="1" ht="18" outlineLevel="2" x14ac:dyDescent="0.25">
      <c r="B177" s="23"/>
      <c r="C177" s="23"/>
      <c r="D177" s="163" t="s">
        <v>97</v>
      </c>
      <c r="E177" s="164"/>
      <c r="F177" s="32">
        <f>F172</f>
        <v>74.23</v>
      </c>
      <c r="G177" s="51" t="s">
        <v>68</v>
      </c>
      <c r="H177" s="64">
        <v>40.2395</v>
      </c>
      <c r="I177" s="88">
        <f t="shared" si="459"/>
        <v>2986.9780850000002</v>
      </c>
      <c r="J177" s="67">
        <f t="shared" si="480"/>
        <v>74.23</v>
      </c>
      <c r="K177" s="83">
        <f t="shared" si="476"/>
        <v>2986.9780850000002</v>
      </c>
      <c r="L177" s="37">
        <f t="shared" si="477"/>
        <v>1</v>
      </c>
      <c r="M177" s="68">
        <f t="shared" si="478"/>
        <v>0</v>
      </c>
      <c r="N177" s="81">
        <f t="shared" si="479"/>
        <v>0</v>
      </c>
      <c r="O177" s="49"/>
      <c r="P177" s="76"/>
      <c r="Q177" s="70"/>
      <c r="R177" s="49"/>
      <c r="S177" s="76"/>
      <c r="T177" s="70"/>
      <c r="U177" s="49"/>
      <c r="V177" s="76"/>
      <c r="W177" s="70"/>
      <c r="X177" s="49"/>
      <c r="Y177" s="76"/>
      <c r="Z177" s="76"/>
      <c r="AA177" s="49"/>
      <c r="AB177" s="76"/>
      <c r="AC177" s="70">
        <f t="shared" si="409"/>
        <v>0</v>
      </c>
      <c r="AD177" s="49"/>
      <c r="AE177" s="76"/>
      <c r="AF177" s="70">
        <f t="shared" si="397"/>
        <v>0</v>
      </c>
      <c r="AG177" s="49"/>
      <c r="AH177" s="76"/>
      <c r="AI177" s="70">
        <f t="shared" si="399"/>
        <v>0</v>
      </c>
      <c r="AJ177" s="49"/>
      <c r="AK177" s="76"/>
      <c r="AL177" s="70">
        <f t="shared" si="401"/>
        <v>0</v>
      </c>
      <c r="AM177" s="49">
        <v>74.23</v>
      </c>
      <c r="AN177" s="76">
        <f t="shared" si="475"/>
        <v>2986.9780850000002</v>
      </c>
      <c r="AO177" s="70">
        <f t="shared" si="444"/>
        <v>1</v>
      </c>
    </row>
    <row r="178" spans="2:41" s="9" customFormat="1" ht="25.35" customHeight="1" x14ac:dyDescent="0.25">
      <c r="B178" s="100"/>
      <c r="C178" s="101" t="s">
        <v>95</v>
      </c>
      <c r="D178" s="214" t="s">
        <v>98</v>
      </c>
      <c r="E178" s="215"/>
      <c r="F178" s="102">
        <v>2</v>
      </c>
      <c r="G178" s="103" t="s">
        <v>68</v>
      </c>
      <c r="H178" s="109">
        <v>250000</v>
      </c>
      <c r="I178" s="104">
        <f>H178*F178</f>
        <v>500000</v>
      </c>
      <c r="J178" s="108">
        <f>SUM(O178,R178,U178,X178,AA178)</f>
        <v>2</v>
      </c>
      <c r="K178" s="105">
        <f t="shared" si="461"/>
        <v>500000</v>
      </c>
      <c r="L178" s="106">
        <f>IFERROR(K178/I178, 0)</f>
        <v>1</v>
      </c>
      <c r="M178" s="108"/>
      <c r="N178" s="104"/>
      <c r="O178" s="107">
        <f>SUM(O179:O181)</f>
        <v>1</v>
      </c>
      <c r="P178" s="105">
        <f>SUM(P180:P181)</f>
        <v>250000</v>
      </c>
      <c r="Q178" s="110">
        <f t="shared" si="466"/>
        <v>0.5</v>
      </c>
      <c r="R178" s="107">
        <f>SUM(R181:R181)</f>
        <v>1</v>
      </c>
      <c r="S178" s="105">
        <f t="shared" si="467"/>
        <v>250000</v>
      </c>
      <c r="T178" s="112">
        <f t="shared" si="468"/>
        <v>0.5</v>
      </c>
      <c r="U178" s="107">
        <f>SUM(U179:U181)</f>
        <v>0</v>
      </c>
      <c r="V178" s="105">
        <f t="shared" ref="V178" si="481">U178*H178</f>
        <v>0</v>
      </c>
      <c r="W178" s="110">
        <f t="shared" si="469"/>
        <v>0</v>
      </c>
      <c r="X178" s="107">
        <f>SUM(X179:X181)</f>
        <v>0</v>
      </c>
      <c r="Y178" s="105">
        <f>X178*H178</f>
        <v>0</v>
      </c>
      <c r="Z178" s="110">
        <f t="shared" ref="Z178:Z181" si="482">IFERROR(Y178/$I178,0)</f>
        <v>0</v>
      </c>
      <c r="AA178" s="107">
        <f>SUM(AA179:AA181)</f>
        <v>0</v>
      </c>
      <c r="AB178" s="105">
        <f>AA178*H178</f>
        <v>0</v>
      </c>
      <c r="AC178" s="110">
        <f t="shared" ref="AC178:AC181" si="483">IFERROR(AB178/$I178,0)</f>
        <v>0</v>
      </c>
      <c r="AD178" s="107">
        <f>SUM(AD179:AD181)</f>
        <v>0</v>
      </c>
      <c r="AE178" s="105">
        <f>AD178*K178</f>
        <v>0</v>
      </c>
      <c r="AF178" s="110">
        <f t="shared" ref="AF178:AF181" si="484">IFERROR(AE178/$I178,0)</f>
        <v>0</v>
      </c>
      <c r="AG178" s="107">
        <f>SUM(AG179:AG181)</f>
        <v>0</v>
      </c>
      <c r="AH178" s="105">
        <f>AG178*N178</f>
        <v>0</v>
      </c>
      <c r="AI178" s="110">
        <f t="shared" ref="AI178:AI181" si="485">IFERROR(AH178/$I178,0)</f>
        <v>0</v>
      </c>
      <c r="AJ178" s="107">
        <f>SUM(AJ179:AJ181)</f>
        <v>0</v>
      </c>
      <c r="AK178" s="105">
        <f>AJ178*Q178</f>
        <v>0</v>
      </c>
      <c r="AL178" s="110">
        <f t="shared" ref="AL178:AL181" si="486">IFERROR(AK178/$I178,0)</f>
        <v>0</v>
      </c>
      <c r="AM178" s="107">
        <f>SUM(AM179:AM181)</f>
        <v>0</v>
      </c>
      <c r="AN178" s="105">
        <f>AM178*T178</f>
        <v>0</v>
      </c>
      <c r="AO178" s="110">
        <f t="shared" si="444"/>
        <v>0</v>
      </c>
    </row>
    <row r="179" spans="2:41" s="50" customFormat="1" ht="25.35" customHeight="1" outlineLevel="1" x14ac:dyDescent="0.25">
      <c r="B179" s="61"/>
      <c r="C179" s="62"/>
      <c r="D179" s="165" t="s">
        <v>99</v>
      </c>
      <c r="E179" s="166"/>
      <c r="F179" s="63"/>
      <c r="G179" s="51"/>
      <c r="H179" s="64"/>
      <c r="I179" s="88"/>
      <c r="J179" s="67"/>
      <c r="K179" s="75"/>
      <c r="L179" s="65"/>
      <c r="M179" s="69"/>
      <c r="N179" s="80"/>
      <c r="O179" s="66"/>
      <c r="P179" s="75"/>
      <c r="Q179" s="65"/>
      <c r="R179" s="66"/>
      <c r="S179" s="75"/>
      <c r="T179" s="65"/>
      <c r="U179" s="66"/>
      <c r="V179" s="75"/>
      <c r="W179" s="65"/>
      <c r="X179" s="66"/>
      <c r="Y179" s="76">
        <f t="shared" si="315"/>
        <v>0</v>
      </c>
      <c r="Z179" s="70">
        <f t="shared" si="482"/>
        <v>0</v>
      </c>
      <c r="AA179" s="66"/>
      <c r="AB179" s="76">
        <f t="shared" ref="AB179:AB181" si="487">AA179*$H179</f>
        <v>0</v>
      </c>
      <c r="AC179" s="70">
        <f t="shared" si="483"/>
        <v>0</v>
      </c>
      <c r="AD179" s="66"/>
      <c r="AE179" s="76">
        <f t="shared" ref="AE179:AE181" si="488">AD179*$H179</f>
        <v>0</v>
      </c>
      <c r="AF179" s="70">
        <f t="shared" si="484"/>
        <v>0</v>
      </c>
      <c r="AG179" s="66"/>
      <c r="AH179" s="76">
        <f t="shared" ref="AH179:AH181" si="489">AG179*$H179</f>
        <v>0</v>
      </c>
      <c r="AI179" s="70">
        <f t="shared" si="485"/>
        <v>0</v>
      </c>
      <c r="AJ179" s="66"/>
      <c r="AK179" s="76">
        <f t="shared" ref="AK179:AK181" si="490">AJ179*$H179</f>
        <v>0</v>
      </c>
      <c r="AL179" s="70">
        <f t="shared" si="486"/>
        <v>0</v>
      </c>
      <c r="AM179" s="66"/>
      <c r="AN179" s="76">
        <f t="shared" ref="AN179:AN181" si="491">AM179*$H179</f>
        <v>0</v>
      </c>
      <c r="AO179" s="70">
        <f t="shared" si="444"/>
        <v>0</v>
      </c>
    </row>
    <row r="180" spans="2:41" s="50" customFormat="1" ht="25.35" customHeight="1" outlineLevel="1" x14ac:dyDescent="0.4">
      <c r="B180" s="61"/>
      <c r="C180" s="23" t="s">
        <v>109</v>
      </c>
      <c r="D180" s="224" t="s">
        <v>112</v>
      </c>
      <c r="E180" s="225"/>
      <c r="F180" s="63">
        <v>1</v>
      </c>
      <c r="G180" s="51" t="s">
        <v>85</v>
      </c>
      <c r="H180" s="64">
        <v>250000</v>
      </c>
      <c r="I180" s="88">
        <f t="shared" ref="I180" si="492">H180*F180</f>
        <v>250000</v>
      </c>
      <c r="J180" s="67">
        <f>SUM(O180,R180,U180,X180,AA180)</f>
        <v>1</v>
      </c>
      <c r="K180" s="83">
        <f t="shared" ref="K180" si="493">J180*H180</f>
        <v>250000</v>
      </c>
      <c r="L180" s="37">
        <f t="shared" ref="L180" si="494">IFERROR(K180/I180, 0)</f>
        <v>1</v>
      </c>
      <c r="M180" s="68">
        <f t="shared" ref="M180" si="495">F180-J180</f>
        <v>0</v>
      </c>
      <c r="N180" s="81">
        <f t="shared" ref="N180" si="496">M180*H180</f>
        <v>0</v>
      </c>
      <c r="O180" s="49">
        <v>1</v>
      </c>
      <c r="P180" s="76">
        <f>O180*H180</f>
        <v>250000</v>
      </c>
      <c r="Q180" s="70">
        <v>1</v>
      </c>
      <c r="R180" s="49"/>
      <c r="S180" s="76"/>
      <c r="T180" s="70"/>
      <c r="U180" s="49"/>
      <c r="V180" s="76">
        <f t="shared" ref="V180" si="497">U180*H180</f>
        <v>0</v>
      </c>
      <c r="W180" s="70"/>
      <c r="X180" s="49"/>
      <c r="Y180" s="76">
        <f t="shared" ref="Y180" si="498">X180*$H180</f>
        <v>0</v>
      </c>
      <c r="Z180" s="70">
        <f t="shared" ref="Z180" si="499">IFERROR(Y180/$I180,0)</f>
        <v>0</v>
      </c>
      <c r="AA180" s="63"/>
      <c r="AB180" s="76">
        <f t="shared" ref="AB180" si="500">AA180*$H180</f>
        <v>0</v>
      </c>
      <c r="AC180" s="70">
        <f t="shared" ref="AC180" si="501">IFERROR(AB180/$I180,0)</f>
        <v>0</v>
      </c>
      <c r="AD180" s="63"/>
      <c r="AE180" s="76">
        <f t="shared" ref="AE180" si="502">AD180*$H180</f>
        <v>0</v>
      </c>
      <c r="AF180" s="70">
        <f t="shared" ref="AF180" si="503">IFERROR(AE180/$I180,0)</f>
        <v>0</v>
      </c>
      <c r="AG180" s="63"/>
      <c r="AH180" s="76">
        <f t="shared" ref="AH180" si="504">AG180*$H180</f>
        <v>0</v>
      </c>
      <c r="AI180" s="70">
        <f t="shared" ref="AI180" si="505">IFERROR(AH180/$I180,0)</f>
        <v>0</v>
      </c>
      <c r="AJ180" s="63"/>
      <c r="AK180" s="76">
        <f t="shared" ref="AK180" si="506">AJ180*$H180</f>
        <v>0</v>
      </c>
      <c r="AL180" s="70">
        <f t="shared" ref="AL180" si="507">IFERROR(AK180/$I180,0)</f>
        <v>0</v>
      </c>
      <c r="AM180" s="63"/>
      <c r="AN180" s="76">
        <f t="shared" si="491"/>
        <v>0</v>
      </c>
      <c r="AO180" s="70">
        <f t="shared" si="444"/>
        <v>0</v>
      </c>
    </row>
    <row r="181" spans="2:41" s="50" customFormat="1" ht="25.35" customHeight="1" outlineLevel="1" x14ac:dyDescent="0.4">
      <c r="B181" s="61"/>
      <c r="C181" s="23" t="s">
        <v>110</v>
      </c>
      <c r="D181" s="224" t="s">
        <v>112</v>
      </c>
      <c r="E181" s="225"/>
      <c r="F181" s="63">
        <v>1</v>
      </c>
      <c r="G181" s="51" t="s">
        <v>85</v>
      </c>
      <c r="H181" s="64">
        <v>250000</v>
      </c>
      <c r="I181" s="88">
        <f t="shared" ref="I181" si="508">H181*F181</f>
        <v>250000</v>
      </c>
      <c r="J181" s="67">
        <f>SUM(O181,R181,U181,X181,AA181)</f>
        <v>1</v>
      </c>
      <c r="K181" s="83">
        <f t="shared" ref="K181:K185" si="509">J181*H181</f>
        <v>250000</v>
      </c>
      <c r="L181" s="37">
        <f t="shared" ref="L181" si="510">IFERROR(K181/I181, 0)</f>
        <v>1</v>
      </c>
      <c r="M181" s="68">
        <f t="shared" ref="M181" si="511">F181-J181</f>
        <v>0</v>
      </c>
      <c r="N181" s="81">
        <f t="shared" ref="N181" si="512">M181*H181</f>
        <v>0</v>
      </c>
      <c r="O181" s="49"/>
      <c r="P181" s="76"/>
      <c r="Q181" s="70"/>
      <c r="R181" s="49">
        <v>1</v>
      </c>
      <c r="S181" s="76">
        <f>R181*K181</f>
        <v>250000</v>
      </c>
      <c r="T181" s="70"/>
      <c r="U181" s="49"/>
      <c r="V181" s="76">
        <f t="shared" ref="V181:V182" si="513">U181*H181</f>
        <v>0</v>
      </c>
      <c r="W181" s="70"/>
      <c r="X181" s="49"/>
      <c r="Y181" s="76">
        <f t="shared" si="315"/>
        <v>0</v>
      </c>
      <c r="Z181" s="70">
        <f t="shared" si="482"/>
        <v>0</v>
      </c>
      <c r="AA181" s="63"/>
      <c r="AB181" s="76">
        <f t="shared" si="487"/>
        <v>0</v>
      </c>
      <c r="AC181" s="70">
        <f t="shared" si="483"/>
        <v>0</v>
      </c>
      <c r="AD181" s="63"/>
      <c r="AE181" s="76">
        <f t="shared" si="488"/>
        <v>0</v>
      </c>
      <c r="AF181" s="70">
        <f t="shared" si="484"/>
        <v>0</v>
      </c>
      <c r="AG181" s="63"/>
      <c r="AH181" s="76">
        <f t="shared" si="489"/>
        <v>0</v>
      </c>
      <c r="AI181" s="70">
        <f t="shared" si="485"/>
        <v>0</v>
      </c>
      <c r="AJ181" s="63"/>
      <c r="AK181" s="76">
        <f t="shared" si="490"/>
        <v>0</v>
      </c>
      <c r="AL181" s="70">
        <f t="shared" si="486"/>
        <v>0</v>
      </c>
      <c r="AM181" s="63"/>
      <c r="AN181" s="76">
        <f t="shared" si="491"/>
        <v>0</v>
      </c>
      <c r="AO181" s="70">
        <f t="shared" si="444"/>
        <v>0</v>
      </c>
    </row>
    <row r="182" spans="2:41" s="9" customFormat="1" ht="25.35" customHeight="1" x14ac:dyDescent="0.25">
      <c r="B182" s="100"/>
      <c r="C182" s="101" t="s">
        <v>142</v>
      </c>
      <c r="D182" s="214" t="s">
        <v>143</v>
      </c>
      <c r="E182" s="215"/>
      <c r="F182" s="102"/>
      <c r="G182" s="103"/>
      <c r="H182" s="109"/>
      <c r="I182" s="104">
        <f>SUM(I183:I185)</f>
        <v>199999.99750000003</v>
      </c>
      <c r="J182" s="108">
        <f>SUM(O182,R182,U182,X182,AA182)</f>
        <v>0</v>
      </c>
      <c r="K182" s="105">
        <f t="shared" si="509"/>
        <v>0</v>
      </c>
      <c r="L182" s="106">
        <f>IFERROR(K182/I182, 0)</f>
        <v>0</v>
      </c>
      <c r="M182" s="108"/>
      <c r="N182" s="104"/>
      <c r="O182" s="107">
        <f>SUM(O183:O185)</f>
        <v>0</v>
      </c>
      <c r="P182" s="105">
        <f>SUM(P184:P185)</f>
        <v>0</v>
      </c>
      <c r="Q182" s="110">
        <f t="shared" ref="Q182" si="514">IFERROR(P182/$I182,0)</f>
        <v>0</v>
      </c>
      <c r="R182" s="107">
        <f>SUM(R185:R185)</f>
        <v>0</v>
      </c>
      <c r="S182" s="105">
        <f t="shared" ref="S182" si="515">R182*H182</f>
        <v>0</v>
      </c>
      <c r="T182" s="112">
        <f t="shared" ref="T182" si="516">IFERROR(S182/$I182,0)</f>
        <v>0</v>
      </c>
      <c r="U182" s="107">
        <f>SUM(U183:U185)</f>
        <v>0</v>
      </c>
      <c r="V182" s="105">
        <f t="shared" si="513"/>
        <v>0</v>
      </c>
      <c r="W182" s="110">
        <f t="shared" ref="W182" si="517">IFERROR(V182/$I182,0)</f>
        <v>0</v>
      </c>
      <c r="X182" s="107">
        <f>SUM(X183:X185)</f>
        <v>0</v>
      </c>
      <c r="Y182" s="105">
        <f>X182*H182</f>
        <v>0</v>
      </c>
      <c r="Z182" s="110">
        <f t="shared" ref="Z182:Z185" si="518">IFERROR(Y182/$I182,0)</f>
        <v>0</v>
      </c>
      <c r="AA182" s="107">
        <f>SUM(AA183:AA185)</f>
        <v>0</v>
      </c>
      <c r="AB182" s="105">
        <f>AA182*H182</f>
        <v>0</v>
      </c>
      <c r="AC182" s="110">
        <f t="shared" ref="AC182:AC185" si="519">IFERROR(AB182/$I182,0)</f>
        <v>0</v>
      </c>
      <c r="AD182" s="107"/>
      <c r="AE182" s="105">
        <f>SUM(AE183:AE185)</f>
        <v>125006.65000000001</v>
      </c>
      <c r="AF182" s="110">
        <f t="shared" ref="AF182:AF185" si="520">IFERROR(AE182/$I182,0)</f>
        <v>0.62503325781291563</v>
      </c>
      <c r="AG182" s="107">
        <f>SUM(AG183:AG185)</f>
        <v>569.19000000000005</v>
      </c>
      <c r="AH182" s="105">
        <f>SUM(AH183:AH185)</f>
        <v>74856.524999999994</v>
      </c>
      <c r="AI182" s="110">
        <f t="shared" ref="AI182:AI185" si="521">IFERROR(AH182/$I182,0)</f>
        <v>0.37428262967853282</v>
      </c>
      <c r="AJ182" s="107">
        <f>SUM(AJ183:AJ185)</f>
        <v>0</v>
      </c>
      <c r="AK182" s="105">
        <f>AJ182*Q182</f>
        <v>0</v>
      </c>
      <c r="AL182" s="110">
        <f t="shared" ref="AL182:AL185" si="522">IFERROR(AK182/$I182,0)</f>
        <v>0</v>
      </c>
      <c r="AM182" s="107">
        <f>SUM(AM183:AM185)</f>
        <v>0</v>
      </c>
      <c r="AN182" s="105">
        <f>AM182*T182</f>
        <v>0</v>
      </c>
      <c r="AO182" s="110">
        <f t="shared" si="444"/>
        <v>0</v>
      </c>
    </row>
    <row r="183" spans="2:41" s="50" customFormat="1" ht="25.35" customHeight="1" outlineLevel="1" x14ac:dyDescent="0.4">
      <c r="B183" s="61"/>
      <c r="C183" s="23" t="s">
        <v>147</v>
      </c>
      <c r="D183" s="224" t="s">
        <v>144</v>
      </c>
      <c r="E183" s="225"/>
      <c r="F183" s="63">
        <v>115.65</v>
      </c>
      <c r="G183" s="51" t="s">
        <v>151</v>
      </c>
      <c r="H183" s="64">
        <v>912.15</v>
      </c>
      <c r="I183" s="88">
        <f>H183*F183</f>
        <v>105490.14750000001</v>
      </c>
      <c r="J183" s="67">
        <f>SUM(O183,R183,U183,X183,AA183,AD183,AG183,AJ183)</f>
        <v>115.5</v>
      </c>
      <c r="K183" s="83">
        <f t="shared" si="509"/>
        <v>105353.325</v>
      </c>
      <c r="L183" s="37">
        <f t="shared" ref="L183:L185" si="523">IFERROR(K183/I183, 0)</f>
        <v>0.9987029831387807</v>
      </c>
      <c r="M183" s="68">
        <v>0</v>
      </c>
      <c r="N183" s="81">
        <f t="shared" ref="N183" si="524">M183*H183</f>
        <v>0</v>
      </c>
      <c r="O183" s="66"/>
      <c r="P183" s="75"/>
      <c r="Q183" s="65"/>
      <c r="R183" s="66"/>
      <c r="S183" s="75"/>
      <c r="T183" s="65"/>
      <c r="U183" s="66"/>
      <c r="V183" s="75"/>
      <c r="W183" s="65"/>
      <c r="X183" s="66"/>
      <c r="Y183" s="76">
        <f t="shared" ref="Y183:Y185" si="525">X183*$H183</f>
        <v>0</v>
      </c>
      <c r="Z183" s="70">
        <f t="shared" si="518"/>
        <v>0</v>
      </c>
      <c r="AA183" s="66"/>
      <c r="AB183" s="76">
        <f t="shared" ref="AB183:AB185" si="526">AA183*$H183</f>
        <v>0</v>
      </c>
      <c r="AC183" s="70">
        <f t="shared" si="519"/>
        <v>0</v>
      </c>
      <c r="AD183" s="66">
        <v>50</v>
      </c>
      <c r="AE183" s="76">
        <f t="shared" ref="AE183:AE185" si="527">AD183*$H183</f>
        <v>45607.5</v>
      </c>
      <c r="AF183" s="70">
        <f t="shared" si="520"/>
        <v>0.43233895373973191</v>
      </c>
      <c r="AG183" s="66">
        <v>65.5</v>
      </c>
      <c r="AH183" s="76">
        <f t="shared" ref="AH183:AH185" si="528">AG183*$H183</f>
        <v>59745.824999999997</v>
      </c>
      <c r="AI183" s="70">
        <f t="shared" si="521"/>
        <v>0.56636402939904884</v>
      </c>
      <c r="AJ183" s="66"/>
      <c r="AK183" s="76">
        <f t="shared" ref="AK183:AK185" si="529">AJ183*$H183</f>
        <v>0</v>
      </c>
      <c r="AL183" s="70">
        <f t="shared" si="522"/>
        <v>0</v>
      </c>
      <c r="AM183" s="66"/>
      <c r="AN183" s="76">
        <f t="shared" ref="AN183:AN185" si="530">AM183*$H183</f>
        <v>0</v>
      </c>
      <c r="AO183" s="70">
        <f t="shared" si="444"/>
        <v>0</v>
      </c>
    </row>
    <row r="184" spans="2:41" s="50" customFormat="1" ht="25.35" customHeight="1" outlineLevel="1" x14ac:dyDescent="0.4">
      <c r="B184" s="61"/>
      <c r="C184" s="23" t="s">
        <v>148</v>
      </c>
      <c r="D184" s="224" t="s">
        <v>145</v>
      </c>
      <c r="E184" s="225"/>
      <c r="F184" s="63">
        <v>2859</v>
      </c>
      <c r="G184" s="51" t="s">
        <v>151</v>
      </c>
      <c r="H184" s="64">
        <v>30</v>
      </c>
      <c r="I184" s="88">
        <f t="shared" ref="I184:I185" si="531">H184*F184</f>
        <v>85770</v>
      </c>
      <c r="J184" s="67">
        <f t="shared" ref="J184:J185" si="532">SUM(O184,R184,U184,X184,AA184,AD184,AG184,AJ184)</f>
        <v>2859</v>
      </c>
      <c r="K184" s="83">
        <f t="shared" si="509"/>
        <v>85770</v>
      </c>
      <c r="L184" s="37">
        <f t="shared" si="523"/>
        <v>1</v>
      </c>
      <c r="M184" s="68">
        <f t="shared" ref="M184:M185" si="533">F184-J184</f>
        <v>0</v>
      </c>
      <c r="N184" s="81">
        <f t="shared" ref="N184:N185" si="534">M184*H184</f>
        <v>0</v>
      </c>
      <c r="O184" s="49"/>
      <c r="P184" s="76">
        <f>O184*H184</f>
        <v>0</v>
      </c>
      <c r="Q184" s="70"/>
      <c r="R184" s="49"/>
      <c r="S184" s="76"/>
      <c r="T184" s="70"/>
      <c r="U184" s="49"/>
      <c r="V184" s="76">
        <f t="shared" ref="V184:V185" si="535">U184*H184</f>
        <v>0</v>
      </c>
      <c r="W184" s="70"/>
      <c r="X184" s="49"/>
      <c r="Y184" s="76">
        <f t="shared" si="525"/>
        <v>0</v>
      </c>
      <c r="Z184" s="70">
        <f t="shared" si="518"/>
        <v>0</v>
      </c>
      <c r="AA184" s="63"/>
      <c r="AB184" s="76">
        <f t="shared" si="526"/>
        <v>0</v>
      </c>
      <c r="AC184" s="70">
        <f t="shared" si="519"/>
        <v>0</v>
      </c>
      <c r="AD184" s="63">
        <v>2355.31</v>
      </c>
      <c r="AE184" s="76">
        <f t="shared" si="527"/>
        <v>70659.3</v>
      </c>
      <c r="AF184" s="70">
        <f t="shared" si="520"/>
        <v>0.82382301504022393</v>
      </c>
      <c r="AG184" s="63">
        <v>503.69</v>
      </c>
      <c r="AH184" s="76">
        <f t="shared" si="528"/>
        <v>15110.7</v>
      </c>
      <c r="AI184" s="70">
        <f t="shared" si="521"/>
        <v>0.17617698495977616</v>
      </c>
      <c r="AJ184" s="63"/>
      <c r="AK184" s="76">
        <f t="shared" si="529"/>
        <v>0</v>
      </c>
      <c r="AL184" s="70">
        <f t="shared" si="522"/>
        <v>0</v>
      </c>
      <c r="AM184" s="63"/>
      <c r="AN184" s="76">
        <f t="shared" si="530"/>
        <v>0</v>
      </c>
      <c r="AO184" s="70">
        <f t="shared" si="444"/>
        <v>0</v>
      </c>
    </row>
    <row r="185" spans="2:41" s="50" customFormat="1" ht="25.35" customHeight="1" outlineLevel="1" thickBot="1" x14ac:dyDescent="0.45">
      <c r="B185" s="61"/>
      <c r="C185" s="23" t="s">
        <v>149</v>
      </c>
      <c r="D185" s="224" t="s">
        <v>146</v>
      </c>
      <c r="E185" s="225"/>
      <c r="F185" s="63">
        <v>1</v>
      </c>
      <c r="G185" s="51" t="s">
        <v>85</v>
      </c>
      <c r="H185" s="64">
        <v>8739.85</v>
      </c>
      <c r="I185" s="88">
        <f t="shared" si="531"/>
        <v>8739.85</v>
      </c>
      <c r="J185" s="67">
        <f t="shared" si="532"/>
        <v>1</v>
      </c>
      <c r="K185" s="83">
        <f t="shared" si="509"/>
        <v>8739.85</v>
      </c>
      <c r="L185" s="37">
        <f t="shared" si="523"/>
        <v>1</v>
      </c>
      <c r="M185" s="68">
        <f t="shared" si="533"/>
        <v>0</v>
      </c>
      <c r="N185" s="81">
        <f t="shared" si="534"/>
        <v>0</v>
      </c>
      <c r="O185" s="49"/>
      <c r="P185" s="76"/>
      <c r="Q185" s="70"/>
      <c r="R185" s="49"/>
      <c r="S185" s="76">
        <f>R185*K185</f>
        <v>0</v>
      </c>
      <c r="T185" s="70"/>
      <c r="U185" s="49"/>
      <c r="V185" s="76">
        <f t="shared" si="535"/>
        <v>0</v>
      </c>
      <c r="W185" s="70"/>
      <c r="X185" s="49"/>
      <c r="Y185" s="76">
        <f t="shared" si="525"/>
        <v>0</v>
      </c>
      <c r="Z185" s="70">
        <f t="shared" si="518"/>
        <v>0</v>
      </c>
      <c r="AA185" s="63"/>
      <c r="AB185" s="76">
        <f t="shared" si="526"/>
        <v>0</v>
      </c>
      <c r="AC185" s="70">
        <f t="shared" si="519"/>
        <v>0</v>
      </c>
      <c r="AD185" s="63">
        <v>1</v>
      </c>
      <c r="AE185" s="76">
        <f t="shared" si="527"/>
        <v>8739.85</v>
      </c>
      <c r="AF185" s="70">
        <f t="shared" si="520"/>
        <v>1</v>
      </c>
      <c r="AG185" s="63"/>
      <c r="AH185" s="76">
        <f t="shared" si="528"/>
        <v>0</v>
      </c>
      <c r="AI185" s="70">
        <f t="shared" si="521"/>
        <v>0</v>
      </c>
      <c r="AJ185" s="63"/>
      <c r="AK185" s="76">
        <f t="shared" si="529"/>
        <v>0</v>
      </c>
      <c r="AL185" s="70">
        <f t="shared" si="522"/>
        <v>0</v>
      </c>
      <c r="AM185" s="63"/>
      <c r="AN185" s="76">
        <f t="shared" si="530"/>
        <v>0</v>
      </c>
      <c r="AO185" s="70">
        <f t="shared" si="444"/>
        <v>0</v>
      </c>
    </row>
    <row r="186" spans="2:41" s="9" customFormat="1" ht="30" customHeight="1" thickBot="1" x14ac:dyDescent="0.3">
      <c r="B186" s="177" t="s">
        <v>48</v>
      </c>
      <c r="C186" s="178"/>
      <c r="D186" s="178"/>
      <c r="E186" s="179"/>
      <c r="F186" s="172">
        <f>SUM(I10,I178,I182)</f>
        <v>4447963.3627999993</v>
      </c>
      <c r="G186" s="153"/>
      <c r="H186" s="153"/>
      <c r="I186" s="153"/>
      <c r="J186" s="153">
        <f>J8</f>
        <v>4427274.4825100005</v>
      </c>
      <c r="K186" s="153"/>
      <c r="L186" s="153"/>
      <c r="M186" s="153">
        <f>F186-J186</f>
        <v>20688.880289998837</v>
      </c>
      <c r="N186" s="154"/>
      <c r="O186" s="152">
        <f>SUM(P178,P23:P25)</f>
        <v>408327.14149000001</v>
      </c>
      <c r="P186" s="153"/>
      <c r="Q186" s="154"/>
      <c r="R186" s="152">
        <f>SUM(S178,S26,S29:S31,S35:S37)-S188</f>
        <v>629111.08255499997</v>
      </c>
      <c r="S186" s="153"/>
      <c r="T186" s="154"/>
      <c r="U186" s="152">
        <f>SUM(V178,V11:V82)</f>
        <v>692042.54255500005</v>
      </c>
      <c r="V186" s="153"/>
      <c r="W186" s="154"/>
      <c r="X186" s="152">
        <f>SUM(Y178,Y10)</f>
        <v>614107.08134999999</v>
      </c>
      <c r="Y186" s="153"/>
      <c r="Z186" s="154"/>
      <c r="AA186" s="152">
        <f>SUM(AB178,AB10)</f>
        <v>795865.68368999998</v>
      </c>
      <c r="AB186" s="153"/>
      <c r="AC186" s="154"/>
      <c r="AD186" s="152">
        <f>SUM(AE178,AE10,AE182)</f>
        <v>801460.00786000025</v>
      </c>
      <c r="AE186" s="153"/>
      <c r="AF186" s="154"/>
      <c r="AG186" s="152">
        <f>SUM(AH178,AH10,AH182)</f>
        <v>348311.29035999998</v>
      </c>
      <c r="AH186" s="153"/>
      <c r="AI186" s="154"/>
      <c r="AJ186" s="152">
        <f>SUM(AK178,AK10)</f>
        <v>53765.605530000001</v>
      </c>
      <c r="AK186" s="153"/>
      <c r="AL186" s="154"/>
      <c r="AM186" s="152">
        <f>SUM(AN178,AN10)</f>
        <v>84284.047119999974</v>
      </c>
      <c r="AN186" s="153"/>
      <c r="AO186" s="154"/>
    </row>
    <row r="187" spans="2:41" s="9" customFormat="1" ht="45.75" customHeight="1" x14ac:dyDescent="0.25">
      <c r="B187" s="218" t="s">
        <v>49</v>
      </c>
      <c r="C187" s="219"/>
      <c r="D187" s="219"/>
      <c r="E187" s="220"/>
      <c r="F187" s="170" t="s">
        <v>20</v>
      </c>
      <c r="G187" s="171"/>
      <c r="H187" s="171"/>
      <c r="I187" s="171"/>
      <c r="J187" s="184" t="s">
        <v>21</v>
      </c>
      <c r="K187" s="184"/>
      <c r="L187" s="184"/>
      <c r="M187" s="184" t="s">
        <v>11</v>
      </c>
      <c r="N187" s="185"/>
      <c r="O187" s="40" t="s">
        <v>22</v>
      </c>
      <c r="P187" s="155">
        <v>0</v>
      </c>
      <c r="Q187" s="156"/>
      <c r="R187" s="40" t="s">
        <v>22</v>
      </c>
      <c r="S187" s="155">
        <v>0</v>
      </c>
      <c r="T187" s="156"/>
      <c r="U187" s="40" t="s">
        <v>22</v>
      </c>
      <c r="V187" s="155">
        <v>0</v>
      </c>
      <c r="W187" s="156"/>
      <c r="X187" s="40" t="s">
        <v>22</v>
      </c>
      <c r="Y187" s="155">
        <v>0</v>
      </c>
      <c r="Z187" s="156"/>
      <c r="AA187" s="40" t="s">
        <v>22</v>
      </c>
      <c r="AB187" s="155">
        <v>0</v>
      </c>
      <c r="AC187" s="156"/>
      <c r="AD187" s="40" t="s">
        <v>22</v>
      </c>
      <c r="AE187" s="155">
        <v>0</v>
      </c>
      <c r="AF187" s="156"/>
      <c r="AG187" s="40" t="s">
        <v>22</v>
      </c>
      <c r="AH187" s="155">
        <v>0</v>
      </c>
      <c r="AI187" s="156"/>
      <c r="AJ187" s="40" t="s">
        <v>22</v>
      </c>
      <c r="AK187" s="155">
        <v>0</v>
      </c>
      <c r="AL187" s="156"/>
      <c r="AM187" s="40" t="s">
        <v>22</v>
      </c>
      <c r="AN187" s="155">
        <v>0</v>
      </c>
      <c r="AO187" s="156"/>
    </row>
    <row r="188" spans="2:41" s="9" customFormat="1" ht="45.75" customHeight="1" x14ac:dyDescent="0.25">
      <c r="B188" s="221"/>
      <c r="C188" s="222"/>
      <c r="D188" s="222"/>
      <c r="E188" s="223"/>
      <c r="F188" s="168" t="s">
        <v>23</v>
      </c>
      <c r="G188" s="169"/>
      <c r="H188" s="169"/>
      <c r="I188" s="169"/>
      <c r="J188" s="186" t="s">
        <v>89</v>
      </c>
      <c r="K188" s="186"/>
      <c r="L188" s="186"/>
      <c r="M188" s="186" t="s">
        <v>24</v>
      </c>
      <c r="N188" s="187"/>
      <c r="O188" s="33" t="s">
        <v>25</v>
      </c>
      <c r="P188" s="157"/>
      <c r="Q188" s="158"/>
      <c r="R188" s="33" t="s">
        <v>25</v>
      </c>
      <c r="S188" s="157">
        <v>11940</v>
      </c>
      <c r="T188" s="158"/>
      <c r="U188" s="33" t="s">
        <v>25</v>
      </c>
      <c r="V188" s="157">
        <v>9000</v>
      </c>
      <c r="W188" s="158"/>
      <c r="X188" s="33" t="s">
        <v>25</v>
      </c>
      <c r="Y188" s="157">
        <f>6000+5250+14000</f>
        <v>25250</v>
      </c>
      <c r="Z188" s="158"/>
      <c r="AA188" s="33" t="s">
        <v>25</v>
      </c>
      <c r="AB188" s="157">
        <v>20000</v>
      </c>
      <c r="AC188" s="158"/>
      <c r="AD188" s="33" t="s">
        <v>25</v>
      </c>
      <c r="AE188" s="157"/>
      <c r="AF188" s="158"/>
      <c r="AG188" s="33" t="s">
        <v>25</v>
      </c>
      <c r="AH188" s="157">
        <v>6000</v>
      </c>
      <c r="AI188" s="158"/>
      <c r="AJ188" s="33" t="s">
        <v>25</v>
      </c>
      <c r="AK188" s="157">
        <v>11000</v>
      </c>
      <c r="AL188" s="158"/>
      <c r="AM188" s="33" t="s">
        <v>25</v>
      </c>
      <c r="AN188" s="157">
        <v>6000</v>
      </c>
      <c r="AO188" s="158"/>
    </row>
    <row r="189" spans="2:41" s="9" customFormat="1" ht="45.75" customHeight="1" x14ac:dyDescent="0.25">
      <c r="B189" s="218" t="s">
        <v>50</v>
      </c>
      <c r="C189" s="219"/>
      <c r="D189" s="219"/>
      <c r="E189" s="220"/>
      <c r="F189" s="168">
        <f>F186*G191*G195</f>
        <v>155678.71769799999</v>
      </c>
      <c r="G189" s="169"/>
      <c r="H189" s="169"/>
      <c r="I189" s="169"/>
      <c r="J189" s="180">
        <f>J186*G191*G195</f>
        <v>154954.60688785001</v>
      </c>
      <c r="K189" s="180"/>
      <c r="L189" s="180"/>
      <c r="M189" s="180">
        <f>F189-J189</f>
        <v>724.1108101499849</v>
      </c>
      <c r="N189" s="181"/>
      <c r="O189" s="34" t="s">
        <v>26</v>
      </c>
      <c r="P189" s="159">
        <f>O186-P188-P190</f>
        <v>408327.14149000001</v>
      </c>
      <c r="Q189" s="160"/>
      <c r="R189" s="34" t="s">
        <v>26</v>
      </c>
      <c r="S189" s="182">
        <f>R186-S190</f>
        <v>607092.19466557493</v>
      </c>
      <c r="T189" s="160"/>
      <c r="U189" s="34" t="s">
        <v>26</v>
      </c>
      <c r="V189" s="182">
        <f>U186-V188</f>
        <v>683042.54255500005</v>
      </c>
      <c r="W189" s="160"/>
      <c r="X189" s="34" t="s">
        <v>26</v>
      </c>
      <c r="Y189" s="182">
        <f>X186-Y188</f>
        <v>588857.08134999999</v>
      </c>
      <c r="Z189" s="160"/>
      <c r="AA189" s="34" t="s">
        <v>26</v>
      </c>
      <c r="AB189" s="159">
        <f>AA186-AB188-AB190</f>
        <v>775865.68368999998</v>
      </c>
      <c r="AC189" s="160"/>
      <c r="AD189" s="34" t="s">
        <v>26</v>
      </c>
      <c r="AE189" s="159">
        <f>AD186-AE188-AE190</f>
        <v>801460.00786000025</v>
      </c>
      <c r="AF189" s="160"/>
      <c r="AG189" s="34" t="s">
        <v>26</v>
      </c>
      <c r="AH189" s="159">
        <f>AG186-AH188-AH190</f>
        <v>342311.29035999998</v>
      </c>
      <c r="AI189" s="160"/>
      <c r="AJ189" s="34" t="s">
        <v>26</v>
      </c>
      <c r="AK189" s="159">
        <f>AJ186-AK188-AK190</f>
        <v>42765.605530000001</v>
      </c>
      <c r="AL189" s="160"/>
      <c r="AM189" s="34" t="s">
        <v>26</v>
      </c>
      <c r="AN189" s="159">
        <f>AM186-AN188-AN190</f>
        <v>78284.047119999974</v>
      </c>
      <c r="AO189" s="160"/>
    </row>
    <row r="190" spans="2:41" s="9" customFormat="1" ht="45.75" customHeight="1" x14ac:dyDescent="0.25">
      <c r="B190" s="221"/>
      <c r="C190" s="222"/>
      <c r="D190" s="222"/>
      <c r="E190" s="223"/>
      <c r="F190" s="35" t="s">
        <v>33</v>
      </c>
      <c r="G190" s="183" t="s">
        <v>18</v>
      </c>
      <c r="H190" s="183"/>
      <c r="I190" s="174" t="s">
        <v>36</v>
      </c>
      <c r="J190" s="174"/>
      <c r="K190" s="174" t="s">
        <v>37</v>
      </c>
      <c r="L190" s="174"/>
      <c r="M190" s="174" t="s">
        <v>38</v>
      </c>
      <c r="N190" s="175"/>
      <c r="O190" s="129" t="s">
        <v>28</v>
      </c>
      <c r="P190" s="161"/>
      <c r="Q190" s="162"/>
      <c r="R190" s="129" t="s">
        <v>28</v>
      </c>
      <c r="S190" s="161">
        <f>R186*G191*G195</f>
        <v>22018.887889424997</v>
      </c>
      <c r="T190" s="162"/>
      <c r="U190" s="129" t="s">
        <v>28</v>
      </c>
      <c r="V190" s="161">
        <f>U186*G191*G195</f>
        <v>24221.488989425001</v>
      </c>
      <c r="W190" s="162"/>
      <c r="X190" s="129" t="s">
        <v>28</v>
      </c>
      <c r="Y190" s="161">
        <f>X186*G191*G195</f>
        <v>21493.747847250001</v>
      </c>
      <c r="Z190" s="162"/>
      <c r="AA190" s="129" t="s">
        <v>28</v>
      </c>
      <c r="AB190" s="161">
        <f>AA186*J191*J195</f>
        <v>0</v>
      </c>
      <c r="AC190" s="162"/>
      <c r="AD190" s="129" t="s">
        <v>28</v>
      </c>
      <c r="AE190" s="161"/>
      <c r="AF190" s="162"/>
      <c r="AG190" s="129" t="s">
        <v>28</v>
      </c>
      <c r="AH190" s="161"/>
      <c r="AI190" s="162"/>
      <c r="AJ190" s="129" t="s">
        <v>28</v>
      </c>
      <c r="AK190" s="161"/>
      <c r="AL190" s="162"/>
      <c r="AM190" s="129" t="s">
        <v>28</v>
      </c>
      <c r="AN190" s="161"/>
      <c r="AO190" s="162"/>
    </row>
    <row r="191" spans="2:41" s="9" customFormat="1" ht="45.75" customHeight="1" x14ac:dyDescent="0.25">
      <c r="B191" s="218" t="s">
        <v>51</v>
      </c>
      <c r="C191" s="219"/>
      <c r="D191" s="219"/>
      <c r="E191" s="220"/>
      <c r="F191" s="36" t="s">
        <v>27</v>
      </c>
      <c r="G191" s="167">
        <v>0.7</v>
      </c>
      <c r="H191" s="167"/>
      <c r="I191" s="173">
        <f>G191*$F$186</f>
        <v>3113574.3539599995</v>
      </c>
      <c r="J191" s="173"/>
      <c r="K191" s="173">
        <f>$J$186*G191</f>
        <v>3099092.137757</v>
      </c>
      <c r="L191" s="173"/>
      <c r="M191" s="173">
        <f>I191-K191</f>
        <v>14482.216202999465</v>
      </c>
      <c r="N191" s="176"/>
      <c r="O191" s="129"/>
      <c r="P191" s="161"/>
      <c r="Q191" s="162"/>
      <c r="R191" s="129"/>
      <c r="S191" s="161"/>
      <c r="T191" s="162"/>
      <c r="U191" s="129"/>
      <c r="V191" s="161"/>
      <c r="W191" s="162"/>
      <c r="X191" s="129"/>
      <c r="Y191" s="161"/>
      <c r="Z191" s="162"/>
      <c r="AA191" s="129"/>
      <c r="AB191" s="161"/>
      <c r="AC191" s="162"/>
      <c r="AD191" s="129"/>
      <c r="AE191" s="161"/>
      <c r="AF191" s="162"/>
      <c r="AG191" s="129"/>
      <c r="AH191" s="161"/>
      <c r="AI191" s="162"/>
      <c r="AJ191" s="129"/>
      <c r="AK191" s="161"/>
      <c r="AL191" s="162"/>
      <c r="AM191" s="129"/>
      <c r="AN191" s="161"/>
      <c r="AO191" s="162"/>
    </row>
    <row r="192" spans="2:41" s="9" customFormat="1" ht="44.25" customHeight="1" x14ac:dyDescent="0.25">
      <c r="B192" s="221"/>
      <c r="C192" s="222"/>
      <c r="D192" s="222"/>
      <c r="E192" s="223"/>
      <c r="F192" s="36" t="s">
        <v>40</v>
      </c>
      <c r="G192" s="167">
        <v>0</v>
      </c>
      <c r="H192" s="167"/>
      <c r="I192" s="173">
        <f t="shared" ref="I192:I195" si="536">G192*$F$186</f>
        <v>0</v>
      </c>
      <c r="J192" s="173"/>
      <c r="K192" s="173">
        <f t="shared" ref="K192:K195" si="537">$J$186*G192</f>
        <v>0</v>
      </c>
      <c r="L192" s="173"/>
      <c r="M192" s="173">
        <f>I192-K192</f>
        <v>0</v>
      </c>
      <c r="N192" s="176"/>
      <c r="O192" s="129" t="s">
        <v>29</v>
      </c>
      <c r="P192" s="130" t="s">
        <v>34</v>
      </c>
      <c r="Q192" s="131"/>
      <c r="R192" s="129" t="s">
        <v>29</v>
      </c>
      <c r="S192" s="130" t="s">
        <v>34</v>
      </c>
      <c r="T192" s="131"/>
      <c r="U192" s="129" t="s">
        <v>29</v>
      </c>
      <c r="V192" s="130" t="s">
        <v>34</v>
      </c>
      <c r="W192" s="131"/>
      <c r="X192" s="129" t="s">
        <v>29</v>
      </c>
      <c r="Y192" s="130" t="s">
        <v>34</v>
      </c>
      <c r="Z192" s="131"/>
      <c r="AA192" s="129" t="s">
        <v>29</v>
      </c>
      <c r="AB192" s="130" t="s">
        <v>34</v>
      </c>
      <c r="AC192" s="131"/>
      <c r="AD192" s="129" t="s">
        <v>29</v>
      </c>
      <c r="AE192" s="130" t="s">
        <v>34</v>
      </c>
      <c r="AF192" s="131"/>
      <c r="AG192" s="129" t="s">
        <v>29</v>
      </c>
      <c r="AH192" s="130" t="s">
        <v>34</v>
      </c>
      <c r="AI192" s="131"/>
      <c r="AJ192" s="129" t="s">
        <v>29</v>
      </c>
      <c r="AK192" s="130" t="s">
        <v>34</v>
      </c>
      <c r="AL192" s="131"/>
      <c r="AM192" s="129" t="s">
        <v>29</v>
      </c>
      <c r="AN192" s="130" t="s">
        <v>34</v>
      </c>
      <c r="AO192" s="131"/>
    </row>
    <row r="193" spans="2:41" s="9" customFormat="1" ht="44.25" customHeight="1" x14ac:dyDescent="0.25">
      <c r="B193" s="218" t="s">
        <v>3</v>
      </c>
      <c r="C193" s="219"/>
      <c r="D193" s="219"/>
      <c r="E193" s="220"/>
      <c r="F193" s="36" t="s">
        <v>39</v>
      </c>
      <c r="G193" s="167">
        <v>0</v>
      </c>
      <c r="H193" s="167"/>
      <c r="I193" s="173">
        <f t="shared" si="536"/>
        <v>0</v>
      </c>
      <c r="J193" s="173"/>
      <c r="K193" s="173">
        <f t="shared" si="537"/>
        <v>0</v>
      </c>
      <c r="L193" s="173"/>
      <c r="M193" s="173">
        <f>I193-K193</f>
        <v>0</v>
      </c>
      <c r="N193" s="176"/>
      <c r="O193" s="129"/>
      <c r="P193" s="130"/>
      <c r="Q193" s="131"/>
      <c r="R193" s="129"/>
      <c r="S193" s="130"/>
      <c r="T193" s="131"/>
      <c r="U193" s="129"/>
      <c r="V193" s="130"/>
      <c r="W193" s="131"/>
      <c r="X193" s="129"/>
      <c r="Y193" s="130"/>
      <c r="Z193" s="131"/>
      <c r="AA193" s="129"/>
      <c r="AB193" s="130"/>
      <c r="AC193" s="131"/>
      <c r="AD193" s="129"/>
      <c r="AE193" s="130"/>
      <c r="AF193" s="131"/>
      <c r="AG193" s="129"/>
      <c r="AH193" s="130"/>
      <c r="AI193" s="131"/>
      <c r="AJ193" s="129"/>
      <c r="AK193" s="130"/>
      <c r="AL193" s="131"/>
      <c r="AM193" s="129"/>
      <c r="AN193" s="130"/>
      <c r="AO193" s="131"/>
    </row>
    <row r="194" spans="2:41" s="9" customFormat="1" ht="44.25" customHeight="1" x14ac:dyDescent="0.25">
      <c r="B194" s="226"/>
      <c r="C194" s="227"/>
      <c r="D194" s="227"/>
      <c r="E194" s="228"/>
      <c r="F194" s="36" t="s">
        <v>41</v>
      </c>
      <c r="G194" s="167">
        <v>0.3</v>
      </c>
      <c r="H194" s="167"/>
      <c r="I194" s="173">
        <f t="shared" si="536"/>
        <v>1334389.0088399998</v>
      </c>
      <c r="J194" s="173"/>
      <c r="K194" s="173">
        <f t="shared" si="537"/>
        <v>1328182.3447530002</v>
      </c>
      <c r="L194" s="173"/>
      <c r="M194" s="173">
        <f t="shared" ref="M194:M195" si="538">I194-K194</f>
        <v>6206.6640869996045</v>
      </c>
      <c r="N194" s="176"/>
      <c r="O194" s="132" t="s">
        <v>30</v>
      </c>
      <c r="P194" s="133"/>
      <c r="Q194" s="134"/>
      <c r="R194" s="132" t="s">
        <v>30</v>
      </c>
      <c r="S194" s="133"/>
      <c r="T194" s="134"/>
      <c r="U194" s="132" t="s">
        <v>30</v>
      </c>
      <c r="V194" s="133"/>
      <c r="W194" s="134"/>
      <c r="X194" s="132" t="s">
        <v>30</v>
      </c>
      <c r="Y194" s="133"/>
      <c r="Z194" s="134"/>
      <c r="AA194" s="132" t="s">
        <v>30</v>
      </c>
      <c r="AB194" s="133"/>
      <c r="AC194" s="134"/>
      <c r="AD194" s="132" t="s">
        <v>30</v>
      </c>
      <c r="AE194" s="133"/>
      <c r="AF194" s="134"/>
      <c r="AG194" s="132" t="s">
        <v>30</v>
      </c>
      <c r="AH194" s="133"/>
      <c r="AI194" s="134"/>
      <c r="AJ194" s="132" t="s">
        <v>30</v>
      </c>
      <c r="AK194" s="133"/>
      <c r="AL194" s="134"/>
      <c r="AM194" s="132" t="s">
        <v>30</v>
      </c>
      <c r="AN194" s="133"/>
      <c r="AO194" s="134"/>
    </row>
    <row r="195" spans="2:41" s="9" customFormat="1" ht="80.25" customHeight="1" x14ac:dyDescent="0.25">
      <c r="B195" s="226"/>
      <c r="C195" s="227"/>
      <c r="D195" s="227"/>
      <c r="E195" s="228"/>
      <c r="F195" s="36" t="s">
        <v>35</v>
      </c>
      <c r="G195" s="167">
        <v>0.05</v>
      </c>
      <c r="H195" s="167"/>
      <c r="I195" s="173">
        <f t="shared" si="536"/>
        <v>222398.16813999997</v>
      </c>
      <c r="J195" s="173"/>
      <c r="K195" s="173">
        <f t="shared" si="537"/>
        <v>221363.72412550004</v>
      </c>
      <c r="L195" s="173"/>
      <c r="M195" s="173">
        <f t="shared" si="538"/>
        <v>1034.4440144999244</v>
      </c>
      <c r="N195" s="176"/>
      <c r="O195" s="135" t="s">
        <v>111</v>
      </c>
      <c r="P195" s="136"/>
      <c r="Q195" s="137"/>
      <c r="R195" s="135" t="s">
        <v>114</v>
      </c>
      <c r="S195" s="136"/>
      <c r="T195" s="137"/>
      <c r="U195" s="135" t="s">
        <v>115</v>
      </c>
      <c r="V195" s="136"/>
      <c r="W195" s="137"/>
      <c r="X195" s="135" t="s">
        <v>139</v>
      </c>
      <c r="Y195" s="136"/>
      <c r="Z195" s="137"/>
      <c r="AA195" s="135"/>
      <c r="AB195" s="136"/>
      <c r="AC195" s="137"/>
      <c r="AD195" s="135"/>
      <c r="AE195" s="136"/>
      <c r="AF195" s="137"/>
      <c r="AG195" s="135" t="s">
        <v>152</v>
      </c>
      <c r="AH195" s="136"/>
      <c r="AI195" s="137"/>
      <c r="AJ195" s="135" t="s">
        <v>153</v>
      </c>
      <c r="AK195" s="136"/>
      <c r="AL195" s="137"/>
      <c r="AM195" s="135" t="s">
        <v>154</v>
      </c>
      <c r="AN195" s="136"/>
      <c r="AO195" s="137"/>
    </row>
    <row r="196" spans="2:41" s="9" customFormat="1" ht="20.100000000000001" hidden="1" customHeight="1" thickBot="1" x14ac:dyDescent="0.3">
      <c r="I196" s="28"/>
      <c r="K196" s="28"/>
      <c r="N196" s="28"/>
      <c r="P196" s="28"/>
      <c r="S196" s="28"/>
      <c r="V196" s="28"/>
      <c r="Y196" s="28"/>
      <c r="AB196" s="28"/>
      <c r="AE196" s="28"/>
      <c r="AH196" s="28"/>
      <c r="AK196" s="28"/>
      <c r="AN196" s="28"/>
    </row>
    <row r="197" spans="2:41" s="9" customFormat="1" ht="20.100000000000001" hidden="1" customHeight="1" x14ac:dyDescent="0.25">
      <c r="F197" s="25"/>
      <c r="H197" s="26"/>
      <c r="I197" s="28"/>
      <c r="K197" s="28"/>
      <c r="N197" s="28"/>
      <c r="P197" s="28"/>
      <c r="S197" s="28"/>
      <c r="V197" s="28"/>
      <c r="Y197" s="28"/>
      <c r="AB197" s="28"/>
      <c r="AE197" s="28"/>
      <c r="AH197" s="28"/>
      <c r="AK197" s="28"/>
      <c r="AN197" s="28"/>
    </row>
    <row r="198" spans="2:41" s="9" customFormat="1" ht="20.100000000000001" hidden="1" customHeight="1" x14ac:dyDescent="0.25">
      <c r="F198" s="27"/>
      <c r="H198" s="26"/>
      <c r="I198" s="28">
        <v>4280</v>
      </c>
      <c r="K198" s="28"/>
      <c r="N198" s="28"/>
      <c r="P198" s="28"/>
      <c r="S198" s="28"/>
      <c r="V198" s="28"/>
      <c r="Y198" s="28"/>
      <c r="AB198" s="28"/>
      <c r="AE198" s="28"/>
      <c r="AH198" s="28"/>
      <c r="AK198" s="28"/>
      <c r="AN198" s="28"/>
    </row>
    <row r="199" spans="2:41" s="9" customFormat="1" ht="20.100000000000001" hidden="1" customHeight="1" x14ac:dyDescent="0.25">
      <c r="H199" s="26"/>
      <c r="I199" s="28">
        <f>I198/2</f>
        <v>2140</v>
      </c>
      <c r="K199" s="28"/>
      <c r="N199" s="28"/>
      <c r="P199" s="28"/>
      <c r="S199" s="28"/>
      <c r="V199" s="28"/>
      <c r="Y199" s="28"/>
      <c r="AB199" s="28"/>
      <c r="AE199" s="28"/>
      <c r="AH199" s="28"/>
      <c r="AK199" s="28"/>
      <c r="AN199" s="28"/>
    </row>
    <row r="200" spans="2:41" s="9" customFormat="1" ht="20.100000000000001" hidden="1" customHeight="1" x14ac:dyDescent="0.25">
      <c r="I200" s="28"/>
      <c r="K200" s="28"/>
      <c r="N200" s="28"/>
      <c r="P200" s="28"/>
      <c r="S200" s="28"/>
      <c r="V200" s="28"/>
      <c r="Y200" s="28"/>
      <c r="AB200" s="28"/>
      <c r="AE200" s="28"/>
      <c r="AH200" s="28"/>
      <c r="AK200" s="28"/>
      <c r="AN200" s="28"/>
    </row>
    <row r="201" spans="2:41" s="9" customFormat="1" ht="20.100000000000001" hidden="1" customHeight="1" x14ac:dyDescent="0.25">
      <c r="I201" s="28"/>
      <c r="K201" s="28"/>
      <c r="N201" s="28"/>
      <c r="P201" s="28"/>
      <c r="S201" s="28"/>
      <c r="V201" s="28"/>
      <c r="Y201" s="28"/>
      <c r="AB201" s="28"/>
      <c r="AE201" s="28"/>
      <c r="AH201" s="28"/>
      <c r="AK201" s="28"/>
      <c r="AN201" s="28"/>
    </row>
    <row r="202" spans="2:41" s="9" customFormat="1" ht="20.100000000000001" hidden="1" customHeight="1" x14ac:dyDescent="0.25">
      <c r="F202" s="9">
        <v>10</v>
      </c>
      <c r="I202" s="28"/>
      <c r="K202" s="28"/>
      <c r="N202" s="28"/>
      <c r="P202" s="28"/>
      <c r="S202" s="28"/>
      <c r="V202" s="28"/>
      <c r="Y202" s="28"/>
      <c r="AB202" s="28"/>
      <c r="AE202" s="28"/>
      <c r="AH202" s="28"/>
      <c r="AK202" s="28"/>
      <c r="AN202" s="28"/>
    </row>
    <row r="203" spans="2:41" s="9" customFormat="1" ht="20.100000000000001" hidden="1" customHeight="1" x14ac:dyDescent="0.25">
      <c r="F203" s="9">
        <v>6</v>
      </c>
      <c r="I203" s="28"/>
      <c r="K203" s="28"/>
      <c r="N203" s="28"/>
      <c r="P203" s="28"/>
      <c r="S203" s="28"/>
      <c r="V203" s="28"/>
      <c r="Y203" s="28"/>
      <c r="AB203" s="28"/>
      <c r="AE203" s="28"/>
      <c r="AH203" s="28"/>
      <c r="AK203" s="28"/>
      <c r="AN203" s="28"/>
    </row>
    <row r="204" spans="2:41" s="9" customFormat="1" ht="20.100000000000001" hidden="1" customHeight="1" x14ac:dyDescent="0.25">
      <c r="F204" s="9">
        <v>4</v>
      </c>
      <c r="I204" s="28"/>
      <c r="K204" s="28"/>
      <c r="N204" s="28"/>
      <c r="P204" s="28"/>
      <c r="S204" s="28"/>
      <c r="V204" s="28"/>
      <c r="Y204" s="28"/>
      <c r="AB204" s="28"/>
      <c r="AE204" s="28"/>
      <c r="AH204" s="28"/>
      <c r="AK204" s="28"/>
      <c r="AN204" s="28"/>
    </row>
    <row r="205" spans="2:41" s="9" customFormat="1" ht="20.100000000000001" hidden="1" customHeight="1" x14ac:dyDescent="0.25">
      <c r="F205" s="9">
        <v>2</v>
      </c>
      <c r="I205" s="28"/>
      <c r="K205" s="28"/>
      <c r="N205" s="28"/>
      <c r="P205" s="28"/>
      <c r="S205" s="28"/>
      <c r="V205" s="28"/>
      <c r="Y205" s="28"/>
      <c r="AB205" s="28"/>
      <c r="AE205" s="28"/>
      <c r="AH205" s="28"/>
      <c r="AK205" s="28"/>
      <c r="AN205" s="28"/>
    </row>
    <row r="206" spans="2:41" s="9" customFormat="1" ht="20.100000000000001" hidden="1" customHeight="1" x14ac:dyDescent="0.25">
      <c r="F206" s="9">
        <v>1</v>
      </c>
      <c r="H206" s="9">
        <f>SUM(F202:F206)*71</f>
        <v>1633</v>
      </c>
      <c r="I206" s="28"/>
      <c r="K206" s="28"/>
      <c r="N206" s="28"/>
      <c r="P206" s="28"/>
      <c r="S206" s="28"/>
      <c r="V206" s="28"/>
      <c r="Y206" s="28"/>
      <c r="AB206" s="28"/>
      <c r="AE206" s="28"/>
      <c r="AH206" s="28"/>
      <c r="AK206" s="28"/>
      <c r="AN206" s="28"/>
    </row>
    <row r="207" spans="2:41" s="9" customFormat="1" ht="20.100000000000001" hidden="1" customHeight="1" x14ac:dyDescent="0.25">
      <c r="I207" s="28"/>
      <c r="K207" s="28"/>
      <c r="N207" s="28"/>
      <c r="P207" s="28"/>
      <c r="S207" s="28"/>
      <c r="V207" s="28"/>
      <c r="Y207" s="28"/>
      <c r="AB207" s="28"/>
      <c r="AE207" s="28"/>
      <c r="AH207" s="28"/>
      <c r="AK207" s="28"/>
      <c r="AN207" s="28"/>
    </row>
    <row r="208" spans="2:41" s="9" customFormat="1" ht="20.100000000000001" customHeight="1" x14ac:dyDescent="0.25">
      <c r="I208" s="28"/>
      <c r="K208" s="28"/>
      <c r="N208" s="28"/>
      <c r="P208" s="28"/>
      <c r="S208" s="28"/>
      <c r="V208" s="28"/>
      <c r="Y208" s="28"/>
      <c r="AB208" s="28"/>
      <c r="AE208" s="28"/>
      <c r="AH208" s="28"/>
      <c r="AK208" s="28"/>
      <c r="AN208" s="28"/>
    </row>
    <row r="209" spans="9:40" s="9" customFormat="1" ht="20.100000000000001" customHeight="1" x14ac:dyDescent="0.25">
      <c r="I209" s="28"/>
      <c r="K209" s="28"/>
      <c r="N209" s="28"/>
      <c r="P209" s="28"/>
      <c r="S209" s="28"/>
      <c r="V209" s="28"/>
      <c r="Y209" s="28"/>
      <c r="AB209" s="28"/>
      <c r="AE209" s="28"/>
      <c r="AH209" s="28"/>
      <c r="AK209" s="28"/>
      <c r="AN209" s="28"/>
    </row>
    <row r="210" spans="9:40" s="9" customFormat="1" ht="20.100000000000001" customHeight="1" x14ac:dyDescent="0.25">
      <c r="I210" s="28"/>
      <c r="K210" s="28"/>
      <c r="N210" s="28"/>
      <c r="P210" s="28"/>
      <c r="S210" s="28"/>
      <c r="V210" s="28"/>
      <c r="Y210" s="28"/>
      <c r="AB210" s="28"/>
      <c r="AE210" s="28"/>
      <c r="AH210" s="28"/>
      <c r="AK210" s="28"/>
      <c r="AN210" s="28"/>
    </row>
    <row r="211" spans="9:40" s="9" customFormat="1" ht="20.100000000000001" customHeight="1" x14ac:dyDescent="0.25">
      <c r="I211" s="28"/>
      <c r="K211" s="28"/>
      <c r="N211" s="28"/>
      <c r="P211" s="28"/>
      <c r="S211" s="28"/>
      <c r="V211" s="28"/>
      <c r="Y211" s="28"/>
      <c r="AB211" s="28"/>
      <c r="AE211" s="28"/>
      <c r="AH211" s="28"/>
      <c r="AK211" s="28"/>
      <c r="AN211" s="28"/>
    </row>
    <row r="212" spans="9:40" s="9" customFormat="1" ht="20.100000000000001" customHeight="1" x14ac:dyDescent="0.25">
      <c r="I212" s="28"/>
      <c r="K212" s="28"/>
      <c r="N212" s="28"/>
      <c r="P212" s="28"/>
      <c r="V212" s="28"/>
      <c r="Y212" s="28"/>
      <c r="AB212" s="28"/>
      <c r="AE212" s="28"/>
      <c r="AH212" s="28"/>
      <c r="AK212" s="28"/>
      <c r="AN212" s="28"/>
    </row>
    <row r="213" spans="9:40" s="9" customFormat="1" ht="20.100000000000001" customHeight="1" x14ac:dyDescent="0.25">
      <c r="I213" s="28"/>
      <c r="K213" s="28"/>
      <c r="N213" s="28"/>
      <c r="P213" s="28"/>
      <c r="S213" s="28"/>
      <c r="V213" s="28"/>
      <c r="Y213" s="28"/>
      <c r="AB213" s="28"/>
      <c r="AE213" s="28"/>
      <c r="AH213" s="28"/>
      <c r="AK213" s="28"/>
      <c r="AN213" s="28"/>
    </row>
    <row r="214" spans="9:40" s="9" customFormat="1" ht="20.100000000000001" customHeight="1" x14ac:dyDescent="0.25">
      <c r="I214" s="28"/>
      <c r="K214" s="28"/>
      <c r="N214" s="28"/>
      <c r="P214" s="28"/>
      <c r="S214" s="28"/>
      <c r="V214" s="28"/>
      <c r="Y214" s="28"/>
      <c r="AB214" s="28"/>
      <c r="AE214" s="28"/>
      <c r="AH214" s="28"/>
      <c r="AK214" s="28"/>
      <c r="AN214" s="28"/>
    </row>
    <row r="215" spans="9:40" s="9" customFormat="1" ht="20.100000000000001" customHeight="1" x14ac:dyDescent="0.25">
      <c r="I215" s="28"/>
      <c r="K215" s="28"/>
      <c r="N215" s="28"/>
      <c r="P215" s="28"/>
      <c r="S215" s="28"/>
      <c r="V215" s="28"/>
      <c r="Y215" s="28"/>
      <c r="AB215" s="28"/>
      <c r="AE215" s="28"/>
      <c r="AH215" s="28"/>
      <c r="AK215" s="28"/>
      <c r="AN215" s="28"/>
    </row>
    <row r="216" spans="9:40" s="9" customFormat="1" ht="20.100000000000001" customHeight="1" x14ac:dyDescent="0.25">
      <c r="I216" s="28"/>
      <c r="K216" s="28"/>
      <c r="N216" s="28"/>
      <c r="P216" s="28"/>
      <c r="S216" s="28"/>
      <c r="V216" s="28"/>
      <c r="Y216" s="28"/>
      <c r="AB216" s="28"/>
      <c r="AE216" s="28"/>
      <c r="AH216" s="28"/>
      <c r="AK216" s="28"/>
      <c r="AN216" s="28"/>
    </row>
    <row r="217" spans="9:40" s="9" customFormat="1" ht="20.100000000000001" customHeight="1" x14ac:dyDescent="0.25">
      <c r="I217" s="28"/>
      <c r="K217" s="28"/>
      <c r="N217" s="28"/>
      <c r="P217" s="28"/>
      <c r="S217" s="28"/>
      <c r="V217" s="28"/>
      <c r="Y217" s="28"/>
      <c r="AB217" s="28"/>
      <c r="AE217" s="28"/>
      <c r="AH217" s="28"/>
      <c r="AK217" s="28"/>
      <c r="AN217" s="28"/>
    </row>
    <row r="218" spans="9:40" s="9" customFormat="1" ht="20.100000000000001" customHeight="1" x14ac:dyDescent="0.25">
      <c r="I218" s="28"/>
      <c r="K218" s="28"/>
      <c r="N218" s="28"/>
      <c r="P218" s="28"/>
      <c r="S218" s="28"/>
      <c r="V218" s="28"/>
      <c r="Y218" s="28"/>
      <c r="AB218" s="28"/>
      <c r="AE218" s="28"/>
      <c r="AH218" s="28"/>
      <c r="AK218" s="28"/>
      <c r="AN218" s="28"/>
    </row>
    <row r="219" spans="9:40" s="9" customFormat="1" ht="20.100000000000001" customHeight="1" x14ac:dyDescent="0.25">
      <c r="I219" s="28"/>
      <c r="K219" s="28"/>
      <c r="N219" s="28"/>
      <c r="P219" s="28"/>
      <c r="S219" s="28"/>
      <c r="V219" s="28"/>
      <c r="Y219" s="28"/>
      <c r="AB219" s="28"/>
      <c r="AE219" s="28"/>
      <c r="AH219" s="28"/>
      <c r="AK219" s="28"/>
      <c r="AN219" s="28"/>
    </row>
    <row r="220" spans="9:40" s="9" customFormat="1" ht="20.100000000000001" customHeight="1" x14ac:dyDescent="0.25">
      <c r="I220" s="28"/>
      <c r="K220" s="28"/>
      <c r="N220" s="28"/>
      <c r="P220" s="28"/>
      <c r="S220" s="28"/>
      <c r="V220" s="28"/>
      <c r="Y220" s="28"/>
      <c r="AB220" s="28"/>
      <c r="AE220" s="28"/>
      <c r="AH220" s="28"/>
      <c r="AK220" s="28"/>
      <c r="AN220" s="28"/>
    </row>
    <row r="221" spans="9:40" s="9" customFormat="1" ht="20.100000000000001" customHeight="1" x14ac:dyDescent="0.25">
      <c r="I221" s="28"/>
      <c r="K221" s="28"/>
      <c r="N221" s="28"/>
      <c r="P221" s="28"/>
      <c r="S221" s="28"/>
      <c r="V221" s="28"/>
      <c r="Y221" s="28"/>
      <c r="AB221" s="28"/>
      <c r="AE221" s="28"/>
      <c r="AH221" s="28"/>
      <c r="AK221" s="28"/>
      <c r="AN221" s="28"/>
    </row>
    <row r="222" spans="9:40" s="9" customFormat="1" ht="20.100000000000001" customHeight="1" x14ac:dyDescent="0.25">
      <c r="I222" s="28"/>
      <c r="K222" s="28"/>
      <c r="N222" s="28"/>
      <c r="P222" s="28"/>
      <c r="S222" s="28"/>
      <c r="V222" s="28"/>
      <c r="Y222" s="28"/>
      <c r="AB222" s="28"/>
      <c r="AE222" s="28"/>
      <c r="AH222" s="28"/>
      <c r="AK222" s="28"/>
      <c r="AN222" s="28"/>
    </row>
    <row r="223" spans="9:40" s="9" customFormat="1" ht="20.100000000000001" customHeight="1" x14ac:dyDescent="0.25">
      <c r="I223" s="28"/>
      <c r="K223" s="28"/>
      <c r="N223" s="28"/>
      <c r="P223" s="28"/>
      <c r="S223" s="28"/>
      <c r="V223" s="28"/>
      <c r="Y223" s="28"/>
      <c r="AB223" s="28"/>
      <c r="AE223" s="28"/>
      <c r="AH223" s="28"/>
      <c r="AK223" s="28"/>
      <c r="AN223" s="28"/>
    </row>
    <row r="224" spans="9:40" s="9" customFormat="1" ht="20.100000000000001" customHeight="1" x14ac:dyDescent="0.25">
      <c r="I224" s="28"/>
      <c r="K224" s="28"/>
      <c r="N224" s="28"/>
      <c r="P224" s="28"/>
      <c r="S224" s="28"/>
      <c r="V224" s="28"/>
      <c r="Y224" s="28"/>
      <c r="AB224" s="28"/>
      <c r="AE224" s="28"/>
      <c r="AH224" s="28"/>
      <c r="AK224" s="28"/>
      <c r="AN224" s="28"/>
    </row>
    <row r="225" spans="9:40" s="9" customFormat="1" ht="20.100000000000001" customHeight="1" x14ac:dyDescent="0.25">
      <c r="I225" s="28"/>
      <c r="K225" s="28"/>
      <c r="N225" s="28"/>
      <c r="P225" s="28"/>
      <c r="S225" s="28"/>
      <c r="V225" s="28"/>
      <c r="Y225" s="28"/>
      <c r="AB225" s="28"/>
      <c r="AE225" s="28"/>
      <c r="AH225" s="28"/>
      <c r="AK225" s="28"/>
      <c r="AN225" s="28"/>
    </row>
    <row r="226" spans="9:40" s="9" customFormat="1" ht="20.100000000000001" customHeight="1" x14ac:dyDescent="0.25">
      <c r="I226" s="28"/>
      <c r="K226" s="28"/>
      <c r="N226" s="28"/>
      <c r="P226" s="28"/>
      <c r="S226" s="28"/>
      <c r="V226" s="28"/>
      <c r="Y226" s="28"/>
      <c r="AB226" s="28"/>
      <c r="AE226" s="28"/>
      <c r="AH226" s="28"/>
      <c r="AK226" s="28"/>
      <c r="AN226" s="28"/>
    </row>
    <row r="227" spans="9:40" s="9" customFormat="1" ht="20.100000000000001" customHeight="1" x14ac:dyDescent="0.25">
      <c r="I227" s="28"/>
      <c r="K227" s="28"/>
      <c r="N227" s="28"/>
      <c r="P227" s="28"/>
      <c r="S227" s="28"/>
      <c r="V227" s="28"/>
      <c r="Y227" s="28"/>
      <c r="AB227" s="28"/>
      <c r="AE227" s="28"/>
      <c r="AH227" s="28"/>
      <c r="AK227" s="28"/>
      <c r="AN227" s="28"/>
    </row>
    <row r="228" spans="9:40" s="9" customFormat="1" ht="20.100000000000001" customHeight="1" x14ac:dyDescent="0.25">
      <c r="I228" s="28"/>
      <c r="K228" s="28"/>
      <c r="N228" s="28"/>
      <c r="P228" s="28"/>
      <c r="S228" s="28"/>
      <c r="V228" s="28"/>
      <c r="Y228" s="28"/>
      <c r="AB228" s="28"/>
      <c r="AE228" s="28"/>
      <c r="AH228" s="28"/>
      <c r="AK228" s="28"/>
      <c r="AN228" s="28"/>
    </row>
    <row r="229" spans="9:40" s="9" customFormat="1" ht="20.100000000000001" customHeight="1" x14ac:dyDescent="0.25">
      <c r="I229" s="28"/>
      <c r="K229" s="28"/>
      <c r="N229" s="28"/>
      <c r="P229" s="28"/>
      <c r="S229" s="28"/>
      <c r="V229" s="28"/>
      <c r="Y229" s="28"/>
      <c r="AB229" s="28"/>
      <c r="AE229" s="28"/>
      <c r="AH229" s="28"/>
      <c r="AK229" s="28"/>
      <c r="AN229" s="28"/>
    </row>
    <row r="230" spans="9:40" s="9" customFormat="1" ht="20.100000000000001" customHeight="1" x14ac:dyDescent="0.25">
      <c r="I230" s="28"/>
      <c r="K230" s="28"/>
      <c r="N230" s="28"/>
      <c r="P230" s="28"/>
      <c r="S230" s="28"/>
      <c r="V230" s="28"/>
      <c r="Y230" s="28"/>
      <c r="AB230" s="28"/>
      <c r="AE230" s="28"/>
      <c r="AH230" s="28"/>
      <c r="AK230" s="28"/>
      <c r="AN230" s="28"/>
    </row>
    <row r="231" spans="9:40" s="9" customFormat="1" ht="20.100000000000001" customHeight="1" x14ac:dyDescent="0.25">
      <c r="I231" s="28"/>
      <c r="K231" s="28"/>
      <c r="N231" s="28"/>
      <c r="P231" s="28"/>
      <c r="S231" s="28"/>
      <c r="V231" s="28"/>
      <c r="Y231" s="28"/>
      <c r="AB231" s="28"/>
      <c r="AE231" s="28"/>
      <c r="AH231" s="28"/>
      <c r="AK231" s="28"/>
      <c r="AN231" s="28"/>
    </row>
    <row r="232" spans="9:40" s="9" customFormat="1" ht="20.100000000000001" customHeight="1" x14ac:dyDescent="0.25">
      <c r="I232" s="28"/>
      <c r="K232" s="28"/>
      <c r="N232" s="28"/>
      <c r="P232" s="28"/>
      <c r="S232" s="28"/>
      <c r="V232" s="28"/>
      <c r="Y232" s="28"/>
      <c r="AB232" s="28"/>
      <c r="AE232" s="28"/>
      <c r="AH232" s="28"/>
      <c r="AK232" s="28"/>
      <c r="AN232" s="28"/>
    </row>
    <row r="233" spans="9:40" s="9" customFormat="1" ht="20.100000000000001" customHeight="1" x14ac:dyDescent="0.25">
      <c r="I233" s="28"/>
      <c r="K233" s="28"/>
      <c r="N233" s="28"/>
      <c r="P233" s="28"/>
      <c r="S233" s="28"/>
      <c r="V233" s="28"/>
      <c r="Y233" s="28"/>
      <c r="AB233" s="28"/>
      <c r="AE233" s="28"/>
      <c r="AH233" s="28"/>
      <c r="AK233" s="28"/>
      <c r="AN233" s="28"/>
    </row>
    <row r="234" spans="9:40" s="9" customFormat="1" ht="20.100000000000001" customHeight="1" x14ac:dyDescent="0.25">
      <c r="I234" s="28"/>
      <c r="K234" s="28"/>
      <c r="N234" s="28"/>
      <c r="P234" s="28"/>
      <c r="S234" s="28"/>
      <c r="V234" s="28"/>
      <c r="Y234" s="28"/>
      <c r="AB234" s="28"/>
      <c r="AE234" s="28"/>
      <c r="AH234" s="28"/>
      <c r="AK234" s="28"/>
      <c r="AN234" s="28"/>
    </row>
    <row r="235" spans="9:40" s="9" customFormat="1" ht="20.100000000000001" customHeight="1" x14ac:dyDescent="0.25">
      <c r="I235" s="28"/>
      <c r="K235" s="28"/>
      <c r="N235" s="28"/>
      <c r="P235" s="28"/>
      <c r="S235" s="28"/>
      <c r="V235" s="28"/>
      <c r="Y235" s="28"/>
      <c r="AB235" s="28"/>
      <c r="AE235" s="28"/>
      <c r="AH235" s="28"/>
      <c r="AK235" s="28"/>
      <c r="AN235" s="28"/>
    </row>
    <row r="236" spans="9:40" s="9" customFormat="1" ht="20.100000000000001" customHeight="1" x14ac:dyDescent="0.25">
      <c r="I236" s="28"/>
      <c r="K236" s="28"/>
      <c r="N236" s="28"/>
      <c r="P236" s="28"/>
      <c r="S236" s="28"/>
      <c r="V236" s="28"/>
      <c r="Y236" s="28"/>
      <c r="AB236" s="28"/>
      <c r="AE236" s="28"/>
      <c r="AH236" s="28"/>
      <c r="AK236" s="28"/>
      <c r="AN236" s="28"/>
    </row>
    <row r="237" spans="9:40" s="9" customFormat="1" ht="20.100000000000001" customHeight="1" x14ac:dyDescent="0.25">
      <c r="I237" s="28"/>
      <c r="K237" s="28"/>
      <c r="N237" s="28"/>
      <c r="P237" s="28"/>
      <c r="S237" s="28"/>
      <c r="V237" s="28"/>
      <c r="Y237" s="28"/>
      <c r="AB237" s="28"/>
      <c r="AE237" s="28"/>
      <c r="AH237" s="28"/>
      <c r="AK237" s="28"/>
      <c r="AN237" s="28"/>
    </row>
    <row r="238" spans="9:40" s="9" customFormat="1" ht="20.100000000000001" customHeight="1" x14ac:dyDescent="0.25">
      <c r="I238" s="28"/>
      <c r="K238" s="28"/>
      <c r="N238" s="28"/>
      <c r="P238" s="28"/>
      <c r="S238" s="28"/>
      <c r="V238" s="28"/>
      <c r="Y238" s="28"/>
      <c r="AB238" s="28"/>
      <c r="AE238" s="28"/>
      <c r="AH238" s="28"/>
      <c r="AK238" s="28"/>
      <c r="AN238" s="28"/>
    </row>
    <row r="239" spans="9:40" s="9" customFormat="1" ht="20.100000000000001" customHeight="1" x14ac:dyDescent="0.25">
      <c r="I239" s="28"/>
      <c r="K239" s="28"/>
      <c r="N239" s="28"/>
      <c r="P239" s="28"/>
      <c r="S239" s="28"/>
      <c r="V239" s="28"/>
      <c r="Y239" s="28"/>
      <c r="AB239" s="28"/>
      <c r="AE239" s="28"/>
      <c r="AH239" s="28"/>
      <c r="AK239" s="28"/>
      <c r="AN239" s="28"/>
    </row>
    <row r="240" spans="9:40" s="9" customFormat="1" ht="20.100000000000001" customHeight="1" x14ac:dyDescent="0.25">
      <c r="I240" s="28"/>
      <c r="K240" s="28"/>
      <c r="N240" s="28"/>
      <c r="P240" s="28"/>
      <c r="S240" s="28"/>
      <c r="V240" s="28"/>
      <c r="Y240" s="28"/>
      <c r="AB240" s="28"/>
      <c r="AE240" s="28"/>
      <c r="AH240" s="28"/>
      <c r="AK240" s="28"/>
      <c r="AN240" s="28"/>
    </row>
    <row r="241" spans="9:40" s="9" customFormat="1" ht="20.100000000000001" customHeight="1" x14ac:dyDescent="0.25">
      <c r="I241" s="28"/>
      <c r="K241" s="28"/>
      <c r="N241" s="28"/>
      <c r="P241" s="28"/>
      <c r="S241" s="28"/>
      <c r="V241" s="28"/>
      <c r="Y241" s="28"/>
      <c r="AB241" s="28"/>
      <c r="AE241" s="28"/>
      <c r="AH241" s="28"/>
      <c r="AK241" s="28"/>
      <c r="AN241" s="28"/>
    </row>
    <row r="242" spans="9:40" s="9" customFormat="1" ht="20.100000000000001" customHeight="1" x14ac:dyDescent="0.25">
      <c r="I242" s="28"/>
      <c r="K242" s="28"/>
      <c r="N242" s="28"/>
      <c r="P242" s="28"/>
      <c r="S242" s="28"/>
      <c r="V242" s="28"/>
      <c r="Y242" s="28"/>
      <c r="AB242" s="28"/>
      <c r="AE242" s="28"/>
      <c r="AH242" s="28"/>
      <c r="AK242" s="28"/>
      <c r="AN242" s="28"/>
    </row>
    <row r="243" spans="9:40" s="9" customFormat="1" ht="20.100000000000001" customHeight="1" x14ac:dyDescent="0.25">
      <c r="I243" s="28"/>
      <c r="K243" s="28"/>
      <c r="N243" s="28"/>
      <c r="P243" s="28"/>
      <c r="S243" s="28"/>
      <c r="V243" s="28"/>
      <c r="Y243" s="28"/>
      <c r="AB243" s="28"/>
      <c r="AE243" s="28"/>
      <c r="AH243" s="28"/>
      <c r="AK243" s="28"/>
      <c r="AN243" s="28"/>
    </row>
    <row r="244" spans="9:40" s="9" customFormat="1" ht="20.100000000000001" customHeight="1" x14ac:dyDescent="0.25">
      <c r="I244" s="28"/>
      <c r="K244" s="28"/>
      <c r="N244" s="28"/>
      <c r="P244" s="28"/>
      <c r="S244" s="28"/>
      <c r="V244" s="28"/>
      <c r="Y244" s="28"/>
      <c r="AB244" s="28"/>
      <c r="AE244" s="28"/>
      <c r="AH244" s="28"/>
      <c r="AK244" s="28"/>
      <c r="AN244" s="28"/>
    </row>
    <row r="245" spans="9:40" s="9" customFormat="1" ht="20.100000000000001" customHeight="1" x14ac:dyDescent="0.25">
      <c r="I245" s="28"/>
      <c r="K245" s="28"/>
      <c r="N245" s="28"/>
      <c r="P245" s="28"/>
      <c r="S245" s="28"/>
      <c r="V245" s="28"/>
      <c r="Y245" s="28"/>
      <c r="AB245" s="28"/>
      <c r="AE245" s="28"/>
      <c r="AH245" s="28"/>
      <c r="AK245" s="28"/>
      <c r="AN245" s="28"/>
    </row>
    <row r="246" spans="9:40" s="9" customFormat="1" ht="20.100000000000001" customHeight="1" x14ac:dyDescent="0.25">
      <c r="I246" s="28"/>
      <c r="K246" s="28"/>
      <c r="N246" s="28"/>
      <c r="P246" s="28"/>
      <c r="S246" s="28"/>
      <c r="V246" s="28"/>
      <c r="Y246" s="28"/>
      <c r="AB246" s="28"/>
      <c r="AE246" s="28"/>
      <c r="AH246" s="28"/>
      <c r="AK246" s="28"/>
      <c r="AN246" s="28"/>
    </row>
    <row r="247" spans="9:40" s="9" customFormat="1" ht="20.100000000000001" customHeight="1" x14ac:dyDescent="0.25">
      <c r="I247" s="28"/>
      <c r="K247" s="28"/>
      <c r="N247" s="28"/>
      <c r="P247" s="28"/>
      <c r="S247" s="28"/>
      <c r="V247" s="28"/>
      <c r="Y247" s="28"/>
      <c r="AB247" s="28"/>
      <c r="AE247" s="28"/>
      <c r="AH247" s="28"/>
      <c r="AK247" s="28"/>
      <c r="AN247" s="28"/>
    </row>
    <row r="248" spans="9:40" s="9" customFormat="1" ht="20.100000000000001" customHeight="1" x14ac:dyDescent="0.25">
      <c r="I248" s="28"/>
      <c r="K248" s="28"/>
      <c r="N248" s="28"/>
      <c r="P248" s="28"/>
      <c r="S248" s="28"/>
      <c r="V248" s="28"/>
      <c r="Y248" s="28"/>
      <c r="AB248" s="28"/>
      <c r="AE248" s="28"/>
      <c r="AH248" s="28"/>
      <c r="AK248" s="28"/>
      <c r="AN248" s="28"/>
    </row>
    <row r="249" spans="9:40" s="9" customFormat="1" ht="20.100000000000001" customHeight="1" x14ac:dyDescent="0.25">
      <c r="I249" s="28"/>
      <c r="K249" s="28"/>
      <c r="N249" s="28"/>
      <c r="P249" s="28"/>
      <c r="S249" s="28"/>
      <c r="V249" s="28"/>
      <c r="Y249" s="28"/>
      <c r="AB249" s="28"/>
      <c r="AE249" s="28"/>
      <c r="AH249" s="28"/>
      <c r="AK249" s="28"/>
      <c r="AN249" s="28"/>
    </row>
    <row r="250" spans="9:40" s="9" customFormat="1" ht="20.100000000000001" customHeight="1" x14ac:dyDescent="0.25">
      <c r="I250" s="28"/>
      <c r="K250" s="28"/>
      <c r="N250" s="28"/>
      <c r="P250" s="28"/>
      <c r="S250" s="28"/>
      <c r="V250" s="28"/>
      <c r="Y250" s="28"/>
      <c r="AB250" s="28"/>
      <c r="AE250" s="28"/>
      <c r="AH250" s="28"/>
      <c r="AK250" s="28"/>
      <c r="AN250" s="28"/>
    </row>
    <row r="251" spans="9:40" s="9" customFormat="1" ht="20.100000000000001" customHeight="1" x14ac:dyDescent="0.25">
      <c r="I251" s="28"/>
      <c r="K251" s="28"/>
      <c r="N251" s="28"/>
      <c r="P251" s="28"/>
      <c r="S251" s="28"/>
      <c r="V251" s="28"/>
      <c r="Y251" s="28"/>
      <c r="AB251" s="28"/>
      <c r="AE251" s="28"/>
      <c r="AH251" s="28"/>
      <c r="AK251" s="28"/>
      <c r="AN251" s="28"/>
    </row>
    <row r="252" spans="9:40" s="9" customFormat="1" ht="20.100000000000001" customHeight="1" x14ac:dyDescent="0.25">
      <c r="I252" s="28"/>
      <c r="K252" s="28"/>
      <c r="N252" s="28"/>
      <c r="P252" s="28"/>
      <c r="S252" s="28"/>
      <c r="V252" s="28"/>
      <c r="Y252" s="28"/>
      <c r="AB252" s="28"/>
      <c r="AE252" s="28"/>
      <c r="AH252" s="28"/>
      <c r="AK252" s="28"/>
      <c r="AN252" s="28"/>
    </row>
    <row r="253" spans="9:40" s="9" customFormat="1" ht="20.100000000000001" customHeight="1" x14ac:dyDescent="0.25">
      <c r="I253" s="28"/>
      <c r="K253" s="28"/>
      <c r="N253" s="28"/>
      <c r="P253" s="28"/>
      <c r="S253" s="28"/>
      <c r="V253" s="28"/>
      <c r="Y253" s="28"/>
      <c r="AB253" s="28"/>
      <c r="AE253" s="28"/>
      <c r="AH253" s="28"/>
      <c r="AK253" s="28"/>
      <c r="AN253" s="28"/>
    </row>
    <row r="254" spans="9:40" s="9" customFormat="1" ht="20.100000000000001" customHeight="1" x14ac:dyDescent="0.25">
      <c r="I254" s="28"/>
      <c r="K254" s="28"/>
      <c r="N254" s="28"/>
      <c r="P254" s="28"/>
      <c r="S254" s="28"/>
      <c r="V254" s="28"/>
      <c r="Y254" s="28"/>
      <c r="AB254" s="28"/>
      <c r="AE254" s="28"/>
      <c r="AH254" s="28"/>
      <c r="AK254" s="28"/>
      <c r="AN254" s="28"/>
    </row>
    <row r="255" spans="9:40" s="9" customFormat="1" ht="20.100000000000001" customHeight="1" x14ac:dyDescent="0.25">
      <c r="I255" s="28"/>
      <c r="K255" s="28"/>
      <c r="N255" s="28"/>
      <c r="P255" s="28"/>
      <c r="S255" s="28"/>
      <c r="V255" s="28"/>
      <c r="Y255" s="28"/>
      <c r="AB255" s="28"/>
      <c r="AE255" s="28"/>
      <c r="AH255" s="28"/>
      <c r="AK255" s="28"/>
      <c r="AN255" s="28"/>
    </row>
    <row r="256" spans="9:40" s="9" customFormat="1" ht="20.100000000000001" customHeight="1" x14ac:dyDescent="0.25">
      <c r="I256" s="28"/>
      <c r="K256" s="28"/>
      <c r="N256" s="28"/>
      <c r="P256" s="28"/>
      <c r="S256" s="28"/>
      <c r="V256" s="28"/>
      <c r="Y256" s="28"/>
      <c r="AB256" s="28"/>
      <c r="AE256" s="28"/>
      <c r="AH256" s="28"/>
      <c r="AK256" s="28"/>
      <c r="AN256" s="28"/>
    </row>
    <row r="257" spans="9:40" s="9" customFormat="1" ht="20.100000000000001" customHeight="1" x14ac:dyDescent="0.25">
      <c r="I257" s="28"/>
      <c r="K257" s="28"/>
      <c r="N257" s="28"/>
      <c r="P257" s="28"/>
      <c r="S257" s="28"/>
      <c r="V257" s="28"/>
      <c r="Y257" s="28"/>
      <c r="AB257" s="28"/>
      <c r="AE257" s="28"/>
      <c r="AH257" s="28"/>
      <c r="AK257" s="28"/>
      <c r="AN257" s="28"/>
    </row>
    <row r="258" spans="9:40" s="9" customFormat="1" ht="20.100000000000001" customHeight="1" x14ac:dyDescent="0.25">
      <c r="I258" s="28"/>
      <c r="K258" s="28"/>
      <c r="N258" s="28"/>
      <c r="P258" s="28"/>
      <c r="S258" s="28"/>
      <c r="V258" s="28"/>
      <c r="Y258" s="28"/>
      <c r="AB258" s="28"/>
      <c r="AE258" s="28"/>
      <c r="AH258" s="28"/>
      <c r="AK258" s="28"/>
      <c r="AN258" s="28"/>
    </row>
    <row r="259" spans="9:40" s="9" customFormat="1" ht="20.100000000000001" customHeight="1" x14ac:dyDescent="0.25">
      <c r="I259" s="28"/>
      <c r="K259" s="28"/>
      <c r="N259" s="28"/>
      <c r="P259" s="28"/>
      <c r="S259" s="28"/>
      <c r="V259" s="28"/>
      <c r="Y259" s="28"/>
      <c r="AB259" s="28"/>
      <c r="AE259" s="28"/>
      <c r="AH259" s="28"/>
      <c r="AK259" s="28"/>
      <c r="AN259" s="28"/>
    </row>
    <row r="260" spans="9:40" s="9" customFormat="1" ht="20.100000000000001" customHeight="1" x14ac:dyDescent="0.25">
      <c r="I260" s="28"/>
      <c r="K260" s="28"/>
      <c r="N260" s="28"/>
      <c r="P260" s="28"/>
      <c r="S260" s="28"/>
      <c r="V260" s="28"/>
      <c r="Y260" s="28"/>
      <c r="AB260" s="28"/>
      <c r="AE260" s="28"/>
      <c r="AH260" s="28"/>
      <c r="AK260" s="28"/>
      <c r="AN260" s="28"/>
    </row>
    <row r="261" spans="9:40" s="9" customFormat="1" ht="20.100000000000001" customHeight="1" x14ac:dyDescent="0.25">
      <c r="I261" s="28"/>
      <c r="K261" s="28"/>
      <c r="N261" s="28"/>
      <c r="P261" s="28"/>
      <c r="S261" s="28"/>
      <c r="V261" s="28"/>
      <c r="Y261" s="28"/>
      <c r="AB261" s="28"/>
      <c r="AE261" s="28"/>
      <c r="AH261" s="28"/>
      <c r="AK261" s="28"/>
      <c r="AN261" s="28"/>
    </row>
    <row r="262" spans="9:40" s="9" customFormat="1" ht="20.100000000000001" customHeight="1" x14ac:dyDescent="0.25">
      <c r="I262" s="28"/>
      <c r="K262" s="28"/>
      <c r="N262" s="28"/>
      <c r="P262" s="28"/>
      <c r="S262" s="28"/>
      <c r="V262" s="28"/>
      <c r="Y262" s="28"/>
      <c r="AB262" s="28"/>
      <c r="AE262" s="28"/>
      <c r="AH262" s="28"/>
      <c r="AK262" s="28"/>
      <c r="AN262" s="28"/>
    </row>
    <row r="263" spans="9:40" s="9" customFormat="1" ht="20.100000000000001" customHeight="1" x14ac:dyDescent="0.25">
      <c r="I263" s="28"/>
      <c r="K263" s="28"/>
      <c r="N263" s="28"/>
      <c r="P263" s="28"/>
      <c r="S263" s="28"/>
      <c r="V263" s="28"/>
      <c r="Y263" s="28"/>
      <c r="AB263" s="28"/>
      <c r="AE263" s="28"/>
      <c r="AH263" s="28"/>
      <c r="AK263" s="28"/>
      <c r="AN263" s="28"/>
    </row>
    <row r="264" spans="9:40" s="9" customFormat="1" ht="20.100000000000001" customHeight="1" x14ac:dyDescent="0.25">
      <c r="I264" s="28"/>
      <c r="K264" s="28"/>
      <c r="N264" s="28"/>
      <c r="P264" s="28"/>
      <c r="S264" s="28"/>
      <c r="V264" s="28"/>
      <c r="Y264" s="28"/>
      <c r="AB264" s="28"/>
      <c r="AE264" s="28"/>
      <c r="AH264" s="28"/>
      <c r="AK264" s="28"/>
      <c r="AN264" s="28"/>
    </row>
    <row r="265" spans="9:40" s="9" customFormat="1" ht="20.100000000000001" customHeight="1" x14ac:dyDescent="0.25">
      <c r="I265" s="28"/>
      <c r="K265" s="28"/>
      <c r="N265" s="28"/>
      <c r="P265" s="28"/>
      <c r="S265" s="28"/>
      <c r="V265" s="28"/>
      <c r="Y265" s="28"/>
      <c r="AB265" s="28"/>
      <c r="AE265" s="28"/>
      <c r="AH265" s="28"/>
      <c r="AK265" s="28"/>
      <c r="AN265" s="28"/>
    </row>
    <row r="266" spans="9:40" s="9" customFormat="1" ht="20.100000000000001" customHeight="1" x14ac:dyDescent="0.25">
      <c r="I266" s="28"/>
      <c r="K266" s="28"/>
      <c r="N266" s="28"/>
      <c r="P266" s="28"/>
      <c r="S266" s="28"/>
      <c r="V266" s="28"/>
      <c r="Y266" s="28"/>
      <c r="AB266" s="28"/>
      <c r="AE266" s="28"/>
      <c r="AH266" s="28"/>
      <c r="AK266" s="28"/>
      <c r="AN266" s="28"/>
    </row>
    <row r="267" spans="9:40" s="9" customFormat="1" ht="20.100000000000001" customHeight="1" x14ac:dyDescent="0.25">
      <c r="I267" s="28"/>
      <c r="K267" s="28"/>
      <c r="N267" s="28"/>
      <c r="P267" s="28"/>
      <c r="S267" s="28"/>
      <c r="V267" s="28"/>
      <c r="Y267" s="28"/>
      <c r="AB267" s="28"/>
      <c r="AE267" s="28"/>
      <c r="AH267" s="28"/>
      <c r="AK267" s="28"/>
      <c r="AN267" s="28"/>
    </row>
    <row r="268" spans="9:40" s="9" customFormat="1" ht="20.100000000000001" customHeight="1" x14ac:dyDescent="0.25">
      <c r="I268" s="28"/>
      <c r="K268" s="28"/>
      <c r="N268" s="28"/>
      <c r="P268" s="28"/>
      <c r="S268" s="28"/>
      <c r="V268" s="28"/>
      <c r="Y268" s="28"/>
      <c r="AB268" s="28"/>
      <c r="AE268" s="28"/>
      <c r="AH268" s="28"/>
      <c r="AK268" s="28"/>
      <c r="AN268" s="28"/>
    </row>
    <row r="269" spans="9:40" s="9" customFormat="1" ht="20.100000000000001" customHeight="1" x14ac:dyDescent="0.25">
      <c r="I269" s="28"/>
      <c r="K269" s="28"/>
      <c r="N269" s="28"/>
      <c r="P269" s="28"/>
      <c r="S269" s="28"/>
      <c r="V269" s="28"/>
      <c r="Y269" s="28"/>
      <c r="AB269" s="28"/>
      <c r="AE269" s="28"/>
      <c r="AH269" s="28"/>
      <c r="AK269" s="28"/>
      <c r="AN269" s="28"/>
    </row>
    <row r="270" spans="9:40" s="9" customFormat="1" ht="20.100000000000001" customHeight="1" x14ac:dyDescent="0.25">
      <c r="I270" s="28"/>
      <c r="K270" s="28"/>
      <c r="N270" s="28"/>
      <c r="P270" s="28"/>
      <c r="S270" s="28"/>
      <c r="V270" s="28"/>
      <c r="Y270" s="28"/>
      <c r="AB270" s="28"/>
      <c r="AE270" s="28"/>
      <c r="AH270" s="28"/>
      <c r="AK270" s="28"/>
      <c r="AN270" s="28"/>
    </row>
    <row r="271" spans="9:40" s="9" customFormat="1" ht="20.100000000000001" customHeight="1" x14ac:dyDescent="0.25">
      <c r="I271" s="28"/>
      <c r="K271" s="28"/>
      <c r="N271" s="28"/>
      <c r="P271" s="28"/>
      <c r="S271" s="28"/>
      <c r="V271" s="28"/>
      <c r="Y271" s="28"/>
      <c r="AB271" s="28"/>
      <c r="AE271" s="28"/>
      <c r="AH271" s="28"/>
      <c r="AK271" s="28"/>
      <c r="AN271" s="28"/>
    </row>
    <row r="272" spans="9:40" s="9" customFormat="1" ht="20.100000000000001" customHeight="1" x14ac:dyDescent="0.25">
      <c r="I272" s="28"/>
      <c r="K272" s="28"/>
      <c r="N272" s="28"/>
      <c r="P272" s="28"/>
      <c r="S272" s="28"/>
      <c r="V272" s="28"/>
      <c r="Y272" s="28"/>
      <c r="AB272" s="28"/>
      <c r="AE272" s="28"/>
      <c r="AH272" s="28"/>
      <c r="AK272" s="28"/>
      <c r="AN272" s="28"/>
    </row>
    <row r="273" spans="9:40" s="9" customFormat="1" ht="20.100000000000001" customHeight="1" x14ac:dyDescent="0.25">
      <c r="I273" s="28"/>
      <c r="K273" s="28"/>
      <c r="N273" s="28"/>
      <c r="P273" s="28"/>
      <c r="S273" s="28"/>
      <c r="V273" s="28"/>
      <c r="Y273" s="28"/>
      <c r="AB273" s="28"/>
      <c r="AE273" s="28"/>
      <c r="AH273" s="28"/>
      <c r="AK273" s="28"/>
      <c r="AN273" s="28"/>
    </row>
    <row r="274" spans="9:40" s="9" customFormat="1" ht="20.100000000000001" customHeight="1" x14ac:dyDescent="0.25">
      <c r="I274" s="28"/>
      <c r="K274" s="28"/>
      <c r="N274" s="28"/>
      <c r="P274" s="28"/>
      <c r="S274" s="28"/>
      <c r="V274" s="28"/>
      <c r="Y274" s="28"/>
      <c r="AB274" s="28"/>
      <c r="AE274" s="28"/>
      <c r="AH274" s="28"/>
      <c r="AK274" s="28"/>
      <c r="AN274" s="28"/>
    </row>
    <row r="275" spans="9:40" s="9" customFormat="1" ht="20.100000000000001" customHeight="1" x14ac:dyDescent="0.25">
      <c r="I275" s="28"/>
      <c r="K275" s="28"/>
      <c r="N275" s="28"/>
      <c r="P275" s="28"/>
      <c r="S275" s="28"/>
      <c r="V275" s="28"/>
      <c r="Y275" s="28"/>
      <c r="AB275" s="28"/>
      <c r="AE275" s="28"/>
      <c r="AH275" s="28"/>
      <c r="AK275" s="28"/>
      <c r="AN275" s="28"/>
    </row>
    <row r="276" spans="9:40" s="9" customFormat="1" ht="20.100000000000001" customHeight="1" x14ac:dyDescent="0.25">
      <c r="I276" s="28"/>
      <c r="K276" s="28"/>
      <c r="N276" s="28"/>
      <c r="P276" s="28"/>
      <c r="S276" s="28"/>
      <c r="V276" s="28"/>
      <c r="Y276" s="28"/>
      <c r="AB276" s="28"/>
      <c r="AE276" s="28"/>
      <c r="AH276" s="28"/>
      <c r="AK276" s="28"/>
      <c r="AN276" s="28"/>
    </row>
    <row r="277" spans="9:40" s="9" customFormat="1" ht="20.100000000000001" customHeight="1" x14ac:dyDescent="0.25">
      <c r="I277" s="28"/>
      <c r="K277" s="28"/>
      <c r="N277" s="28"/>
      <c r="P277" s="28"/>
      <c r="S277" s="28"/>
      <c r="V277" s="28"/>
      <c r="Y277" s="28"/>
      <c r="AB277" s="28"/>
      <c r="AE277" s="28"/>
      <c r="AH277" s="28"/>
      <c r="AK277" s="28"/>
      <c r="AN277" s="28"/>
    </row>
    <row r="278" spans="9:40" s="9" customFormat="1" ht="20.100000000000001" customHeight="1" x14ac:dyDescent="0.25">
      <c r="I278" s="28"/>
      <c r="K278" s="28"/>
      <c r="N278" s="28"/>
      <c r="P278" s="28"/>
      <c r="S278" s="28"/>
      <c r="V278" s="28"/>
      <c r="Y278" s="28"/>
      <c r="AB278" s="28"/>
      <c r="AE278" s="28"/>
      <c r="AH278" s="28"/>
      <c r="AK278" s="28"/>
      <c r="AN278" s="28"/>
    </row>
    <row r="279" spans="9:40" s="9" customFormat="1" ht="20.100000000000001" customHeight="1" x14ac:dyDescent="0.25">
      <c r="I279" s="28"/>
      <c r="K279" s="28"/>
      <c r="N279" s="28"/>
      <c r="P279" s="28"/>
      <c r="S279" s="28"/>
      <c r="V279" s="28"/>
      <c r="Y279" s="28"/>
      <c r="AB279" s="28"/>
      <c r="AE279" s="28"/>
      <c r="AH279" s="28"/>
      <c r="AK279" s="28"/>
      <c r="AN279" s="28"/>
    </row>
    <row r="280" spans="9:40" s="9" customFormat="1" ht="20.100000000000001" customHeight="1" x14ac:dyDescent="0.25">
      <c r="I280" s="28"/>
      <c r="K280" s="28"/>
      <c r="N280" s="28"/>
      <c r="P280" s="28"/>
      <c r="S280" s="28"/>
      <c r="V280" s="28"/>
      <c r="Y280" s="28"/>
      <c r="AB280" s="28"/>
      <c r="AE280" s="28"/>
      <c r="AH280" s="28"/>
      <c r="AK280" s="28"/>
      <c r="AN280" s="28"/>
    </row>
    <row r="281" spans="9:40" s="9" customFormat="1" ht="20.100000000000001" customHeight="1" x14ac:dyDescent="0.25">
      <c r="I281" s="28"/>
      <c r="K281" s="28"/>
      <c r="N281" s="28"/>
      <c r="P281" s="28"/>
      <c r="S281" s="28"/>
      <c r="V281" s="28"/>
      <c r="Y281" s="28"/>
      <c r="AB281" s="28"/>
      <c r="AE281" s="28"/>
      <c r="AH281" s="28"/>
      <c r="AK281" s="28"/>
      <c r="AN281" s="28"/>
    </row>
    <row r="282" spans="9:40" s="9" customFormat="1" ht="20.100000000000001" customHeight="1" x14ac:dyDescent="0.25">
      <c r="I282" s="28"/>
      <c r="K282" s="28"/>
      <c r="N282" s="28"/>
      <c r="P282" s="28"/>
      <c r="S282" s="28"/>
      <c r="V282" s="28"/>
      <c r="Y282" s="28"/>
      <c r="AB282" s="28"/>
      <c r="AE282" s="28"/>
      <c r="AH282" s="28"/>
      <c r="AK282" s="28"/>
      <c r="AN282" s="28"/>
    </row>
    <row r="283" spans="9:40" s="9" customFormat="1" ht="20.100000000000001" customHeight="1" x14ac:dyDescent="0.25">
      <c r="I283" s="28"/>
      <c r="K283" s="28"/>
      <c r="N283" s="28"/>
      <c r="P283" s="28"/>
      <c r="S283" s="28"/>
      <c r="V283" s="28"/>
      <c r="Y283" s="28"/>
      <c r="AB283" s="28"/>
      <c r="AE283" s="28"/>
      <c r="AH283" s="28"/>
      <c r="AK283" s="28"/>
      <c r="AN283" s="28"/>
    </row>
    <row r="284" spans="9:40" s="9" customFormat="1" ht="20.100000000000001" customHeight="1" x14ac:dyDescent="0.25">
      <c r="I284" s="28"/>
      <c r="K284" s="28"/>
      <c r="N284" s="28"/>
      <c r="P284" s="28"/>
      <c r="S284" s="28"/>
      <c r="V284" s="28"/>
      <c r="Y284" s="28"/>
      <c r="AB284" s="28"/>
      <c r="AE284" s="28"/>
      <c r="AH284" s="28"/>
      <c r="AK284" s="28"/>
      <c r="AN284" s="28"/>
    </row>
    <row r="285" spans="9:40" s="9" customFormat="1" ht="20.100000000000001" customHeight="1" x14ac:dyDescent="0.25">
      <c r="I285" s="28"/>
      <c r="K285" s="28"/>
      <c r="N285" s="28"/>
      <c r="P285" s="28"/>
      <c r="S285" s="28"/>
      <c r="V285" s="28"/>
      <c r="Y285" s="28"/>
      <c r="AB285" s="28"/>
      <c r="AE285" s="28"/>
      <c r="AH285" s="28"/>
      <c r="AK285" s="28"/>
      <c r="AN285" s="28"/>
    </row>
    <row r="286" spans="9:40" s="9" customFormat="1" ht="20.100000000000001" customHeight="1" x14ac:dyDescent="0.25">
      <c r="I286" s="28"/>
      <c r="K286" s="28"/>
      <c r="N286" s="28"/>
      <c r="P286" s="28"/>
      <c r="S286" s="28"/>
      <c r="V286" s="28"/>
      <c r="Y286" s="28"/>
      <c r="AB286" s="28"/>
      <c r="AE286" s="28"/>
      <c r="AH286" s="28"/>
      <c r="AK286" s="28"/>
      <c r="AN286" s="28"/>
    </row>
    <row r="287" spans="9:40" s="9" customFormat="1" ht="20.100000000000001" customHeight="1" x14ac:dyDescent="0.25">
      <c r="I287" s="28"/>
      <c r="K287" s="28"/>
      <c r="N287" s="28"/>
      <c r="P287" s="28"/>
      <c r="S287" s="28"/>
      <c r="V287" s="28"/>
      <c r="Y287" s="28"/>
      <c r="AB287" s="28"/>
      <c r="AE287" s="28"/>
      <c r="AH287" s="28"/>
      <c r="AK287" s="28"/>
      <c r="AN287" s="28"/>
    </row>
    <row r="288" spans="9:40" s="9" customFormat="1" ht="20.100000000000001" customHeight="1" x14ac:dyDescent="0.25">
      <c r="I288" s="28"/>
      <c r="K288" s="28"/>
      <c r="N288" s="28"/>
      <c r="P288" s="28"/>
      <c r="S288" s="28"/>
      <c r="V288" s="28"/>
      <c r="Y288" s="28"/>
      <c r="AB288" s="28"/>
      <c r="AE288" s="28"/>
      <c r="AH288" s="28"/>
      <c r="AK288" s="28"/>
      <c r="AN288" s="28"/>
    </row>
    <row r="289" spans="9:40" s="9" customFormat="1" ht="20.100000000000001" customHeight="1" x14ac:dyDescent="0.25">
      <c r="I289" s="28"/>
      <c r="K289" s="28"/>
      <c r="N289" s="28"/>
      <c r="P289" s="28"/>
      <c r="S289" s="28"/>
      <c r="V289" s="28"/>
      <c r="Y289" s="28"/>
      <c r="AB289" s="28"/>
      <c r="AE289" s="28"/>
      <c r="AH289" s="28"/>
      <c r="AK289" s="28"/>
      <c r="AN289" s="28"/>
    </row>
    <row r="290" spans="9:40" s="9" customFormat="1" ht="20.100000000000001" customHeight="1" x14ac:dyDescent="0.25">
      <c r="I290" s="28"/>
      <c r="K290" s="28"/>
      <c r="N290" s="28"/>
      <c r="P290" s="28"/>
      <c r="S290" s="28"/>
      <c r="V290" s="28"/>
      <c r="Y290" s="28"/>
      <c r="AB290" s="28"/>
      <c r="AE290" s="28"/>
      <c r="AH290" s="28"/>
      <c r="AK290" s="28"/>
      <c r="AN290" s="28"/>
    </row>
    <row r="291" spans="9:40" s="9" customFormat="1" ht="20.100000000000001" customHeight="1" x14ac:dyDescent="0.25">
      <c r="I291" s="28"/>
      <c r="K291" s="28"/>
      <c r="N291" s="28"/>
      <c r="P291" s="28"/>
      <c r="S291" s="28"/>
      <c r="V291" s="28"/>
      <c r="Y291" s="28"/>
      <c r="AB291" s="28"/>
      <c r="AE291" s="28"/>
      <c r="AH291" s="28"/>
      <c r="AK291" s="28"/>
      <c r="AN291" s="28"/>
    </row>
    <row r="292" spans="9:40" s="9" customFormat="1" ht="20.100000000000001" customHeight="1" x14ac:dyDescent="0.25">
      <c r="I292" s="28"/>
      <c r="K292" s="28"/>
      <c r="N292" s="28"/>
      <c r="P292" s="28"/>
      <c r="S292" s="28"/>
      <c r="V292" s="28"/>
      <c r="Y292" s="28"/>
      <c r="AB292" s="28"/>
      <c r="AE292" s="28"/>
      <c r="AH292" s="28"/>
      <c r="AK292" s="28"/>
      <c r="AN292" s="28"/>
    </row>
    <row r="293" spans="9:40" s="9" customFormat="1" ht="20.100000000000001" customHeight="1" x14ac:dyDescent="0.25">
      <c r="I293" s="28"/>
      <c r="K293" s="28"/>
      <c r="N293" s="28"/>
      <c r="P293" s="28"/>
      <c r="S293" s="28"/>
      <c r="V293" s="28"/>
      <c r="Y293" s="28"/>
      <c r="AB293" s="28"/>
      <c r="AE293" s="28"/>
      <c r="AH293" s="28"/>
      <c r="AK293" s="28"/>
      <c r="AN293" s="28"/>
    </row>
    <row r="294" spans="9:40" s="9" customFormat="1" ht="20.100000000000001" customHeight="1" x14ac:dyDescent="0.25">
      <c r="I294" s="28"/>
      <c r="K294" s="28"/>
      <c r="N294" s="28"/>
      <c r="P294" s="28"/>
      <c r="S294" s="28"/>
      <c r="V294" s="28"/>
      <c r="Y294" s="28"/>
      <c r="AB294" s="28"/>
      <c r="AE294" s="28"/>
      <c r="AH294" s="28"/>
      <c r="AK294" s="28"/>
      <c r="AN294" s="28"/>
    </row>
    <row r="295" spans="9:40" s="9" customFormat="1" ht="20.100000000000001" customHeight="1" x14ac:dyDescent="0.25">
      <c r="I295" s="28"/>
      <c r="K295" s="28"/>
      <c r="N295" s="28"/>
      <c r="P295" s="28"/>
      <c r="S295" s="28"/>
      <c r="V295" s="28"/>
      <c r="Y295" s="28"/>
      <c r="AB295" s="28"/>
      <c r="AE295" s="28"/>
      <c r="AH295" s="28"/>
      <c r="AK295" s="28"/>
      <c r="AN295" s="28"/>
    </row>
    <row r="296" spans="9:40" s="9" customFormat="1" ht="20.100000000000001" customHeight="1" x14ac:dyDescent="0.25">
      <c r="I296" s="28"/>
      <c r="K296" s="28"/>
      <c r="N296" s="28"/>
      <c r="P296" s="28"/>
      <c r="S296" s="28"/>
      <c r="V296" s="28"/>
      <c r="Y296" s="28"/>
      <c r="AB296" s="28"/>
      <c r="AE296" s="28"/>
      <c r="AH296" s="28"/>
      <c r="AK296" s="28"/>
      <c r="AN296" s="28"/>
    </row>
    <row r="297" spans="9:40" s="9" customFormat="1" ht="20.100000000000001" customHeight="1" x14ac:dyDescent="0.25">
      <c r="I297" s="28"/>
      <c r="K297" s="28"/>
      <c r="N297" s="28"/>
      <c r="P297" s="28"/>
      <c r="S297" s="28"/>
      <c r="V297" s="28"/>
      <c r="Y297" s="28"/>
      <c r="AB297" s="28"/>
      <c r="AE297" s="28"/>
      <c r="AH297" s="28"/>
      <c r="AK297" s="28"/>
      <c r="AN297" s="28"/>
    </row>
    <row r="298" spans="9:40" s="9" customFormat="1" ht="20.100000000000001" customHeight="1" x14ac:dyDescent="0.25">
      <c r="I298" s="28"/>
      <c r="K298" s="28"/>
      <c r="N298" s="28"/>
      <c r="P298" s="28"/>
      <c r="S298" s="28"/>
      <c r="V298" s="28"/>
      <c r="Y298" s="28"/>
      <c r="AB298" s="28"/>
      <c r="AE298" s="28"/>
      <c r="AH298" s="28"/>
      <c r="AK298" s="28"/>
      <c r="AN298" s="28"/>
    </row>
    <row r="299" spans="9:40" s="9" customFormat="1" ht="20.100000000000001" customHeight="1" x14ac:dyDescent="0.25">
      <c r="I299" s="28"/>
      <c r="K299" s="28"/>
      <c r="N299" s="28"/>
      <c r="P299" s="28"/>
      <c r="S299" s="28"/>
      <c r="V299" s="28"/>
      <c r="Y299" s="28"/>
      <c r="AB299" s="28"/>
      <c r="AE299" s="28"/>
      <c r="AH299" s="28"/>
      <c r="AK299" s="28"/>
      <c r="AN299" s="28"/>
    </row>
    <row r="300" spans="9:40" s="9" customFormat="1" ht="20.100000000000001" customHeight="1" x14ac:dyDescent="0.25">
      <c r="I300" s="28"/>
      <c r="K300" s="28"/>
      <c r="N300" s="28"/>
      <c r="P300" s="28"/>
      <c r="S300" s="28"/>
      <c r="V300" s="28"/>
      <c r="Y300" s="28"/>
      <c r="AB300" s="28"/>
      <c r="AE300" s="28"/>
      <c r="AH300" s="28"/>
      <c r="AK300" s="28"/>
      <c r="AN300" s="28"/>
    </row>
    <row r="301" spans="9:40" s="9" customFormat="1" ht="20.100000000000001" customHeight="1" x14ac:dyDescent="0.25">
      <c r="I301" s="28"/>
      <c r="K301" s="28"/>
      <c r="N301" s="28"/>
      <c r="P301" s="28"/>
      <c r="S301" s="28"/>
      <c r="V301" s="28"/>
      <c r="Y301" s="28"/>
      <c r="AB301" s="28"/>
      <c r="AE301" s="28"/>
      <c r="AH301" s="28"/>
      <c r="AK301" s="28"/>
      <c r="AN301" s="28"/>
    </row>
    <row r="302" spans="9:40" s="9" customFormat="1" ht="20.100000000000001" customHeight="1" x14ac:dyDescent="0.25">
      <c r="I302" s="28"/>
      <c r="K302" s="28"/>
      <c r="N302" s="28"/>
      <c r="P302" s="28"/>
      <c r="S302" s="28"/>
      <c r="V302" s="28"/>
      <c r="Y302" s="28"/>
      <c r="AB302" s="28"/>
      <c r="AE302" s="28"/>
      <c r="AH302" s="28"/>
      <c r="AK302" s="28"/>
      <c r="AN302" s="28"/>
    </row>
    <row r="303" spans="9:40" s="9" customFormat="1" ht="20.100000000000001" customHeight="1" x14ac:dyDescent="0.25">
      <c r="I303" s="28"/>
      <c r="K303" s="28"/>
      <c r="N303" s="28"/>
      <c r="P303" s="28"/>
      <c r="S303" s="28"/>
      <c r="V303" s="28"/>
      <c r="Y303" s="28"/>
      <c r="AB303" s="28"/>
      <c r="AE303" s="28"/>
      <c r="AH303" s="28"/>
      <c r="AK303" s="28"/>
      <c r="AN303" s="28"/>
    </row>
    <row r="304" spans="9:40" s="9" customFormat="1" ht="20.100000000000001" customHeight="1" x14ac:dyDescent="0.25">
      <c r="I304" s="28"/>
      <c r="K304" s="28"/>
      <c r="N304" s="28"/>
      <c r="P304" s="28"/>
      <c r="S304" s="28"/>
      <c r="V304" s="28"/>
      <c r="Y304" s="28"/>
      <c r="AB304" s="28"/>
      <c r="AE304" s="28"/>
      <c r="AH304" s="28"/>
      <c r="AK304" s="28"/>
      <c r="AN304" s="28"/>
    </row>
    <row r="305" spans="9:40" s="9" customFormat="1" ht="20.100000000000001" customHeight="1" x14ac:dyDescent="0.25">
      <c r="I305" s="28"/>
      <c r="K305" s="28"/>
      <c r="N305" s="28"/>
      <c r="P305" s="28"/>
      <c r="S305" s="28"/>
      <c r="V305" s="28"/>
      <c r="Y305" s="28"/>
      <c r="AB305" s="28"/>
      <c r="AE305" s="28"/>
      <c r="AH305" s="28"/>
      <c r="AK305" s="28"/>
      <c r="AN305" s="28"/>
    </row>
    <row r="306" spans="9:40" s="9" customFormat="1" ht="20.100000000000001" customHeight="1" x14ac:dyDescent="0.25">
      <c r="I306" s="28"/>
      <c r="K306" s="28"/>
      <c r="N306" s="28"/>
      <c r="P306" s="28"/>
      <c r="S306" s="28"/>
      <c r="V306" s="28"/>
      <c r="Y306" s="28"/>
      <c r="AB306" s="28"/>
      <c r="AE306" s="28"/>
      <c r="AH306" s="28"/>
      <c r="AK306" s="28"/>
      <c r="AN306" s="28"/>
    </row>
    <row r="307" spans="9:40" s="9" customFormat="1" ht="20.100000000000001" customHeight="1" x14ac:dyDescent="0.25">
      <c r="I307" s="28"/>
      <c r="K307" s="28"/>
      <c r="N307" s="28"/>
      <c r="P307" s="28"/>
      <c r="S307" s="28"/>
      <c r="V307" s="28"/>
      <c r="Y307" s="28"/>
      <c r="AB307" s="28"/>
      <c r="AE307" s="28"/>
      <c r="AH307" s="28"/>
      <c r="AK307" s="28"/>
      <c r="AN307" s="28"/>
    </row>
    <row r="308" spans="9:40" s="9" customFormat="1" ht="20.100000000000001" customHeight="1" x14ac:dyDescent="0.25">
      <c r="I308" s="28"/>
      <c r="K308" s="28"/>
      <c r="N308" s="28"/>
      <c r="P308" s="28"/>
      <c r="S308" s="28"/>
      <c r="V308" s="28"/>
      <c r="Y308" s="28"/>
      <c r="AB308" s="28"/>
      <c r="AE308" s="28"/>
      <c r="AH308" s="28"/>
      <c r="AK308" s="28"/>
      <c r="AN308" s="28"/>
    </row>
    <row r="309" spans="9:40" s="9" customFormat="1" ht="20.100000000000001" customHeight="1" x14ac:dyDescent="0.25">
      <c r="I309" s="28"/>
      <c r="K309" s="28"/>
      <c r="N309" s="28"/>
      <c r="P309" s="28"/>
      <c r="S309" s="28"/>
      <c r="V309" s="28"/>
      <c r="Y309" s="28"/>
      <c r="AB309" s="28"/>
      <c r="AE309" s="28"/>
      <c r="AH309" s="28"/>
      <c r="AK309" s="28"/>
      <c r="AN309" s="28"/>
    </row>
    <row r="310" spans="9:40" s="9" customFormat="1" ht="20.100000000000001" customHeight="1" x14ac:dyDescent="0.25">
      <c r="I310" s="28"/>
      <c r="K310" s="28"/>
      <c r="N310" s="28"/>
      <c r="P310" s="28"/>
      <c r="S310" s="28"/>
      <c r="V310" s="28"/>
      <c r="Y310" s="28"/>
      <c r="AB310" s="28"/>
      <c r="AE310" s="28"/>
      <c r="AH310" s="28"/>
      <c r="AK310" s="28"/>
      <c r="AN310" s="28"/>
    </row>
    <row r="311" spans="9:40" s="9" customFormat="1" ht="20.100000000000001" customHeight="1" x14ac:dyDescent="0.25">
      <c r="I311" s="28"/>
      <c r="K311" s="28"/>
      <c r="N311" s="28"/>
      <c r="P311" s="28"/>
      <c r="S311" s="28"/>
      <c r="V311" s="28"/>
      <c r="Y311" s="28"/>
      <c r="AB311" s="28"/>
      <c r="AE311" s="28"/>
      <c r="AH311" s="28"/>
      <c r="AK311" s="28"/>
      <c r="AN311" s="28"/>
    </row>
    <row r="312" spans="9:40" s="9" customFormat="1" ht="20.100000000000001" customHeight="1" x14ac:dyDescent="0.25">
      <c r="I312" s="28"/>
      <c r="K312" s="28"/>
      <c r="N312" s="28"/>
      <c r="P312" s="28"/>
      <c r="S312" s="28"/>
      <c r="V312" s="28"/>
      <c r="Y312" s="28"/>
      <c r="AB312" s="28"/>
      <c r="AE312" s="28"/>
      <c r="AH312" s="28"/>
      <c r="AK312" s="28"/>
      <c r="AN312" s="28"/>
    </row>
    <row r="313" spans="9:40" s="9" customFormat="1" ht="20.100000000000001" customHeight="1" x14ac:dyDescent="0.25">
      <c r="I313" s="28"/>
      <c r="K313" s="28"/>
      <c r="N313" s="28"/>
      <c r="P313" s="28"/>
      <c r="S313" s="28"/>
      <c r="V313" s="28"/>
      <c r="Y313" s="28"/>
      <c r="AB313" s="28"/>
      <c r="AE313" s="28"/>
      <c r="AH313" s="28"/>
      <c r="AK313" s="28"/>
      <c r="AN313" s="28"/>
    </row>
    <row r="314" spans="9:40" s="9" customFormat="1" ht="20.100000000000001" customHeight="1" x14ac:dyDescent="0.25">
      <c r="I314" s="28"/>
      <c r="K314" s="28"/>
      <c r="N314" s="28"/>
      <c r="P314" s="28"/>
      <c r="S314" s="28"/>
      <c r="V314" s="28"/>
      <c r="Y314" s="28"/>
      <c r="AB314" s="28"/>
      <c r="AE314" s="28"/>
      <c r="AH314" s="28"/>
      <c r="AK314" s="28"/>
      <c r="AN314" s="28"/>
    </row>
    <row r="315" spans="9:40" s="9" customFormat="1" ht="20.100000000000001" customHeight="1" x14ac:dyDescent="0.25">
      <c r="I315" s="28"/>
      <c r="K315" s="28"/>
      <c r="N315" s="28"/>
      <c r="P315" s="28"/>
      <c r="S315" s="28"/>
      <c r="V315" s="28"/>
      <c r="Y315" s="28"/>
      <c r="AB315" s="28"/>
      <c r="AE315" s="28"/>
      <c r="AH315" s="28"/>
      <c r="AK315" s="28"/>
      <c r="AN315" s="28"/>
    </row>
    <row r="316" spans="9:40" s="9" customFormat="1" ht="20.100000000000001" customHeight="1" x14ac:dyDescent="0.25">
      <c r="I316" s="28"/>
      <c r="K316" s="28"/>
      <c r="N316" s="28"/>
      <c r="P316" s="28"/>
      <c r="S316" s="28"/>
      <c r="V316" s="28"/>
      <c r="Y316" s="28"/>
      <c r="AB316" s="28"/>
      <c r="AE316" s="28"/>
      <c r="AH316" s="28"/>
      <c r="AK316" s="28"/>
      <c r="AN316" s="28"/>
    </row>
    <row r="317" spans="9:40" s="9" customFormat="1" ht="20.100000000000001" customHeight="1" x14ac:dyDescent="0.25">
      <c r="I317" s="28"/>
      <c r="K317" s="28"/>
      <c r="N317" s="28"/>
      <c r="P317" s="28"/>
      <c r="S317" s="28"/>
      <c r="V317" s="28"/>
      <c r="Y317" s="28"/>
      <c r="AB317" s="28"/>
      <c r="AE317" s="28"/>
      <c r="AH317" s="28"/>
      <c r="AK317" s="28"/>
      <c r="AN317" s="28"/>
    </row>
    <row r="318" spans="9:40" s="9" customFormat="1" ht="20.100000000000001" customHeight="1" x14ac:dyDescent="0.25">
      <c r="I318" s="28"/>
      <c r="K318" s="28"/>
      <c r="N318" s="28"/>
      <c r="P318" s="28"/>
      <c r="S318" s="28"/>
      <c r="V318" s="28"/>
      <c r="Y318" s="28"/>
      <c r="AB318" s="28"/>
      <c r="AE318" s="28"/>
      <c r="AH318" s="28"/>
      <c r="AK318" s="28"/>
      <c r="AN318" s="28"/>
    </row>
    <row r="319" spans="9:40" s="9" customFormat="1" ht="20.100000000000001" customHeight="1" x14ac:dyDescent="0.25">
      <c r="I319" s="28"/>
      <c r="K319" s="28"/>
      <c r="N319" s="28"/>
      <c r="P319" s="28"/>
      <c r="S319" s="28"/>
      <c r="V319" s="28"/>
      <c r="Y319" s="28"/>
      <c r="AB319" s="28"/>
      <c r="AE319" s="28"/>
      <c r="AH319" s="28"/>
      <c r="AK319" s="28"/>
      <c r="AN319" s="28"/>
    </row>
    <row r="320" spans="9:40" s="9" customFormat="1" ht="20.100000000000001" customHeight="1" x14ac:dyDescent="0.25">
      <c r="I320" s="28"/>
      <c r="K320" s="28"/>
      <c r="N320" s="28"/>
      <c r="P320" s="28"/>
      <c r="S320" s="28"/>
      <c r="V320" s="28"/>
      <c r="Y320" s="28"/>
      <c r="AB320" s="28"/>
      <c r="AE320" s="28"/>
      <c r="AH320" s="28"/>
      <c r="AK320" s="28"/>
      <c r="AN320" s="28"/>
    </row>
    <row r="321" spans="9:40" s="9" customFormat="1" ht="20.100000000000001" customHeight="1" x14ac:dyDescent="0.25">
      <c r="I321" s="28"/>
      <c r="K321" s="28"/>
      <c r="N321" s="28"/>
      <c r="P321" s="28"/>
      <c r="S321" s="28"/>
      <c r="V321" s="28"/>
      <c r="Y321" s="28"/>
      <c r="AB321" s="28"/>
      <c r="AE321" s="28"/>
      <c r="AH321" s="28"/>
      <c r="AK321" s="28"/>
      <c r="AN321" s="28"/>
    </row>
    <row r="322" spans="9:40" s="9" customFormat="1" ht="20.100000000000001" customHeight="1" x14ac:dyDescent="0.25">
      <c r="I322" s="28"/>
      <c r="K322" s="28"/>
      <c r="N322" s="28"/>
      <c r="P322" s="28"/>
      <c r="S322" s="28"/>
      <c r="V322" s="28"/>
      <c r="Y322" s="28"/>
      <c r="AB322" s="28"/>
      <c r="AE322" s="28"/>
      <c r="AH322" s="28"/>
      <c r="AK322" s="28"/>
      <c r="AN322" s="28"/>
    </row>
    <row r="323" spans="9:40" s="9" customFormat="1" ht="20.100000000000001" customHeight="1" x14ac:dyDescent="0.25">
      <c r="I323" s="28"/>
      <c r="K323" s="28"/>
      <c r="N323" s="28"/>
      <c r="P323" s="28"/>
      <c r="S323" s="28"/>
      <c r="V323" s="28"/>
      <c r="Y323" s="28"/>
      <c r="AB323" s="28"/>
      <c r="AE323" s="28"/>
      <c r="AH323" s="28"/>
      <c r="AK323" s="28"/>
      <c r="AN323" s="28"/>
    </row>
    <row r="324" spans="9:40" s="9" customFormat="1" ht="20.100000000000001" customHeight="1" x14ac:dyDescent="0.25">
      <c r="I324" s="28"/>
      <c r="K324" s="28"/>
      <c r="N324" s="28"/>
      <c r="P324" s="28"/>
      <c r="S324" s="28"/>
      <c r="V324" s="28"/>
      <c r="Y324" s="28"/>
      <c r="AB324" s="28"/>
      <c r="AE324" s="28"/>
      <c r="AH324" s="28"/>
      <c r="AK324" s="28"/>
      <c r="AN324" s="28"/>
    </row>
    <row r="325" spans="9:40" s="9" customFormat="1" ht="20.100000000000001" customHeight="1" x14ac:dyDescent="0.25">
      <c r="I325" s="28"/>
      <c r="K325" s="28"/>
      <c r="N325" s="28"/>
      <c r="P325" s="28"/>
      <c r="S325" s="28"/>
      <c r="V325" s="28"/>
      <c r="Y325" s="28"/>
      <c r="AB325" s="28"/>
      <c r="AE325" s="28"/>
      <c r="AH325" s="28"/>
      <c r="AK325" s="28"/>
      <c r="AN325" s="28"/>
    </row>
    <row r="326" spans="9:40" s="9" customFormat="1" ht="20.100000000000001" customHeight="1" x14ac:dyDescent="0.25">
      <c r="I326" s="28"/>
      <c r="K326" s="28"/>
      <c r="N326" s="28"/>
      <c r="P326" s="28"/>
      <c r="S326" s="28"/>
      <c r="V326" s="28"/>
      <c r="Y326" s="28"/>
      <c r="AB326" s="28"/>
      <c r="AE326" s="28"/>
      <c r="AH326" s="28"/>
      <c r="AK326" s="28"/>
      <c r="AN326" s="28"/>
    </row>
    <row r="327" spans="9:40" s="9" customFormat="1" ht="20.100000000000001" customHeight="1" x14ac:dyDescent="0.25">
      <c r="I327" s="28"/>
      <c r="K327" s="28"/>
      <c r="N327" s="28"/>
      <c r="P327" s="28"/>
      <c r="S327" s="28"/>
      <c r="V327" s="28"/>
      <c r="Y327" s="28"/>
      <c r="AB327" s="28"/>
      <c r="AE327" s="28"/>
      <c r="AH327" s="28"/>
      <c r="AK327" s="28"/>
      <c r="AN327" s="28"/>
    </row>
    <row r="328" spans="9:40" s="9" customFormat="1" ht="20.100000000000001" customHeight="1" x14ac:dyDescent="0.25">
      <c r="I328" s="28"/>
      <c r="K328" s="28"/>
      <c r="N328" s="28"/>
      <c r="P328" s="28"/>
      <c r="S328" s="28"/>
      <c r="V328" s="28"/>
      <c r="Y328" s="28"/>
      <c r="AB328" s="28"/>
      <c r="AE328" s="28"/>
      <c r="AH328" s="28"/>
      <c r="AK328" s="28"/>
      <c r="AN328" s="28"/>
    </row>
    <row r="329" spans="9:40" s="9" customFormat="1" ht="20.100000000000001" customHeight="1" x14ac:dyDescent="0.25">
      <c r="I329" s="28"/>
      <c r="K329" s="28"/>
      <c r="N329" s="28"/>
      <c r="P329" s="28"/>
      <c r="S329" s="28"/>
      <c r="V329" s="28"/>
      <c r="Y329" s="28"/>
      <c r="AB329" s="28"/>
      <c r="AE329" s="28"/>
      <c r="AH329" s="28"/>
      <c r="AK329" s="28"/>
      <c r="AN329" s="28"/>
    </row>
    <row r="330" spans="9:40" s="9" customFormat="1" ht="20.100000000000001" customHeight="1" x14ac:dyDescent="0.25">
      <c r="I330" s="28"/>
      <c r="K330" s="28"/>
      <c r="N330" s="28"/>
      <c r="P330" s="28"/>
      <c r="S330" s="28"/>
      <c r="V330" s="28"/>
      <c r="Y330" s="28"/>
      <c r="AB330" s="28"/>
      <c r="AE330" s="28"/>
      <c r="AH330" s="28"/>
      <c r="AK330" s="28"/>
      <c r="AN330" s="28"/>
    </row>
    <row r="331" spans="9:40" s="9" customFormat="1" ht="20.100000000000001" customHeight="1" x14ac:dyDescent="0.25">
      <c r="I331" s="28"/>
      <c r="K331" s="28"/>
      <c r="N331" s="28"/>
      <c r="P331" s="28"/>
      <c r="S331" s="28"/>
      <c r="V331" s="28"/>
      <c r="Y331" s="28"/>
      <c r="AB331" s="28"/>
      <c r="AE331" s="28"/>
      <c r="AH331" s="28"/>
      <c r="AK331" s="28"/>
      <c r="AN331" s="28"/>
    </row>
    <row r="332" spans="9:40" s="9" customFormat="1" ht="20.100000000000001" customHeight="1" x14ac:dyDescent="0.25">
      <c r="I332" s="28"/>
      <c r="K332" s="28"/>
      <c r="N332" s="28"/>
      <c r="P332" s="28"/>
      <c r="S332" s="28"/>
      <c r="V332" s="28"/>
      <c r="Y332" s="28"/>
      <c r="AB332" s="28"/>
      <c r="AE332" s="28"/>
      <c r="AH332" s="28"/>
      <c r="AK332" s="28"/>
      <c r="AN332" s="28"/>
    </row>
    <row r="333" spans="9:40" s="9" customFormat="1" ht="20.100000000000001" customHeight="1" x14ac:dyDescent="0.25">
      <c r="I333" s="28"/>
      <c r="K333" s="28"/>
      <c r="N333" s="28"/>
      <c r="P333" s="28"/>
      <c r="S333" s="28"/>
      <c r="V333" s="28"/>
      <c r="Y333" s="28"/>
      <c r="AB333" s="28"/>
      <c r="AE333" s="28"/>
      <c r="AH333" s="28"/>
      <c r="AK333" s="28"/>
      <c r="AN333" s="28"/>
    </row>
    <row r="334" spans="9:40" s="9" customFormat="1" ht="20.100000000000001" customHeight="1" x14ac:dyDescent="0.25">
      <c r="I334" s="28"/>
      <c r="K334" s="28"/>
      <c r="N334" s="28"/>
      <c r="P334" s="28"/>
      <c r="S334" s="28"/>
      <c r="V334" s="28"/>
      <c r="Y334" s="28"/>
      <c r="AB334" s="28"/>
      <c r="AE334" s="28"/>
      <c r="AH334" s="28"/>
      <c r="AK334" s="28"/>
      <c r="AN334" s="28"/>
    </row>
    <row r="335" spans="9:40" s="9" customFormat="1" ht="20.100000000000001" customHeight="1" x14ac:dyDescent="0.25">
      <c r="I335" s="28"/>
      <c r="K335" s="28"/>
      <c r="N335" s="28"/>
      <c r="P335" s="28"/>
      <c r="S335" s="28"/>
      <c r="V335" s="28"/>
      <c r="Y335" s="28"/>
      <c r="AB335" s="28"/>
      <c r="AE335" s="28"/>
      <c r="AH335" s="28"/>
      <c r="AK335" s="28"/>
      <c r="AN335" s="28"/>
    </row>
    <row r="336" spans="9:40" s="9" customFormat="1" ht="20.100000000000001" customHeight="1" x14ac:dyDescent="0.25">
      <c r="I336" s="28"/>
      <c r="K336" s="28"/>
      <c r="N336" s="28"/>
      <c r="P336" s="28"/>
      <c r="S336" s="28"/>
      <c r="V336" s="28"/>
      <c r="Y336" s="28"/>
      <c r="AB336" s="28"/>
      <c r="AE336" s="28"/>
      <c r="AH336" s="28"/>
      <c r="AK336" s="28"/>
      <c r="AN336" s="28"/>
    </row>
    <row r="337" spans="9:40" s="9" customFormat="1" ht="20.100000000000001" customHeight="1" x14ac:dyDescent="0.25">
      <c r="I337" s="28"/>
      <c r="K337" s="28"/>
      <c r="N337" s="28"/>
      <c r="P337" s="28"/>
      <c r="S337" s="28"/>
      <c r="V337" s="28"/>
      <c r="Y337" s="28"/>
      <c r="AB337" s="28"/>
      <c r="AE337" s="28"/>
      <c r="AH337" s="28"/>
      <c r="AK337" s="28"/>
      <c r="AN337" s="28"/>
    </row>
    <row r="338" spans="9:40" s="9" customFormat="1" ht="20.100000000000001" customHeight="1" x14ac:dyDescent="0.25">
      <c r="I338" s="28"/>
      <c r="K338" s="28"/>
      <c r="N338" s="28"/>
      <c r="P338" s="28"/>
      <c r="S338" s="28"/>
      <c r="V338" s="28"/>
      <c r="Y338" s="28"/>
      <c r="AB338" s="28"/>
      <c r="AE338" s="28"/>
      <c r="AH338" s="28"/>
      <c r="AK338" s="28"/>
      <c r="AN338" s="28"/>
    </row>
    <row r="339" spans="9:40" s="9" customFormat="1" ht="20.100000000000001" customHeight="1" x14ac:dyDescent="0.25">
      <c r="I339" s="28"/>
      <c r="K339" s="28"/>
      <c r="N339" s="28"/>
      <c r="P339" s="28"/>
      <c r="S339" s="28"/>
      <c r="V339" s="28"/>
      <c r="Y339" s="28"/>
      <c r="AB339" s="28"/>
      <c r="AE339" s="28"/>
      <c r="AH339" s="28"/>
      <c r="AK339" s="28"/>
      <c r="AN339" s="28"/>
    </row>
    <row r="340" spans="9:40" s="9" customFormat="1" ht="20.100000000000001" customHeight="1" x14ac:dyDescent="0.25">
      <c r="I340" s="28"/>
      <c r="K340" s="28"/>
      <c r="N340" s="28"/>
      <c r="P340" s="28"/>
      <c r="S340" s="28"/>
      <c r="V340" s="28"/>
      <c r="Y340" s="28"/>
      <c r="AB340" s="28"/>
      <c r="AE340" s="28"/>
      <c r="AH340" s="28"/>
      <c r="AK340" s="28"/>
      <c r="AN340" s="28"/>
    </row>
    <row r="341" spans="9:40" s="9" customFormat="1" ht="20.100000000000001" customHeight="1" x14ac:dyDescent="0.25">
      <c r="I341" s="28"/>
      <c r="K341" s="28"/>
      <c r="N341" s="28"/>
      <c r="P341" s="28"/>
      <c r="S341" s="28"/>
      <c r="V341" s="28"/>
      <c r="Y341" s="28"/>
      <c r="AB341" s="28"/>
      <c r="AE341" s="28"/>
      <c r="AH341" s="28"/>
      <c r="AK341" s="28"/>
      <c r="AN341" s="28"/>
    </row>
    <row r="342" spans="9:40" s="9" customFormat="1" ht="20.100000000000001" customHeight="1" x14ac:dyDescent="0.25">
      <c r="I342" s="28"/>
      <c r="K342" s="28"/>
      <c r="N342" s="28"/>
      <c r="P342" s="28"/>
      <c r="S342" s="28"/>
      <c r="V342" s="28"/>
      <c r="Y342" s="28"/>
      <c r="AB342" s="28"/>
      <c r="AE342" s="28"/>
      <c r="AH342" s="28"/>
      <c r="AK342" s="28"/>
      <c r="AN342" s="28"/>
    </row>
    <row r="343" spans="9:40" s="9" customFormat="1" ht="20.100000000000001" customHeight="1" x14ac:dyDescent="0.25">
      <c r="I343" s="28"/>
      <c r="K343" s="28"/>
      <c r="N343" s="28"/>
      <c r="P343" s="28"/>
      <c r="S343" s="28"/>
      <c r="V343" s="28"/>
      <c r="Y343" s="28"/>
      <c r="AB343" s="28"/>
      <c r="AE343" s="28"/>
      <c r="AH343" s="28"/>
      <c r="AK343" s="28"/>
      <c r="AN343" s="28"/>
    </row>
    <row r="344" spans="9:40" s="9" customFormat="1" ht="20.100000000000001" customHeight="1" x14ac:dyDescent="0.25">
      <c r="I344" s="28"/>
      <c r="K344" s="28"/>
      <c r="N344" s="28"/>
      <c r="P344" s="28"/>
      <c r="S344" s="28"/>
      <c r="V344" s="28"/>
      <c r="Y344" s="28"/>
      <c r="AB344" s="28"/>
      <c r="AE344" s="28"/>
      <c r="AH344" s="28"/>
      <c r="AK344" s="28"/>
      <c r="AN344" s="28"/>
    </row>
    <row r="345" spans="9:40" s="9" customFormat="1" ht="20.100000000000001" customHeight="1" x14ac:dyDescent="0.25">
      <c r="I345" s="28"/>
      <c r="K345" s="28"/>
      <c r="N345" s="28"/>
      <c r="P345" s="28"/>
      <c r="S345" s="28"/>
      <c r="V345" s="28"/>
      <c r="Y345" s="28"/>
      <c r="AB345" s="28"/>
      <c r="AE345" s="28"/>
      <c r="AH345" s="28"/>
      <c r="AK345" s="28"/>
      <c r="AN345" s="28"/>
    </row>
    <row r="346" spans="9:40" s="9" customFormat="1" ht="20.100000000000001" customHeight="1" x14ac:dyDescent="0.25">
      <c r="I346" s="28"/>
      <c r="K346" s="28"/>
      <c r="N346" s="28"/>
      <c r="P346" s="28"/>
      <c r="S346" s="28"/>
      <c r="V346" s="28"/>
      <c r="Y346" s="28"/>
      <c r="AB346" s="28"/>
      <c r="AE346" s="28"/>
      <c r="AH346" s="28"/>
      <c r="AK346" s="28"/>
      <c r="AN346" s="28"/>
    </row>
    <row r="347" spans="9:40" s="9" customFormat="1" ht="20.100000000000001" customHeight="1" x14ac:dyDescent="0.25">
      <c r="I347" s="28"/>
      <c r="K347" s="28"/>
      <c r="N347" s="28"/>
      <c r="P347" s="28"/>
      <c r="S347" s="28"/>
      <c r="V347" s="28"/>
      <c r="Y347" s="28"/>
      <c r="AB347" s="28"/>
      <c r="AE347" s="28"/>
      <c r="AH347" s="28"/>
      <c r="AK347" s="28"/>
      <c r="AN347" s="28"/>
    </row>
    <row r="348" spans="9:40" s="9" customFormat="1" ht="20.100000000000001" customHeight="1" x14ac:dyDescent="0.25">
      <c r="I348" s="28"/>
      <c r="K348" s="28"/>
      <c r="N348" s="28"/>
      <c r="P348" s="28"/>
      <c r="S348" s="28"/>
      <c r="V348" s="28"/>
      <c r="Y348" s="28"/>
      <c r="AB348" s="28"/>
      <c r="AE348" s="28"/>
      <c r="AH348" s="28"/>
      <c r="AK348" s="28"/>
      <c r="AN348" s="28"/>
    </row>
    <row r="349" spans="9:40" s="9" customFormat="1" ht="20.100000000000001" customHeight="1" x14ac:dyDescent="0.25">
      <c r="I349" s="28"/>
      <c r="K349" s="28"/>
      <c r="N349" s="28"/>
      <c r="P349" s="28"/>
      <c r="S349" s="28"/>
      <c r="V349" s="28"/>
      <c r="Y349" s="28"/>
      <c r="AB349" s="28"/>
      <c r="AE349" s="28"/>
      <c r="AH349" s="28"/>
      <c r="AK349" s="28"/>
      <c r="AN349" s="28"/>
    </row>
    <row r="350" spans="9:40" s="9" customFormat="1" ht="20.100000000000001" customHeight="1" x14ac:dyDescent="0.25">
      <c r="I350" s="28"/>
      <c r="K350" s="28"/>
      <c r="N350" s="28"/>
      <c r="P350" s="28"/>
      <c r="S350" s="28"/>
      <c r="V350" s="28"/>
      <c r="Y350" s="28"/>
      <c r="AB350" s="28"/>
      <c r="AE350" s="28"/>
      <c r="AH350" s="28"/>
      <c r="AK350" s="28"/>
      <c r="AN350" s="28"/>
    </row>
    <row r="351" spans="9:40" s="9" customFormat="1" ht="20.100000000000001" customHeight="1" x14ac:dyDescent="0.25">
      <c r="I351" s="28"/>
      <c r="K351" s="28"/>
      <c r="N351" s="28"/>
      <c r="P351" s="28"/>
      <c r="S351" s="28"/>
      <c r="V351" s="28"/>
      <c r="Y351" s="28"/>
      <c r="AB351" s="28"/>
      <c r="AE351" s="28"/>
      <c r="AH351" s="28"/>
      <c r="AK351" s="28"/>
      <c r="AN351" s="28"/>
    </row>
    <row r="352" spans="9:40" s="9" customFormat="1" ht="20.100000000000001" customHeight="1" x14ac:dyDescent="0.25">
      <c r="I352" s="28"/>
      <c r="K352" s="28"/>
      <c r="N352" s="28"/>
      <c r="P352" s="28"/>
      <c r="S352" s="28"/>
      <c r="V352" s="28"/>
      <c r="Y352" s="28"/>
      <c r="AB352" s="28"/>
      <c r="AE352" s="28"/>
      <c r="AH352" s="28"/>
      <c r="AK352" s="28"/>
      <c r="AN352" s="28"/>
    </row>
    <row r="353" spans="9:40" s="9" customFormat="1" ht="20.100000000000001" customHeight="1" x14ac:dyDescent="0.25">
      <c r="I353" s="28"/>
      <c r="K353" s="28"/>
      <c r="N353" s="28"/>
      <c r="P353" s="28"/>
      <c r="S353" s="28"/>
      <c r="V353" s="28"/>
      <c r="Y353" s="28"/>
      <c r="AB353" s="28"/>
      <c r="AE353" s="28"/>
      <c r="AH353" s="28"/>
      <c r="AK353" s="28"/>
      <c r="AN353" s="28"/>
    </row>
    <row r="354" spans="9:40" s="9" customFormat="1" ht="20.100000000000001" customHeight="1" x14ac:dyDescent="0.25">
      <c r="I354" s="28"/>
      <c r="K354" s="28"/>
      <c r="N354" s="28"/>
      <c r="P354" s="28"/>
      <c r="S354" s="28"/>
      <c r="V354" s="28"/>
      <c r="Y354" s="28"/>
      <c r="AB354" s="28"/>
      <c r="AE354" s="28"/>
      <c r="AH354" s="28"/>
      <c r="AK354" s="28"/>
      <c r="AN354" s="28"/>
    </row>
    <row r="355" spans="9:40" s="9" customFormat="1" ht="20.100000000000001" customHeight="1" x14ac:dyDescent="0.25">
      <c r="I355" s="28"/>
      <c r="K355" s="28"/>
      <c r="N355" s="28"/>
      <c r="P355" s="28"/>
      <c r="S355" s="28"/>
      <c r="V355" s="28"/>
      <c r="Y355" s="28"/>
      <c r="AB355" s="28"/>
      <c r="AE355" s="28"/>
      <c r="AH355" s="28"/>
      <c r="AK355" s="28"/>
      <c r="AN355" s="28"/>
    </row>
    <row r="356" spans="9:40" s="9" customFormat="1" ht="20.100000000000001" customHeight="1" x14ac:dyDescent="0.25">
      <c r="I356" s="28"/>
      <c r="K356" s="28"/>
      <c r="N356" s="28"/>
      <c r="P356" s="28"/>
      <c r="S356" s="28"/>
      <c r="V356" s="28"/>
      <c r="Y356" s="28"/>
      <c r="AB356" s="28"/>
      <c r="AE356" s="28"/>
      <c r="AH356" s="28"/>
      <c r="AK356" s="28"/>
      <c r="AN356" s="28"/>
    </row>
    <row r="357" spans="9:40" s="9" customFormat="1" ht="20.100000000000001" customHeight="1" x14ac:dyDescent="0.25">
      <c r="I357" s="28"/>
      <c r="K357" s="28"/>
      <c r="N357" s="28"/>
      <c r="P357" s="28"/>
      <c r="S357" s="28"/>
      <c r="V357" s="28"/>
      <c r="Y357" s="28"/>
      <c r="AB357" s="28"/>
      <c r="AE357" s="28"/>
      <c r="AH357" s="28"/>
      <c r="AK357" s="28"/>
      <c r="AN357" s="28"/>
    </row>
    <row r="358" spans="9:40" s="9" customFormat="1" ht="20.100000000000001" customHeight="1" x14ac:dyDescent="0.25">
      <c r="I358" s="28"/>
      <c r="K358" s="28"/>
      <c r="N358" s="28"/>
      <c r="P358" s="28"/>
      <c r="S358" s="28"/>
      <c r="V358" s="28"/>
      <c r="Y358" s="28"/>
      <c r="AB358" s="28"/>
      <c r="AE358" s="28"/>
      <c r="AH358" s="28"/>
      <c r="AK358" s="28"/>
      <c r="AN358" s="28"/>
    </row>
    <row r="359" spans="9:40" s="9" customFormat="1" ht="20.100000000000001" customHeight="1" x14ac:dyDescent="0.25">
      <c r="I359" s="28"/>
      <c r="K359" s="28"/>
      <c r="N359" s="28"/>
      <c r="P359" s="28"/>
      <c r="S359" s="28"/>
      <c r="V359" s="28"/>
      <c r="Y359" s="28"/>
      <c r="AB359" s="28"/>
      <c r="AE359" s="28"/>
      <c r="AH359" s="28"/>
      <c r="AK359" s="28"/>
      <c r="AN359" s="28"/>
    </row>
    <row r="360" spans="9:40" s="9" customFormat="1" ht="20.100000000000001" customHeight="1" x14ac:dyDescent="0.25">
      <c r="I360" s="28"/>
      <c r="K360" s="28"/>
      <c r="N360" s="28"/>
      <c r="P360" s="28"/>
      <c r="S360" s="28"/>
      <c r="V360" s="28"/>
      <c r="Y360" s="28"/>
      <c r="AB360" s="28"/>
      <c r="AE360" s="28"/>
      <c r="AH360" s="28"/>
      <c r="AK360" s="28"/>
      <c r="AN360" s="28"/>
    </row>
    <row r="361" spans="9:40" s="9" customFormat="1" ht="20.100000000000001" customHeight="1" x14ac:dyDescent="0.25">
      <c r="I361" s="28"/>
      <c r="K361" s="28"/>
      <c r="N361" s="28"/>
      <c r="P361" s="28"/>
      <c r="S361" s="28"/>
      <c r="V361" s="28"/>
      <c r="Y361" s="28"/>
      <c r="AB361" s="28"/>
      <c r="AE361" s="28"/>
      <c r="AH361" s="28"/>
      <c r="AK361" s="28"/>
      <c r="AN361" s="28"/>
    </row>
    <row r="362" spans="9:40" s="9" customFormat="1" ht="20.100000000000001" customHeight="1" x14ac:dyDescent="0.25">
      <c r="I362" s="28"/>
      <c r="K362" s="28"/>
      <c r="N362" s="28"/>
      <c r="P362" s="28"/>
      <c r="S362" s="28"/>
      <c r="V362" s="28"/>
      <c r="Y362" s="28"/>
      <c r="AB362" s="28"/>
      <c r="AE362" s="28"/>
      <c r="AH362" s="28"/>
      <c r="AK362" s="28"/>
      <c r="AN362" s="28"/>
    </row>
    <row r="363" spans="9:40" s="9" customFormat="1" ht="20.100000000000001" customHeight="1" x14ac:dyDescent="0.25">
      <c r="I363" s="28"/>
      <c r="K363" s="28"/>
      <c r="N363" s="28"/>
      <c r="P363" s="28"/>
      <c r="S363" s="28"/>
      <c r="V363" s="28"/>
      <c r="Y363" s="28"/>
      <c r="AB363" s="28"/>
      <c r="AE363" s="28"/>
      <c r="AH363" s="28"/>
      <c r="AK363" s="28"/>
      <c r="AN363" s="28"/>
    </row>
    <row r="364" spans="9:40" s="9" customFormat="1" ht="20.100000000000001" customHeight="1" x14ac:dyDescent="0.25">
      <c r="I364" s="28"/>
      <c r="K364" s="28"/>
      <c r="N364" s="28"/>
      <c r="P364" s="28"/>
      <c r="S364" s="28"/>
      <c r="V364" s="28"/>
      <c r="Y364" s="28"/>
      <c r="AB364" s="28"/>
      <c r="AE364" s="28"/>
      <c r="AH364" s="28"/>
      <c r="AK364" s="28"/>
      <c r="AN364" s="28"/>
    </row>
    <row r="365" spans="9:40" s="9" customFormat="1" ht="20.100000000000001" customHeight="1" x14ac:dyDescent="0.25">
      <c r="I365" s="28"/>
      <c r="K365" s="28"/>
      <c r="N365" s="28"/>
      <c r="P365" s="28"/>
      <c r="S365" s="28"/>
      <c r="V365" s="28"/>
      <c r="Y365" s="28"/>
      <c r="AB365" s="28"/>
      <c r="AE365" s="28"/>
      <c r="AH365" s="28"/>
      <c r="AK365" s="28"/>
      <c r="AN365" s="28"/>
    </row>
    <row r="366" spans="9:40" s="9" customFormat="1" ht="20.100000000000001" customHeight="1" x14ac:dyDescent="0.25">
      <c r="I366" s="28"/>
      <c r="K366" s="28"/>
      <c r="N366" s="28"/>
      <c r="P366" s="28"/>
      <c r="S366" s="28"/>
      <c r="V366" s="28"/>
      <c r="Y366" s="28"/>
      <c r="AB366" s="28"/>
      <c r="AE366" s="28"/>
      <c r="AH366" s="28"/>
      <c r="AK366" s="28"/>
      <c r="AN366" s="28"/>
    </row>
    <row r="367" spans="9:40" s="9" customFormat="1" ht="20.100000000000001" customHeight="1" x14ac:dyDescent="0.25">
      <c r="I367" s="28"/>
      <c r="K367" s="28"/>
      <c r="N367" s="28"/>
      <c r="P367" s="28"/>
      <c r="S367" s="28"/>
      <c r="V367" s="28"/>
      <c r="Y367" s="28"/>
      <c r="AB367" s="28"/>
      <c r="AE367" s="28"/>
      <c r="AH367" s="28"/>
      <c r="AK367" s="28"/>
      <c r="AN367" s="28"/>
    </row>
    <row r="368" spans="9:40" s="9" customFormat="1" ht="20.100000000000001" customHeight="1" x14ac:dyDescent="0.25">
      <c r="I368" s="28"/>
      <c r="K368" s="28"/>
      <c r="N368" s="28"/>
      <c r="P368" s="28"/>
      <c r="S368" s="28"/>
      <c r="V368" s="28"/>
      <c r="Y368" s="28"/>
      <c r="AB368" s="28"/>
      <c r="AE368" s="28"/>
      <c r="AH368" s="28"/>
      <c r="AK368" s="28"/>
      <c r="AN368" s="28"/>
    </row>
    <row r="369" spans="9:40" s="9" customFormat="1" ht="20.100000000000001" customHeight="1" x14ac:dyDescent="0.25">
      <c r="I369" s="28"/>
      <c r="K369" s="28"/>
      <c r="N369" s="28"/>
      <c r="P369" s="28"/>
      <c r="S369" s="28"/>
      <c r="V369" s="28"/>
      <c r="Y369" s="28"/>
      <c r="AB369" s="28"/>
      <c r="AE369" s="28"/>
      <c r="AH369" s="28"/>
      <c r="AK369" s="28"/>
      <c r="AN369" s="28"/>
    </row>
    <row r="370" spans="9:40" s="9" customFormat="1" ht="20.100000000000001" customHeight="1" x14ac:dyDescent="0.25">
      <c r="I370" s="28"/>
      <c r="K370" s="28"/>
      <c r="N370" s="28"/>
      <c r="P370" s="28"/>
      <c r="S370" s="28"/>
      <c r="V370" s="28"/>
      <c r="Y370" s="28"/>
      <c r="AB370" s="28"/>
      <c r="AE370" s="28"/>
      <c r="AH370" s="28"/>
      <c r="AK370" s="28"/>
      <c r="AN370" s="28"/>
    </row>
    <row r="371" spans="9:40" s="9" customFormat="1" ht="20.100000000000001" customHeight="1" x14ac:dyDescent="0.25">
      <c r="I371" s="28"/>
      <c r="K371" s="28"/>
      <c r="N371" s="28"/>
      <c r="P371" s="28"/>
      <c r="S371" s="28"/>
      <c r="V371" s="28"/>
      <c r="Y371" s="28"/>
      <c r="AB371" s="28"/>
      <c r="AE371" s="28"/>
      <c r="AH371" s="28"/>
      <c r="AK371" s="28"/>
      <c r="AN371" s="28"/>
    </row>
    <row r="372" spans="9:40" s="9" customFormat="1" ht="20.100000000000001" customHeight="1" x14ac:dyDescent="0.25">
      <c r="I372" s="28"/>
      <c r="K372" s="28"/>
      <c r="N372" s="28"/>
      <c r="P372" s="28"/>
      <c r="S372" s="28"/>
      <c r="V372" s="28"/>
      <c r="Y372" s="28"/>
      <c r="AB372" s="28"/>
      <c r="AE372" s="28"/>
      <c r="AH372" s="28"/>
      <c r="AK372" s="28"/>
      <c r="AN372" s="28"/>
    </row>
    <row r="373" spans="9:40" s="9" customFormat="1" ht="20.100000000000001" customHeight="1" x14ac:dyDescent="0.25">
      <c r="I373" s="28"/>
      <c r="K373" s="28"/>
      <c r="N373" s="28"/>
      <c r="P373" s="28"/>
      <c r="S373" s="28"/>
      <c r="V373" s="28"/>
      <c r="Y373" s="28"/>
      <c r="AB373" s="28"/>
      <c r="AE373" s="28"/>
      <c r="AH373" s="28"/>
      <c r="AK373" s="28"/>
      <c r="AN373" s="28"/>
    </row>
    <row r="374" spans="9:40" s="9" customFormat="1" ht="20.100000000000001" customHeight="1" x14ac:dyDescent="0.25">
      <c r="I374" s="28"/>
      <c r="K374" s="28"/>
      <c r="N374" s="28"/>
      <c r="P374" s="28"/>
      <c r="S374" s="28"/>
      <c r="V374" s="28"/>
      <c r="Y374" s="28"/>
      <c r="AB374" s="28"/>
      <c r="AE374" s="28"/>
      <c r="AH374" s="28"/>
      <c r="AK374" s="28"/>
      <c r="AN374" s="28"/>
    </row>
    <row r="375" spans="9:40" s="9" customFormat="1" ht="20.100000000000001" customHeight="1" x14ac:dyDescent="0.25">
      <c r="I375" s="28"/>
      <c r="K375" s="28"/>
      <c r="N375" s="28"/>
      <c r="P375" s="28"/>
      <c r="S375" s="28"/>
      <c r="V375" s="28"/>
      <c r="Y375" s="28"/>
      <c r="AB375" s="28"/>
      <c r="AE375" s="28"/>
      <c r="AH375" s="28"/>
      <c r="AK375" s="28"/>
      <c r="AN375" s="28"/>
    </row>
    <row r="376" spans="9:40" s="9" customFormat="1" ht="20.100000000000001" customHeight="1" x14ac:dyDescent="0.25">
      <c r="I376" s="28"/>
      <c r="K376" s="28"/>
      <c r="N376" s="28"/>
      <c r="P376" s="28"/>
      <c r="S376" s="28"/>
      <c r="V376" s="28"/>
      <c r="Y376" s="28"/>
      <c r="AB376" s="28"/>
      <c r="AE376" s="28"/>
      <c r="AH376" s="28"/>
      <c r="AK376" s="28"/>
      <c r="AN376" s="28"/>
    </row>
    <row r="377" spans="9:40" s="9" customFormat="1" ht="20.100000000000001" customHeight="1" x14ac:dyDescent="0.25">
      <c r="I377" s="28"/>
      <c r="K377" s="28"/>
      <c r="N377" s="28"/>
      <c r="P377" s="28"/>
      <c r="S377" s="28"/>
      <c r="V377" s="28"/>
      <c r="Y377" s="28"/>
      <c r="AB377" s="28"/>
      <c r="AE377" s="28"/>
      <c r="AH377" s="28"/>
      <c r="AK377" s="28"/>
      <c r="AN377" s="28"/>
    </row>
    <row r="378" spans="9:40" s="9" customFormat="1" ht="20.100000000000001" customHeight="1" x14ac:dyDescent="0.25">
      <c r="I378" s="28"/>
      <c r="K378" s="28"/>
      <c r="N378" s="28"/>
      <c r="P378" s="28"/>
      <c r="S378" s="28"/>
      <c r="V378" s="28"/>
      <c r="Y378" s="28"/>
      <c r="AB378" s="28"/>
      <c r="AE378" s="28"/>
      <c r="AH378" s="28"/>
      <c r="AK378" s="28"/>
      <c r="AN378" s="28"/>
    </row>
    <row r="379" spans="9:40" s="9" customFormat="1" ht="20.100000000000001" customHeight="1" x14ac:dyDescent="0.25">
      <c r="I379" s="28"/>
      <c r="K379" s="28"/>
      <c r="N379" s="28"/>
      <c r="P379" s="28"/>
      <c r="S379" s="28"/>
      <c r="V379" s="28"/>
      <c r="Y379" s="28"/>
      <c r="AB379" s="28"/>
      <c r="AE379" s="28"/>
      <c r="AH379" s="28"/>
      <c r="AK379" s="28"/>
      <c r="AN379" s="28"/>
    </row>
    <row r="380" spans="9:40" s="9" customFormat="1" ht="20.100000000000001" customHeight="1" x14ac:dyDescent="0.25">
      <c r="I380" s="28"/>
      <c r="K380" s="28"/>
      <c r="N380" s="28"/>
      <c r="P380" s="28"/>
      <c r="S380" s="28"/>
      <c r="V380" s="28"/>
      <c r="Y380" s="28"/>
      <c r="AB380" s="28"/>
      <c r="AE380" s="28"/>
      <c r="AH380" s="28"/>
      <c r="AK380" s="28"/>
      <c r="AN380" s="28"/>
    </row>
    <row r="381" spans="9:40" s="9" customFormat="1" ht="20.100000000000001" customHeight="1" x14ac:dyDescent="0.25">
      <c r="I381" s="28"/>
      <c r="K381" s="28"/>
      <c r="N381" s="28"/>
      <c r="P381" s="28"/>
      <c r="S381" s="28"/>
      <c r="V381" s="28"/>
      <c r="Y381" s="28"/>
      <c r="AB381" s="28"/>
      <c r="AE381" s="28"/>
      <c r="AH381" s="28"/>
      <c r="AK381" s="28"/>
      <c r="AN381" s="28"/>
    </row>
    <row r="382" spans="9:40" s="9" customFormat="1" ht="20.100000000000001" customHeight="1" x14ac:dyDescent="0.25">
      <c r="I382" s="28"/>
      <c r="K382" s="28"/>
      <c r="N382" s="28"/>
      <c r="P382" s="28"/>
      <c r="S382" s="28"/>
      <c r="V382" s="28"/>
      <c r="Y382" s="28"/>
      <c r="AB382" s="28"/>
      <c r="AE382" s="28"/>
      <c r="AH382" s="28"/>
      <c r="AK382" s="28"/>
      <c r="AN382" s="28"/>
    </row>
    <row r="383" spans="9:40" s="9" customFormat="1" ht="20.100000000000001" customHeight="1" x14ac:dyDescent="0.25">
      <c r="I383" s="28"/>
      <c r="K383" s="28"/>
      <c r="N383" s="28"/>
      <c r="P383" s="28"/>
      <c r="S383" s="28"/>
      <c r="V383" s="28"/>
      <c r="Y383" s="28"/>
      <c r="AB383" s="28"/>
      <c r="AE383" s="28"/>
      <c r="AH383" s="28"/>
      <c r="AK383" s="28"/>
      <c r="AN383" s="28"/>
    </row>
    <row r="384" spans="9:40" s="9" customFormat="1" ht="20.100000000000001" customHeight="1" x14ac:dyDescent="0.25">
      <c r="I384" s="28"/>
      <c r="K384" s="28"/>
      <c r="N384" s="28"/>
      <c r="P384" s="28"/>
      <c r="S384" s="28"/>
      <c r="V384" s="28"/>
      <c r="Y384" s="28"/>
      <c r="AB384" s="28"/>
      <c r="AE384" s="28"/>
      <c r="AH384" s="28"/>
      <c r="AK384" s="28"/>
      <c r="AN384" s="28"/>
    </row>
    <row r="385" spans="9:40" s="9" customFormat="1" ht="20.100000000000001" customHeight="1" x14ac:dyDescent="0.25">
      <c r="I385" s="28"/>
      <c r="K385" s="28"/>
      <c r="N385" s="28"/>
      <c r="P385" s="28"/>
      <c r="S385" s="28"/>
      <c r="V385" s="28"/>
      <c r="Y385" s="28"/>
      <c r="AB385" s="28"/>
      <c r="AE385" s="28"/>
      <c r="AH385" s="28"/>
      <c r="AK385" s="28"/>
      <c r="AN385" s="28"/>
    </row>
    <row r="386" spans="9:40" s="9" customFormat="1" ht="20.100000000000001" customHeight="1" x14ac:dyDescent="0.25">
      <c r="I386" s="28"/>
      <c r="K386" s="28"/>
      <c r="N386" s="28"/>
      <c r="P386" s="28"/>
      <c r="S386" s="28"/>
      <c r="V386" s="28"/>
      <c r="Y386" s="28"/>
      <c r="AB386" s="28"/>
      <c r="AE386" s="28"/>
      <c r="AH386" s="28"/>
      <c r="AK386" s="28"/>
      <c r="AN386" s="28"/>
    </row>
    <row r="387" spans="9:40" s="9" customFormat="1" ht="20.100000000000001" customHeight="1" x14ac:dyDescent="0.25">
      <c r="I387" s="28"/>
      <c r="K387" s="28"/>
      <c r="N387" s="28"/>
      <c r="P387" s="28"/>
      <c r="S387" s="28"/>
      <c r="V387" s="28"/>
      <c r="Y387" s="28"/>
      <c r="AB387" s="28"/>
      <c r="AE387" s="28"/>
      <c r="AH387" s="28"/>
      <c r="AK387" s="28"/>
      <c r="AN387" s="28"/>
    </row>
    <row r="388" spans="9:40" s="9" customFormat="1" ht="20.100000000000001" customHeight="1" x14ac:dyDescent="0.25">
      <c r="I388" s="28"/>
      <c r="K388" s="28"/>
      <c r="N388" s="28"/>
      <c r="P388" s="28"/>
      <c r="S388" s="28"/>
      <c r="V388" s="28"/>
      <c r="Y388" s="28"/>
      <c r="AB388" s="28"/>
      <c r="AE388" s="28"/>
      <c r="AH388" s="28"/>
      <c r="AK388" s="28"/>
      <c r="AN388" s="28"/>
    </row>
    <row r="389" spans="9:40" s="9" customFormat="1" ht="20.100000000000001" customHeight="1" x14ac:dyDescent="0.25">
      <c r="I389" s="28"/>
      <c r="K389" s="28"/>
      <c r="N389" s="28"/>
      <c r="P389" s="28"/>
      <c r="S389" s="28"/>
      <c r="V389" s="28"/>
      <c r="Y389" s="28"/>
      <c r="AB389" s="28"/>
      <c r="AE389" s="28"/>
      <c r="AH389" s="28"/>
      <c r="AK389" s="28"/>
      <c r="AN389" s="28"/>
    </row>
    <row r="390" spans="9:40" s="9" customFormat="1" ht="20.100000000000001" customHeight="1" x14ac:dyDescent="0.25">
      <c r="I390" s="28"/>
      <c r="K390" s="28"/>
      <c r="N390" s="28"/>
      <c r="P390" s="28"/>
      <c r="S390" s="28"/>
      <c r="V390" s="28"/>
      <c r="Y390" s="28"/>
      <c r="AB390" s="28"/>
      <c r="AE390" s="28"/>
      <c r="AH390" s="28"/>
      <c r="AK390" s="28"/>
      <c r="AN390" s="28"/>
    </row>
    <row r="391" spans="9:40" s="9" customFormat="1" ht="20.100000000000001" customHeight="1" x14ac:dyDescent="0.25">
      <c r="I391" s="28"/>
      <c r="K391" s="28"/>
      <c r="N391" s="28"/>
      <c r="P391" s="28"/>
      <c r="S391" s="28"/>
      <c r="V391" s="28"/>
      <c r="Y391" s="28"/>
      <c r="AB391" s="28"/>
      <c r="AE391" s="28"/>
      <c r="AH391" s="28"/>
      <c r="AK391" s="28"/>
      <c r="AN391" s="28"/>
    </row>
    <row r="392" spans="9:40" s="9" customFormat="1" ht="20.100000000000001" customHeight="1" x14ac:dyDescent="0.25">
      <c r="I392" s="28"/>
      <c r="K392" s="28"/>
      <c r="N392" s="28"/>
      <c r="P392" s="28"/>
      <c r="S392" s="28"/>
      <c r="V392" s="28"/>
      <c r="Y392" s="28"/>
      <c r="AB392" s="28"/>
      <c r="AE392" s="28"/>
      <c r="AH392" s="28"/>
      <c r="AK392" s="28"/>
      <c r="AN392" s="28"/>
    </row>
    <row r="393" spans="9:40" s="9" customFormat="1" ht="20.100000000000001" customHeight="1" x14ac:dyDescent="0.25">
      <c r="I393" s="28"/>
      <c r="K393" s="28"/>
      <c r="N393" s="28"/>
      <c r="P393" s="28"/>
      <c r="S393" s="28"/>
      <c r="V393" s="28"/>
      <c r="Y393" s="28"/>
      <c r="AB393" s="28"/>
      <c r="AE393" s="28"/>
      <c r="AH393" s="28"/>
      <c r="AK393" s="28"/>
      <c r="AN393" s="28"/>
    </row>
    <row r="394" spans="9:40" s="9" customFormat="1" ht="20.100000000000001" customHeight="1" x14ac:dyDescent="0.25">
      <c r="I394" s="28"/>
      <c r="K394" s="28"/>
      <c r="N394" s="28"/>
      <c r="P394" s="28"/>
      <c r="S394" s="28"/>
      <c r="V394" s="28"/>
      <c r="Y394" s="28"/>
      <c r="AB394" s="28"/>
      <c r="AE394" s="28"/>
      <c r="AH394" s="28"/>
      <c r="AK394" s="28"/>
      <c r="AN394" s="28"/>
    </row>
    <row r="395" spans="9:40" s="9" customFormat="1" ht="20.100000000000001" customHeight="1" x14ac:dyDescent="0.25">
      <c r="I395" s="28"/>
      <c r="K395" s="28"/>
      <c r="N395" s="28"/>
      <c r="P395" s="28"/>
      <c r="S395" s="28"/>
      <c r="V395" s="28"/>
      <c r="Y395" s="28"/>
      <c r="AB395" s="28"/>
      <c r="AE395" s="28"/>
      <c r="AH395" s="28"/>
      <c r="AK395" s="28"/>
      <c r="AN395" s="28"/>
    </row>
    <row r="396" spans="9:40" s="9" customFormat="1" ht="20.100000000000001" customHeight="1" x14ac:dyDescent="0.25">
      <c r="I396" s="28"/>
      <c r="K396" s="28"/>
      <c r="N396" s="28"/>
      <c r="P396" s="28"/>
      <c r="S396" s="28"/>
      <c r="V396" s="28"/>
      <c r="Y396" s="28"/>
      <c r="AB396" s="28"/>
      <c r="AE396" s="28"/>
      <c r="AH396" s="28"/>
      <c r="AK396" s="28"/>
      <c r="AN396" s="28"/>
    </row>
    <row r="397" spans="9:40" s="9" customFormat="1" ht="20.100000000000001" customHeight="1" x14ac:dyDescent="0.25">
      <c r="I397" s="28"/>
      <c r="K397" s="28"/>
      <c r="N397" s="28"/>
      <c r="P397" s="28"/>
      <c r="S397" s="28"/>
      <c r="V397" s="28"/>
      <c r="Y397" s="28"/>
      <c r="AB397" s="28"/>
      <c r="AE397" s="28"/>
      <c r="AH397" s="28"/>
      <c r="AK397" s="28"/>
      <c r="AN397" s="28"/>
    </row>
    <row r="398" spans="9:40" s="9" customFormat="1" ht="20.100000000000001" customHeight="1" x14ac:dyDescent="0.25">
      <c r="I398" s="28"/>
      <c r="K398" s="28"/>
      <c r="N398" s="28"/>
      <c r="P398" s="28"/>
      <c r="S398" s="28"/>
      <c r="V398" s="28"/>
      <c r="Y398" s="28"/>
      <c r="AB398" s="28"/>
      <c r="AE398" s="28"/>
      <c r="AH398" s="28"/>
      <c r="AK398" s="28"/>
      <c r="AN398" s="28"/>
    </row>
    <row r="399" spans="9:40" s="9" customFormat="1" ht="20.100000000000001" customHeight="1" x14ac:dyDescent="0.25">
      <c r="I399" s="28"/>
      <c r="K399" s="28"/>
      <c r="N399" s="28"/>
      <c r="P399" s="28"/>
      <c r="S399" s="28"/>
      <c r="V399" s="28"/>
      <c r="Y399" s="28"/>
      <c r="AB399" s="28"/>
      <c r="AE399" s="28"/>
      <c r="AH399" s="28"/>
      <c r="AK399" s="28"/>
      <c r="AN399" s="28"/>
    </row>
    <row r="400" spans="9:40" s="9" customFormat="1" ht="20.100000000000001" customHeight="1" x14ac:dyDescent="0.25">
      <c r="I400" s="28"/>
      <c r="K400" s="28"/>
      <c r="N400" s="28"/>
      <c r="P400" s="28"/>
      <c r="S400" s="28"/>
      <c r="V400" s="28"/>
      <c r="Y400" s="28"/>
      <c r="AB400" s="28"/>
      <c r="AE400" s="28"/>
      <c r="AH400" s="28"/>
      <c r="AK400" s="28"/>
      <c r="AN400" s="28"/>
    </row>
    <row r="401" spans="9:40" s="9" customFormat="1" ht="20.100000000000001" customHeight="1" x14ac:dyDescent="0.25">
      <c r="I401" s="28"/>
      <c r="K401" s="28"/>
      <c r="N401" s="28"/>
      <c r="P401" s="28"/>
      <c r="S401" s="28"/>
      <c r="V401" s="28"/>
      <c r="Y401" s="28"/>
      <c r="AB401" s="28"/>
      <c r="AE401" s="28"/>
      <c r="AH401" s="28"/>
      <c r="AK401" s="28"/>
      <c r="AN401" s="28"/>
    </row>
    <row r="402" spans="9:40" s="9" customFormat="1" ht="20.100000000000001" customHeight="1" x14ac:dyDescent="0.25">
      <c r="I402" s="28"/>
      <c r="K402" s="28"/>
      <c r="N402" s="28"/>
      <c r="P402" s="28"/>
      <c r="S402" s="28"/>
      <c r="V402" s="28"/>
      <c r="Y402" s="28"/>
      <c r="AB402" s="28"/>
      <c r="AE402" s="28"/>
      <c r="AH402" s="28"/>
      <c r="AK402" s="28"/>
      <c r="AN402" s="28"/>
    </row>
    <row r="403" spans="9:40" s="9" customFormat="1" ht="20.100000000000001" customHeight="1" x14ac:dyDescent="0.25">
      <c r="I403" s="28"/>
      <c r="K403" s="28"/>
      <c r="N403" s="28"/>
      <c r="P403" s="28"/>
      <c r="S403" s="28"/>
      <c r="V403" s="28"/>
      <c r="Y403" s="28"/>
      <c r="AB403" s="28"/>
      <c r="AE403" s="28"/>
      <c r="AH403" s="28"/>
      <c r="AK403" s="28"/>
      <c r="AN403" s="28"/>
    </row>
    <row r="404" spans="9:40" s="9" customFormat="1" ht="20.100000000000001" customHeight="1" x14ac:dyDescent="0.25">
      <c r="I404" s="28"/>
      <c r="K404" s="28"/>
      <c r="N404" s="28"/>
      <c r="P404" s="28"/>
      <c r="S404" s="28"/>
      <c r="V404" s="28"/>
      <c r="Y404" s="28"/>
      <c r="AB404" s="28"/>
      <c r="AE404" s="28"/>
      <c r="AH404" s="28"/>
      <c r="AK404" s="28"/>
      <c r="AN404" s="28"/>
    </row>
    <row r="405" spans="9:40" s="9" customFormat="1" ht="20.100000000000001" customHeight="1" x14ac:dyDescent="0.25">
      <c r="I405" s="28"/>
      <c r="K405" s="28"/>
      <c r="N405" s="28"/>
      <c r="P405" s="28"/>
      <c r="S405" s="28"/>
      <c r="V405" s="28"/>
      <c r="Y405" s="28"/>
      <c r="AB405" s="28"/>
      <c r="AE405" s="28"/>
      <c r="AH405" s="28"/>
      <c r="AK405" s="28"/>
      <c r="AN405" s="28"/>
    </row>
    <row r="406" spans="9:40" s="9" customFormat="1" ht="20.100000000000001" customHeight="1" x14ac:dyDescent="0.25">
      <c r="I406" s="28"/>
      <c r="K406" s="28"/>
      <c r="N406" s="28"/>
      <c r="P406" s="28"/>
      <c r="S406" s="28"/>
      <c r="V406" s="28"/>
      <c r="Y406" s="28"/>
      <c r="AB406" s="28"/>
      <c r="AE406" s="28"/>
      <c r="AH406" s="28"/>
      <c r="AK406" s="28"/>
      <c r="AN406" s="28"/>
    </row>
    <row r="407" spans="9:40" s="9" customFormat="1" ht="20.100000000000001" customHeight="1" x14ac:dyDescent="0.25">
      <c r="I407" s="28"/>
      <c r="K407" s="28"/>
      <c r="N407" s="28"/>
      <c r="P407" s="28"/>
      <c r="S407" s="28"/>
      <c r="V407" s="28"/>
      <c r="Y407" s="28"/>
      <c r="AB407" s="28"/>
      <c r="AE407" s="28"/>
      <c r="AH407" s="28"/>
      <c r="AK407" s="28"/>
      <c r="AN407" s="28"/>
    </row>
    <row r="408" spans="9:40" s="9" customFormat="1" ht="20.100000000000001" customHeight="1" x14ac:dyDescent="0.25">
      <c r="I408" s="28"/>
      <c r="K408" s="28"/>
      <c r="N408" s="28"/>
      <c r="P408" s="28"/>
      <c r="S408" s="28"/>
      <c r="V408" s="28"/>
      <c r="Y408" s="28"/>
      <c r="AB408" s="28"/>
      <c r="AE408" s="28"/>
      <c r="AH408" s="28"/>
      <c r="AK408" s="28"/>
      <c r="AN408" s="28"/>
    </row>
    <row r="409" spans="9:40" s="9" customFormat="1" ht="20.100000000000001" customHeight="1" x14ac:dyDescent="0.25">
      <c r="I409" s="28"/>
      <c r="K409" s="28"/>
      <c r="N409" s="28"/>
      <c r="P409" s="28"/>
      <c r="S409" s="28"/>
      <c r="V409" s="28"/>
      <c r="Y409" s="28"/>
      <c r="AB409" s="28"/>
      <c r="AE409" s="28"/>
      <c r="AH409" s="28"/>
      <c r="AK409" s="28"/>
      <c r="AN409" s="28"/>
    </row>
    <row r="410" spans="9:40" s="9" customFormat="1" ht="20.100000000000001" customHeight="1" x14ac:dyDescent="0.25">
      <c r="I410" s="28"/>
      <c r="K410" s="28"/>
      <c r="N410" s="28"/>
      <c r="P410" s="28"/>
      <c r="S410" s="28"/>
      <c r="V410" s="28"/>
      <c r="Y410" s="28"/>
      <c r="AB410" s="28"/>
      <c r="AE410" s="28"/>
      <c r="AH410" s="28"/>
      <c r="AK410" s="28"/>
      <c r="AN410" s="28"/>
    </row>
    <row r="411" spans="9:40" s="9" customFormat="1" ht="20.100000000000001" customHeight="1" x14ac:dyDescent="0.25">
      <c r="I411" s="28"/>
      <c r="K411" s="28"/>
      <c r="N411" s="28"/>
      <c r="P411" s="28"/>
      <c r="S411" s="28"/>
      <c r="V411" s="28"/>
      <c r="Y411" s="28"/>
      <c r="AB411" s="28"/>
      <c r="AE411" s="28"/>
      <c r="AH411" s="28"/>
      <c r="AK411" s="28"/>
      <c r="AN411" s="28"/>
    </row>
    <row r="412" spans="9:40" s="9" customFormat="1" ht="20.100000000000001" customHeight="1" x14ac:dyDescent="0.25">
      <c r="I412" s="28"/>
      <c r="K412" s="28"/>
      <c r="N412" s="28"/>
      <c r="P412" s="28"/>
      <c r="S412" s="28"/>
      <c r="V412" s="28"/>
      <c r="Y412" s="28"/>
      <c r="AB412" s="28"/>
      <c r="AE412" s="28"/>
      <c r="AH412" s="28"/>
      <c r="AK412" s="28"/>
      <c r="AN412" s="28"/>
    </row>
    <row r="413" spans="9:40" s="9" customFormat="1" ht="20.100000000000001" customHeight="1" x14ac:dyDescent="0.25">
      <c r="I413" s="28"/>
      <c r="K413" s="28"/>
      <c r="N413" s="28"/>
      <c r="P413" s="28"/>
      <c r="S413" s="28"/>
      <c r="V413" s="28"/>
      <c r="Y413" s="28"/>
      <c r="AB413" s="28"/>
      <c r="AE413" s="28"/>
      <c r="AH413" s="28"/>
      <c r="AK413" s="28"/>
      <c r="AN413" s="28"/>
    </row>
    <row r="414" spans="9:40" s="9" customFormat="1" ht="20.100000000000001" customHeight="1" x14ac:dyDescent="0.25">
      <c r="I414" s="28"/>
      <c r="K414" s="28"/>
      <c r="N414" s="28"/>
      <c r="P414" s="28"/>
      <c r="S414" s="28"/>
      <c r="V414" s="28"/>
      <c r="Y414" s="28"/>
      <c r="AB414" s="28"/>
      <c r="AE414" s="28"/>
      <c r="AH414" s="28"/>
      <c r="AK414" s="28"/>
      <c r="AN414" s="28"/>
    </row>
    <row r="415" spans="9:40" s="9" customFormat="1" ht="20.100000000000001" customHeight="1" x14ac:dyDescent="0.25">
      <c r="I415" s="28"/>
      <c r="K415" s="28"/>
      <c r="N415" s="28"/>
      <c r="P415" s="28"/>
      <c r="S415" s="28"/>
      <c r="V415" s="28"/>
      <c r="Y415" s="28"/>
      <c r="AB415" s="28"/>
      <c r="AE415" s="28"/>
      <c r="AH415" s="28"/>
      <c r="AK415" s="28"/>
      <c r="AN415" s="28"/>
    </row>
    <row r="416" spans="9:40" s="9" customFormat="1" ht="20.100000000000001" customHeight="1" x14ac:dyDescent="0.25">
      <c r="I416" s="28"/>
      <c r="K416" s="28"/>
      <c r="N416" s="28"/>
      <c r="P416" s="28"/>
      <c r="S416" s="28"/>
      <c r="V416" s="28"/>
      <c r="Y416" s="28"/>
      <c r="AB416" s="28"/>
      <c r="AE416" s="28"/>
      <c r="AH416" s="28"/>
      <c r="AK416" s="28"/>
      <c r="AN416" s="28"/>
    </row>
    <row r="417" spans="9:40" s="9" customFormat="1" ht="20.100000000000001" customHeight="1" x14ac:dyDescent="0.25">
      <c r="I417" s="28"/>
      <c r="K417" s="28"/>
      <c r="N417" s="28"/>
      <c r="P417" s="28"/>
      <c r="S417" s="28"/>
      <c r="V417" s="28"/>
      <c r="Y417" s="28"/>
      <c r="AB417" s="28"/>
      <c r="AE417" s="28"/>
      <c r="AH417" s="28"/>
      <c r="AK417" s="28"/>
      <c r="AN417" s="28"/>
    </row>
    <row r="418" spans="9:40" s="9" customFormat="1" ht="20.100000000000001" customHeight="1" x14ac:dyDescent="0.25">
      <c r="I418" s="28"/>
      <c r="K418" s="28"/>
      <c r="N418" s="28"/>
      <c r="P418" s="28"/>
      <c r="S418" s="28"/>
      <c r="V418" s="28"/>
      <c r="Y418" s="28"/>
      <c r="AB418" s="28"/>
      <c r="AE418" s="28"/>
      <c r="AH418" s="28"/>
      <c r="AK418" s="28"/>
      <c r="AN418" s="28"/>
    </row>
    <row r="419" spans="9:40" s="9" customFormat="1" ht="20.100000000000001" customHeight="1" x14ac:dyDescent="0.25">
      <c r="I419" s="28"/>
      <c r="K419" s="28"/>
      <c r="N419" s="28"/>
      <c r="P419" s="28"/>
      <c r="S419" s="28"/>
      <c r="V419" s="28"/>
      <c r="Y419" s="28"/>
      <c r="AB419" s="28"/>
      <c r="AE419" s="28"/>
      <c r="AH419" s="28"/>
      <c r="AK419" s="28"/>
      <c r="AN419" s="28"/>
    </row>
    <row r="420" spans="9:40" s="9" customFormat="1" ht="20.100000000000001" customHeight="1" x14ac:dyDescent="0.25">
      <c r="I420" s="28"/>
      <c r="K420" s="28"/>
      <c r="N420" s="28"/>
      <c r="P420" s="28"/>
      <c r="S420" s="28"/>
      <c r="V420" s="28"/>
      <c r="Y420" s="28"/>
      <c r="AB420" s="28"/>
      <c r="AE420" s="28"/>
      <c r="AH420" s="28"/>
      <c r="AK420" s="28"/>
      <c r="AN420" s="28"/>
    </row>
    <row r="421" spans="9:40" s="9" customFormat="1" ht="20.100000000000001" customHeight="1" x14ac:dyDescent="0.25">
      <c r="I421" s="28"/>
      <c r="K421" s="28"/>
      <c r="N421" s="28"/>
      <c r="P421" s="28"/>
      <c r="S421" s="28"/>
      <c r="V421" s="28"/>
      <c r="Y421" s="28"/>
      <c r="AB421" s="28"/>
      <c r="AE421" s="28"/>
      <c r="AH421" s="28"/>
      <c r="AK421" s="28"/>
      <c r="AN421" s="28"/>
    </row>
    <row r="422" spans="9:40" s="9" customFormat="1" ht="20.100000000000001" customHeight="1" x14ac:dyDescent="0.25">
      <c r="I422" s="28"/>
      <c r="K422" s="28"/>
      <c r="N422" s="28"/>
      <c r="P422" s="28"/>
      <c r="S422" s="28"/>
      <c r="V422" s="28"/>
      <c r="Y422" s="28"/>
      <c r="AB422" s="28"/>
      <c r="AE422" s="28"/>
      <c r="AH422" s="28"/>
      <c r="AK422" s="28"/>
      <c r="AN422" s="28"/>
    </row>
    <row r="423" spans="9:40" s="9" customFormat="1" ht="20.100000000000001" customHeight="1" x14ac:dyDescent="0.25">
      <c r="I423" s="28"/>
      <c r="K423" s="28"/>
      <c r="N423" s="28"/>
      <c r="P423" s="28"/>
      <c r="S423" s="28"/>
      <c r="V423" s="28"/>
      <c r="Y423" s="28"/>
      <c r="AB423" s="28"/>
      <c r="AE423" s="28"/>
      <c r="AH423" s="28"/>
      <c r="AK423" s="28"/>
      <c r="AN423" s="28"/>
    </row>
    <row r="424" spans="9:40" s="9" customFormat="1" ht="20.100000000000001" customHeight="1" x14ac:dyDescent="0.25">
      <c r="I424" s="28"/>
      <c r="K424" s="28"/>
      <c r="N424" s="28"/>
      <c r="P424" s="28"/>
      <c r="S424" s="28"/>
      <c r="V424" s="28"/>
      <c r="Y424" s="28"/>
      <c r="AB424" s="28"/>
      <c r="AE424" s="28"/>
      <c r="AH424" s="28"/>
      <c r="AK424" s="28"/>
      <c r="AN424" s="28"/>
    </row>
    <row r="425" spans="9:40" s="9" customFormat="1" ht="20.100000000000001" customHeight="1" x14ac:dyDescent="0.25">
      <c r="I425" s="28"/>
      <c r="K425" s="28"/>
      <c r="N425" s="28"/>
      <c r="P425" s="28"/>
      <c r="S425" s="28"/>
      <c r="V425" s="28"/>
      <c r="Y425" s="28"/>
      <c r="AB425" s="28"/>
      <c r="AE425" s="28"/>
      <c r="AH425" s="28"/>
      <c r="AK425" s="28"/>
      <c r="AN425" s="28"/>
    </row>
    <row r="426" spans="9:40" s="9" customFormat="1" ht="20.100000000000001" customHeight="1" x14ac:dyDescent="0.25">
      <c r="I426" s="28"/>
      <c r="K426" s="28"/>
      <c r="N426" s="28"/>
      <c r="P426" s="28"/>
      <c r="S426" s="28"/>
      <c r="V426" s="28"/>
      <c r="Y426" s="28"/>
      <c r="AB426" s="28"/>
      <c r="AE426" s="28"/>
      <c r="AH426" s="28"/>
      <c r="AK426" s="28"/>
      <c r="AN426" s="28"/>
    </row>
    <row r="427" spans="9:40" s="9" customFormat="1" ht="20.100000000000001" customHeight="1" x14ac:dyDescent="0.25">
      <c r="I427" s="28"/>
      <c r="K427" s="28"/>
      <c r="N427" s="28"/>
      <c r="P427" s="28"/>
      <c r="S427" s="28"/>
      <c r="V427" s="28"/>
      <c r="Y427" s="28"/>
      <c r="AB427" s="28"/>
      <c r="AE427" s="28"/>
      <c r="AH427" s="28"/>
      <c r="AK427" s="28"/>
      <c r="AN427" s="28"/>
    </row>
    <row r="428" spans="9:40" s="9" customFormat="1" ht="20.100000000000001" customHeight="1" x14ac:dyDescent="0.25">
      <c r="I428" s="28"/>
      <c r="K428" s="28"/>
      <c r="N428" s="28"/>
      <c r="P428" s="28"/>
      <c r="S428" s="28"/>
      <c r="V428" s="28"/>
      <c r="Y428" s="28"/>
      <c r="AB428" s="28"/>
      <c r="AE428" s="28"/>
      <c r="AH428" s="28"/>
      <c r="AK428" s="28"/>
      <c r="AN428" s="28"/>
    </row>
    <row r="429" spans="9:40" s="9" customFormat="1" ht="20.100000000000001" customHeight="1" x14ac:dyDescent="0.25">
      <c r="I429" s="28"/>
      <c r="K429" s="28"/>
      <c r="N429" s="28"/>
      <c r="P429" s="28"/>
      <c r="S429" s="28"/>
      <c r="V429" s="28"/>
      <c r="Y429" s="28"/>
      <c r="AB429" s="28"/>
      <c r="AE429" s="28"/>
      <c r="AH429" s="28"/>
      <c r="AK429" s="28"/>
      <c r="AN429" s="28"/>
    </row>
    <row r="430" spans="9:40" s="9" customFormat="1" ht="20.100000000000001" customHeight="1" x14ac:dyDescent="0.25">
      <c r="I430" s="28"/>
      <c r="K430" s="28"/>
      <c r="N430" s="28"/>
      <c r="P430" s="28"/>
      <c r="S430" s="28"/>
      <c r="V430" s="28"/>
      <c r="Y430" s="28"/>
      <c r="AB430" s="28"/>
      <c r="AE430" s="28"/>
      <c r="AH430" s="28"/>
      <c r="AK430" s="28"/>
      <c r="AN430" s="28"/>
    </row>
    <row r="431" spans="9:40" s="9" customFormat="1" ht="20.100000000000001" customHeight="1" x14ac:dyDescent="0.25">
      <c r="I431" s="28"/>
      <c r="K431" s="28"/>
      <c r="N431" s="28"/>
      <c r="P431" s="28"/>
      <c r="S431" s="28"/>
      <c r="V431" s="28"/>
      <c r="Y431" s="28"/>
      <c r="AB431" s="28"/>
      <c r="AE431" s="28"/>
      <c r="AH431" s="28"/>
      <c r="AK431" s="28"/>
      <c r="AN431" s="28"/>
    </row>
    <row r="432" spans="9:40" s="9" customFormat="1" ht="20.100000000000001" customHeight="1" x14ac:dyDescent="0.25">
      <c r="I432" s="28"/>
      <c r="K432" s="28"/>
      <c r="N432" s="28"/>
      <c r="P432" s="28"/>
      <c r="S432" s="28"/>
      <c r="V432" s="28"/>
      <c r="Y432" s="28"/>
      <c r="AB432" s="28"/>
      <c r="AE432" s="28"/>
      <c r="AH432" s="28"/>
      <c r="AK432" s="28"/>
      <c r="AN432" s="28"/>
    </row>
    <row r="433" spans="9:40" s="9" customFormat="1" ht="20.100000000000001" customHeight="1" x14ac:dyDescent="0.25">
      <c r="I433" s="28"/>
      <c r="K433" s="28"/>
      <c r="N433" s="28"/>
      <c r="P433" s="28"/>
      <c r="S433" s="28"/>
      <c r="V433" s="28"/>
      <c r="Y433" s="28"/>
      <c r="AB433" s="28"/>
      <c r="AE433" s="28"/>
      <c r="AH433" s="28"/>
      <c r="AK433" s="28"/>
      <c r="AN433" s="28"/>
    </row>
    <row r="434" spans="9:40" s="9" customFormat="1" ht="20.100000000000001" customHeight="1" x14ac:dyDescent="0.25">
      <c r="I434" s="28"/>
      <c r="K434" s="28"/>
      <c r="N434" s="28"/>
      <c r="P434" s="28"/>
      <c r="S434" s="28"/>
      <c r="V434" s="28"/>
      <c r="Y434" s="28"/>
      <c r="AB434" s="28"/>
      <c r="AE434" s="28"/>
      <c r="AH434" s="28"/>
      <c r="AK434" s="28"/>
      <c r="AN434" s="28"/>
    </row>
    <row r="435" spans="9:40" s="9" customFormat="1" ht="20.100000000000001" customHeight="1" x14ac:dyDescent="0.25">
      <c r="I435" s="28"/>
      <c r="K435" s="28"/>
      <c r="N435" s="28"/>
      <c r="P435" s="28"/>
      <c r="S435" s="28"/>
      <c r="V435" s="28"/>
      <c r="Y435" s="28"/>
      <c r="AB435" s="28"/>
      <c r="AE435" s="28"/>
      <c r="AH435" s="28"/>
      <c r="AK435" s="28"/>
      <c r="AN435" s="28"/>
    </row>
    <row r="436" spans="9:40" s="9" customFormat="1" ht="20.100000000000001" customHeight="1" x14ac:dyDescent="0.25">
      <c r="I436" s="28"/>
      <c r="K436" s="28"/>
      <c r="N436" s="28"/>
      <c r="P436" s="28"/>
      <c r="S436" s="28"/>
      <c r="V436" s="28"/>
      <c r="Y436" s="28"/>
      <c r="AB436" s="28"/>
      <c r="AE436" s="28"/>
      <c r="AH436" s="28"/>
      <c r="AK436" s="28"/>
      <c r="AN436" s="28"/>
    </row>
    <row r="437" spans="9:40" s="9" customFormat="1" ht="20.100000000000001" customHeight="1" x14ac:dyDescent="0.25">
      <c r="I437" s="28"/>
      <c r="K437" s="28"/>
      <c r="N437" s="28"/>
      <c r="P437" s="28"/>
      <c r="S437" s="28"/>
      <c r="V437" s="28"/>
      <c r="Y437" s="28"/>
      <c r="AB437" s="28"/>
      <c r="AE437" s="28"/>
      <c r="AH437" s="28"/>
      <c r="AK437" s="28"/>
      <c r="AN437" s="28"/>
    </row>
    <row r="438" spans="9:40" s="9" customFormat="1" ht="20.100000000000001" customHeight="1" x14ac:dyDescent="0.25">
      <c r="I438" s="28"/>
      <c r="K438" s="28"/>
      <c r="N438" s="28"/>
      <c r="P438" s="28"/>
      <c r="S438" s="28"/>
      <c r="V438" s="28"/>
      <c r="Y438" s="28"/>
      <c r="AB438" s="28"/>
      <c r="AE438" s="28"/>
      <c r="AH438" s="28"/>
      <c r="AK438" s="28"/>
      <c r="AN438" s="28"/>
    </row>
    <row r="439" spans="9:40" s="9" customFormat="1" ht="20.100000000000001" customHeight="1" x14ac:dyDescent="0.25">
      <c r="I439" s="28"/>
      <c r="K439" s="28"/>
      <c r="N439" s="28"/>
      <c r="P439" s="28"/>
      <c r="S439" s="28"/>
      <c r="V439" s="28"/>
      <c r="Y439" s="28"/>
      <c r="AB439" s="28"/>
      <c r="AE439" s="28"/>
      <c r="AH439" s="28"/>
      <c r="AK439" s="28"/>
      <c r="AN439" s="28"/>
    </row>
    <row r="440" spans="9:40" s="9" customFormat="1" ht="20.100000000000001" customHeight="1" x14ac:dyDescent="0.25">
      <c r="I440" s="28"/>
      <c r="K440" s="28"/>
      <c r="N440" s="28"/>
      <c r="P440" s="28"/>
      <c r="S440" s="28"/>
      <c r="V440" s="28"/>
      <c r="Y440" s="28"/>
      <c r="AB440" s="28"/>
      <c r="AE440" s="28"/>
      <c r="AH440" s="28"/>
      <c r="AK440" s="28"/>
      <c r="AN440" s="28"/>
    </row>
    <row r="441" spans="9:40" s="9" customFormat="1" ht="20.100000000000001" customHeight="1" x14ac:dyDescent="0.25">
      <c r="I441" s="28"/>
      <c r="K441" s="28"/>
      <c r="N441" s="28"/>
      <c r="P441" s="28"/>
      <c r="S441" s="28"/>
      <c r="V441" s="28"/>
      <c r="Y441" s="28"/>
      <c r="AB441" s="28"/>
      <c r="AE441" s="28"/>
      <c r="AH441" s="28"/>
      <c r="AK441" s="28"/>
      <c r="AN441" s="28"/>
    </row>
    <row r="442" spans="9:40" s="9" customFormat="1" ht="20.100000000000001" customHeight="1" x14ac:dyDescent="0.25">
      <c r="I442" s="28"/>
      <c r="K442" s="28"/>
      <c r="N442" s="28"/>
      <c r="P442" s="28"/>
      <c r="S442" s="28"/>
      <c r="V442" s="28"/>
      <c r="Y442" s="28"/>
      <c r="AB442" s="28"/>
      <c r="AE442" s="28"/>
      <c r="AH442" s="28"/>
      <c r="AK442" s="28"/>
      <c r="AN442" s="28"/>
    </row>
    <row r="443" spans="9:40" s="9" customFormat="1" ht="20.100000000000001" customHeight="1" x14ac:dyDescent="0.25">
      <c r="I443" s="28"/>
      <c r="K443" s="28"/>
      <c r="N443" s="28"/>
      <c r="P443" s="28"/>
      <c r="S443" s="28"/>
      <c r="V443" s="28"/>
      <c r="Y443" s="28"/>
      <c r="AB443" s="28"/>
      <c r="AE443" s="28"/>
      <c r="AH443" s="28"/>
      <c r="AK443" s="28"/>
      <c r="AN443" s="28"/>
    </row>
    <row r="444" spans="9:40" s="9" customFormat="1" ht="20.100000000000001" customHeight="1" x14ac:dyDescent="0.25">
      <c r="I444" s="28"/>
      <c r="K444" s="28"/>
      <c r="N444" s="28"/>
      <c r="P444" s="28"/>
      <c r="S444" s="28"/>
      <c r="V444" s="28"/>
      <c r="Y444" s="28"/>
      <c r="AB444" s="28"/>
      <c r="AE444" s="28"/>
      <c r="AH444" s="28"/>
      <c r="AK444" s="28"/>
      <c r="AN444" s="28"/>
    </row>
    <row r="445" spans="9:40" s="9" customFormat="1" ht="20.100000000000001" customHeight="1" x14ac:dyDescent="0.25">
      <c r="I445" s="28"/>
      <c r="K445" s="28"/>
      <c r="N445" s="28"/>
      <c r="P445" s="28"/>
      <c r="S445" s="28"/>
      <c r="V445" s="28"/>
      <c r="Y445" s="28"/>
      <c r="AB445" s="28"/>
      <c r="AE445" s="28"/>
      <c r="AH445" s="28"/>
      <c r="AK445" s="28"/>
      <c r="AN445" s="28"/>
    </row>
    <row r="446" spans="9:40" s="9" customFormat="1" ht="20.100000000000001" customHeight="1" x14ac:dyDescent="0.25">
      <c r="I446" s="28"/>
      <c r="K446" s="28"/>
      <c r="N446" s="28"/>
      <c r="P446" s="28"/>
      <c r="S446" s="28"/>
      <c r="V446" s="28"/>
      <c r="Y446" s="28"/>
      <c r="AB446" s="28"/>
      <c r="AE446" s="28"/>
      <c r="AH446" s="28"/>
      <c r="AK446" s="28"/>
      <c r="AN446" s="28"/>
    </row>
    <row r="447" spans="9:40" s="9" customFormat="1" ht="20.100000000000001" customHeight="1" x14ac:dyDescent="0.25">
      <c r="I447" s="28"/>
      <c r="K447" s="28"/>
      <c r="N447" s="28"/>
      <c r="P447" s="28"/>
      <c r="S447" s="28"/>
      <c r="V447" s="28"/>
      <c r="Y447" s="28"/>
      <c r="AB447" s="28"/>
      <c r="AE447" s="28"/>
      <c r="AH447" s="28"/>
      <c r="AK447" s="28"/>
      <c r="AN447" s="28"/>
    </row>
    <row r="448" spans="9:40" s="9" customFormat="1" ht="20.100000000000001" customHeight="1" x14ac:dyDescent="0.25">
      <c r="I448" s="28"/>
      <c r="K448" s="28"/>
      <c r="N448" s="28"/>
      <c r="P448" s="28"/>
      <c r="S448" s="28"/>
      <c r="V448" s="28"/>
      <c r="Y448" s="28"/>
      <c r="AB448" s="28"/>
      <c r="AE448" s="28"/>
      <c r="AH448" s="28"/>
      <c r="AK448" s="28"/>
      <c r="AN448" s="28"/>
    </row>
    <row r="449" spans="9:40" s="9" customFormat="1" ht="20.100000000000001" customHeight="1" x14ac:dyDescent="0.25">
      <c r="I449" s="28"/>
      <c r="K449" s="28"/>
      <c r="N449" s="28"/>
      <c r="P449" s="28"/>
      <c r="S449" s="28"/>
      <c r="V449" s="28"/>
      <c r="Y449" s="28"/>
      <c r="AB449" s="28"/>
      <c r="AE449" s="28"/>
      <c r="AH449" s="28"/>
      <c r="AK449" s="28"/>
      <c r="AN449" s="28"/>
    </row>
    <row r="450" spans="9:40" s="9" customFormat="1" ht="20.100000000000001" customHeight="1" x14ac:dyDescent="0.25">
      <c r="I450" s="28"/>
      <c r="K450" s="28"/>
      <c r="N450" s="28"/>
      <c r="P450" s="28"/>
      <c r="S450" s="28"/>
      <c r="V450" s="28"/>
      <c r="Y450" s="28"/>
      <c r="AB450" s="28"/>
      <c r="AE450" s="28"/>
      <c r="AH450" s="28"/>
      <c r="AK450" s="28"/>
      <c r="AN450" s="28"/>
    </row>
    <row r="451" spans="9:40" s="9" customFormat="1" ht="20.100000000000001" customHeight="1" x14ac:dyDescent="0.25">
      <c r="I451" s="28"/>
      <c r="K451" s="28"/>
      <c r="N451" s="28"/>
      <c r="P451" s="28"/>
      <c r="S451" s="28"/>
      <c r="V451" s="28"/>
      <c r="Y451" s="28"/>
      <c r="AB451" s="28"/>
      <c r="AE451" s="28"/>
      <c r="AH451" s="28"/>
      <c r="AK451" s="28"/>
      <c r="AN451" s="28"/>
    </row>
    <row r="452" spans="9:40" s="9" customFormat="1" ht="20.100000000000001" customHeight="1" x14ac:dyDescent="0.25">
      <c r="I452" s="28"/>
      <c r="K452" s="28"/>
      <c r="N452" s="28"/>
      <c r="P452" s="28"/>
      <c r="S452" s="28"/>
      <c r="V452" s="28"/>
      <c r="Y452" s="28"/>
      <c r="AB452" s="28"/>
      <c r="AE452" s="28"/>
      <c r="AH452" s="28"/>
      <c r="AK452" s="28"/>
      <c r="AN452" s="28"/>
    </row>
    <row r="453" spans="9:40" s="9" customFormat="1" ht="20.100000000000001" customHeight="1" x14ac:dyDescent="0.25">
      <c r="I453" s="28"/>
      <c r="K453" s="28"/>
      <c r="N453" s="28"/>
      <c r="P453" s="28"/>
      <c r="S453" s="28"/>
      <c r="V453" s="28"/>
      <c r="Y453" s="28"/>
      <c r="AB453" s="28"/>
      <c r="AE453" s="28"/>
      <c r="AH453" s="28"/>
      <c r="AK453" s="28"/>
      <c r="AN453" s="28"/>
    </row>
    <row r="454" spans="9:40" s="9" customFormat="1" ht="20.100000000000001" customHeight="1" x14ac:dyDescent="0.25">
      <c r="I454" s="28"/>
      <c r="K454" s="28"/>
      <c r="N454" s="28"/>
      <c r="P454" s="28"/>
      <c r="S454" s="28"/>
      <c r="V454" s="28"/>
      <c r="Y454" s="28"/>
      <c r="AB454" s="28"/>
      <c r="AE454" s="28"/>
      <c r="AH454" s="28"/>
      <c r="AK454" s="28"/>
      <c r="AN454" s="28"/>
    </row>
    <row r="455" spans="9:40" s="9" customFormat="1" ht="20.100000000000001" customHeight="1" x14ac:dyDescent="0.25">
      <c r="I455" s="28"/>
      <c r="K455" s="28"/>
      <c r="N455" s="28"/>
      <c r="P455" s="28"/>
      <c r="S455" s="28"/>
      <c r="V455" s="28"/>
      <c r="Y455" s="28"/>
      <c r="AB455" s="28"/>
      <c r="AE455" s="28"/>
      <c r="AH455" s="28"/>
      <c r="AK455" s="28"/>
      <c r="AN455" s="28"/>
    </row>
    <row r="456" spans="9:40" s="9" customFormat="1" ht="20.100000000000001" customHeight="1" x14ac:dyDescent="0.25">
      <c r="I456" s="28"/>
      <c r="K456" s="28"/>
      <c r="N456" s="28"/>
      <c r="P456" s="28"/>
      <c r="S456" s="28"/>
      <c r="V456" s="28"/>
      <c r="Y456" s="28"/>
      <c r="AB456" s="28"/>
      <c r="AE456" s="28"/>
      <c r="AH456" s="28"/>
      <c r="AK456" s="28"/>
      <c r="AN456" s="28"/>
    </row>
    <row r="457" spans="9:40" s="9" customFormat="1" ht="20.100000000000001" customHeight="1" x14ac:dyDescent="0.25">
      <c r="I457" s="28"/>
      <c r="K457" s="28"/>
      <c r="N457" s="28"/>
      <c r="P457" s="28"/>
      <c r="S457" s="28"/>
      <c r="V457" s="28"/>
      <c r="Y457" s="28"/>
      <c r="AB457" s="28"/>
      <c r="AE457" s="28"/>
      <c r="AH457" s="28"/>
      <c r="AK457" s="28"/>
      <c r="AN457" s="28"/>
    </row>
    <row r="458" spans="9:40" s="9" customFormat="1" ht="20.100000000000001" customHeight="1" x14ac:dyDescent="0.25">
      <c r="I458" s="28"/>
      <c r="K458" s="28"/>
      <c r="N458" s="28"/>
      <c r="P458" s="28"/>
      <c r="S458" s="28"/>
      <c r="V458" s="28"/>
      <c r="Y458" s="28"/>
      <c r="AB458" s="28"/>
      <c r="AE458" s="28"/>
      <c r="AH458" s="28"/>
      <c r="AK458" s="28"/>
      <c r="AN458" s="28"/>
    </row>
    <row r="459" spans="9:40" s="9" customFormat="1" ht="20.100000000000001" customHeight="1" x14ac:dyDescent="0.25">
      <c r="I459" s="28"/>
      <c r="K459" s="28"/>
      <c r="N459" s="28"/>
      <c r="P459" s="28"/>
      <c r="S459" s="28"/>
      <c r="V459" s="28"/>
      <c r="Y459" s="28"/>
      <c r="AB459" s="28"/>
      <c r="AE459" s="28"/>
      <c r="AH459" s="28"/>
      <c r="AK459" s="28"/>
      <c r="AN459" s="28"/>
    </row>
    <row r="460" spans="9:40" s="9" customFormat="1" ht="20.100000000000001" customHeight="1" x14ac:dyDescent="0.25">
      <c r="I460" s="28"/>
      <c r="K460" s="28"/>
      <c r="N460" s="28"/>
      <c r="P460" s="28"/>
      <c r="S460" s="28"/>
      <c r="V460" s="28"/>
      <c r="Y460" s="28"/>
      <c r="AB460" s="28"/>
      <c r="AE460" s="28"/>
      <c r="AH460" s="28"/>
      <c r="AK460" s="28"/>
      <c r="AN460" s="28"/>
    </row>
    <row r="461" spans="9:40" s="9" customFormat="1" ht="20.100000000000001" customHeight="1" x14ac:dyDescent="0.25">
      <c r="I461" s="28"/>
      <c r="K461" s="28"/>
      <c r="N461" s="28"/>
      <c r="P461" s="28"/>
      <c r="S461" s="28"/>
      <c r="V461" s="28"/>
      <c r="Y461" s="28"/>
      <c r="AB461" s="28"/>
      <c r="AE461" s="28"/>
      <c r="AH461" s="28"/>
      <c r="AK461" s="28"/>
      <c r="AN461" s="28"/>
    </row>
    <row r="462" spans="9:40" s="9" customFormat="1" ht="20.100000000000001" customHeight="1" x14ac:dyDescent="0.25">
      <c r="I462" s="28"/>
      <c r="K462" s="28"/>
      <c r="N462" s="28"/>
      <c r="P462" s="28"/>
      <c r="S462" s="28"/>
      <c r="V462" s="28"/>
      <c r="Y462" s="28"/>
      <c r="AB462" s="28"/>
      <c r="AE462" s="28"/>
      <c r="AH462" s="28"/>
      <c r="AK462" s="28"/>
      <c r="AN462" s="28"/>
    </row>
    <row r="463" spans="9:40" s="9" customFormat="1" ht="20.100000000000001" customHeight="1" x14ac:dyDescent="0.25">
      <c r="I463" s="28"/>
      <c r="K463" s="28"/>
      <c r="N463" s="28"/>
      <c r="P463" s="28"/>
      <c r="S463" s="28"/>
      <c r="V463" s="28"/>
      <c r="Y463" s="28"/>
      <c r="AB463" s="28"/>
      <c r="AE463" s="28"/>
      <c r="AH463" s="28"/>
      <c r="AK463" s="28"/>
      <c r="AN463" s="28"/>
    </row>
    <row r="464" spans="9:40" s="9" customFormat="1" ht="20.100000000000001" customHeight="1" x14ac:dyDescent="0.25">
      <c r="I464" s="28"/>
      <c r="K464" s="28"/>
      <c r="N464" s="28"/>
      <c r="P464" s="28"/>
      <c r="S464" s="28"/>
      <c r="V464" s="28"/>
      <c r="Y464" s="28"/>
      <c r="AB464" s="28"/>
      <c r="AE464" s="28"/>
      <c r="AH464" s="28"/>
      <c r="AK464" s="28"/>
      <c r="AN464" s="28"/>
    </row>
    <row r="465" spans="9:40" s="9" customFormat="1" ht="20.100000000000001" customHeight="1" x14ac:dyDescent="0.25">
      <c r="I465" s="28"/>
      <c r="K465" s="28"/>
      <c r="N465" s="28"/>
      <c r="P465" s="28"/>
      <c r="S465" s="28"/>
      <c r="V465" s="28"/>
      <c r="Y465" s="28"/>
      <c r="AB465" s="28"/>
      <c r="AE465" s="28"/>
      <c r="AH465" s="28"/>
      <c r="AK465" s="28"/>
      <c r="AN465" s="28"/>
    </row>
    <row r="466" spans="9:40" s="9" customFormat="1" ht="20.100000000000001" customHeight="1" x14ac:dyDescent="0.25">
      <c r="I466" s="28"/>
      <c r="K466" s="28"/>
      <c r="N466" s="28"/>
      <c r="P466" s="28"/>
      <c r="S466" s="28"/>
      <c r="V466" s="28"/>
      <c r="Y466" s="28"/>
      <c r="AB466" s="28"/>
      <c r="AE466" s="28"/>
      <c r="AH466" s="28"/>
      <c r="AK466" s="28"/>
      <c r="AN466" s="28"/>
    </row>
    <row r="467" spans="9:40" s="9" customFormat="1" ht="20.100000000000001" customHeight="1" x14ac:dyDescent="0.25">
      <c r="I467" s="28"/>
      <c r="K467" s="28"/>
      <c r="N467" s="28"/>
      <c r="P467" s="28"/>
      <c r="S467" s="28"/>
      <c r="V467" s="28"/>
      <c r="Y467" s="28"/>
      <c r="AB467" s="28"/>
      <c r="AE467" s="28"/>
      <c r="AH467" s="28"/>
      <c r="AK467" s="28"/>
      <c r="AN467" s="28"/>
    </row>
    <row r="468" spans="9:40" s="9" customFormat="1" ht="20.100000000000001" customHeight="1" x14ac:dyDescent="0.25">
      <c r="I468" s="28"/>
      <c r="K468" s="28"/>
      <c r="N468" s="28"/>
      <c r="P468" s="28"/>
      <c r="S468" s="28"/>
      <c r="V468" s="28"/>
      <c r="Y468" s="28"/>
      <c r="AB468" s="28"/>
      <c r="AE468" s="28"/>
      <c r="AH468" s="28"/>
      <c r="AK468" s="28"/>
      <c r="AN468" s="28"/>
    </row>
    <row r="469" spans="9:40" s="9" customFormat="1" ht="20.100000000000001" customHeight="1" x14ac:dyDescent="0.25">
      <c r="I469" s="28"/>
      <c r="K469" s="28"/>
      <c r="N469" s="28"/>
      <c r="P469" s="28"/>
      <c r="S469" s="28"/>
      <c r="V469" s="28"/>
      <c r="Y469" s="28"/>
      <c r="AB469" s="28"/>
      <c r="AE469" s="28"/>
      <c r="AH469" s="28"/>
      <c r="AK469" s="28"/>
      <c r="AN469" s="28"/>
    </row>
    <row r="470" spans="9:40" s="9" customFormat="1" ht="20.100000000000001" customHeight="1" x14ac:dyDescent="0.25">
      <c r="I470" s="28"/>
      <c r="K470" s="28"/>
      <c r="N470" s="28"/>
      <c r="P470" s="28"/>
      <c r="S470" s="28"/>
      <c r="V470" s="28"/>
      <c r="Y470" s="28"/>
      <c r="AB470" s="28"/>
      <c r="AE470" s="28"/>
      <c r="AH470" s="28"/>
      <c r="AK470" s="28"/>
      <c r="AN470" s="28"/>
    </row>
  </sheetData>
  <sheetProtection formatColumns="0" formatRows="0"/>
  <mergeCells count="358">
    <mergeCell ref="D159:E159"/>
    <mergeCell ref="D164:E164"/>
    <mergeCell ref="D165:E165"/>
    <mergeCell ref="D170:E170"/>
    <mergeCell ref="D171:E171"/>
    <mergeCell ref="D176:E176"/>
    <mergeCell ref="D177:E177"/>
    <mergeCell ref="D122:E122"/>
    <mergeCell ref="D123:E123"/>
    <mergeCell ref="D128:E128"/>
    <mergeCell ref="D129:E129"/>
    <mergeCell ref="D134:E134"/>
    <mergeCell ref="D135:E135"/>
    <mergeCell ref="D152:E152"/>
    <mergeCell ref="D153:E153"/>
    <mergeCell ref="D158:E158"/>
    <mergeCell ref="D157:E157"/>
    <mergeCell ref="D166:E166"/>
    <mergeCell ref="D167:E167"/>
    <mergeCell ref="D168:E168"/>
    <mergeCell ref="D169:E169"/>
    <mergeCell ref="D172:E172"/>
    <mergeCell ref="D173:E173"/>
    <mergeCell ref="D174:E174"/>
    <mergeCell ref="D75:E75"/>
    <mergeCell ref="D110:E110"/>
    <mergeCell ref="D111:E111"/>
    <mergeCell ref="D116:E116"/>
    <mergeCell ref="D117:E117"/>
    <mergeCell ref="D109:E109"/>
    <mergeCell ref="D112:E112"/>
    <mergeCell ref="D113:E113"/>
    <mergeCell ref="D114:E114"/>
    <mergeCell ref="D115:E115"/>
    <mergeCell ref="D108:E108"/>
    <mergeCell ref="D87:E87"/>
    <mergeCell ref="D92:E92"/>
    <mergeCell ref="B191:E192"/>
    <mergeCell ref="B193:E195"/>
    <mergeCell ref="D181:E181"/>
    <mergeCell ref="X192:X193"/>
    <mergeCell ref="Y192:Z193"/>
    <mergeCell ref="X194:Z194"/>
    <mergeCell ref="X195:Z195"/>
    <mergeCell ref="Y3:Z3"/>
    <mergeCell ref="X4:X5"/>
    <mergeCell ref="Y4:Z5"/>
    <mergeCell ref="X7:Z8"/>
    <mergeCell ref="X186:Z186"/>
    <mergeCell ref="Y187:Z187"/>
    <mergeCell ref="Y188:Z188"/>
    <mergeCell ref="Y189:Z189"/>
    <mergeCell ref="X190:X191"/>
    <mergeCell ref="Y190:Z191"/>
    <mergeCell ref="D26:E26"/>
    <mergeCell ref="D27:E27"/>
    <mergeCell ref="D32:E32"/>
    <mergeCell ref="D33:E33"/>
    <mergeCell ref="D38:E38"/>
    <mergeCell ref="D39:E39"/>
    <mergeCell ref="D44:E44"/>
    <mergeCell ref="D175:E175"/>
    <mergeCell ref="D178:E178"/>
    <mergeCell ref="D179:E179"/>
    <mergeCell ref="D160:E160"/>
    <mergeCell ref="D161:E161"/>
    <mergeCell ref="D162:E162"/>
    <mergeCell ref="D163:E163"/>
    <mergeCell ref="B187:E188"/>
    <mergeCell ref="B189:E190"/>
    <mergeCell ref="D180:E180"/>
    <mergeCell ref="D182:E182"/>
    <mergeCell ref="D183:E183"/>
    <mergeCell ref="D184:E184"/>
    <mergeCell ref="D185:E185"/>
    <mergeCell ref="D156:E156"/>
    <mergeCell ref="D85:E85"/>
    <mergeCell ref="D88:E88"/>
    <mergeCell ref="D89:E89"/>
    <mergeCell ref="D90:E90"/>
    <mergeCell ref="D91:E91"/>
    <mergeCell ref="D94:E94"/>
    <mergeCell ref="D95:E95"/>
    <mergeCell ref="D96:E96"/>
    <mergeCell ref="D97:E97"/>
    <mergeCell ref="D100:E100"/>
    <mergeCell ref="D101:E101"/>
    <mergeCell ref="D102:E102"/>
    <mergeCell ref="D103:E103"/>
    <mergeCell ref="D127:E127"/>
    <mergeCell ref="D131:E131"/>
    <mergeCell ref="D132:E132"/>
    <mergeCell ref="D133:E133"/>
    <mergeCell ref="D99:E99"/>
    <mergeCell ref="D104:E104"/>
    <mergeCell ref="D105:E105"/>
    <mergeCell ref="D148:E148"/>
    <mergeCell ref="D149:E149"/>
    <mergeCell ref="D150:E150"/>
    <mergeCell ref="D154:E154"/>
    <mergeCell ref="D155:E155"/>
    <mergeCell ref="B1:C5"/>
    <mergeCell ref="D1:Q1"/>
    <mergeCell ref="J8:K8"/>
    <mergeCell ref="F4:G4"/>
    <mergeCell ref="J3:K3"/>
    <mergeCell ref="J4:K4"/>
    <mergeCell ref="J5:K5"/>
    <mergeCell ref="D73:E73"/>
    <mergeCell ref="D49:E49"/>
    <mergeCell ref="D52:E52"/>
    <mergeCell ref="D10:E10"/>
    <mergeCell ref="F7:I7"/>
    <mergeCell ref="J7:L7"/>
    <mergeCell ref="M7:N7"/>
    <mergeCell ref="D12:E12"/>
    <mergeCell ref="D22:E22"/>
    <mergeCell ref="D60:E60"/>
    <mergeCell ref="D61:E61"/>
    <mergeCell ref="D64:E64"/>
    <mergeCell ref="D65:E65"/>
    <mergeCell ref="D72:E72"/>
    <mergeCell ref="D74:E74"/>
    <mergeCell ref="A7:E8"/>
    <mergeCell ref="D31:E31"/>
    <mergeCell ref="D34:E34"/>
    <mergeCell ref="D71:E71"/>
    <mergeCell ref="D46:E46"/>
    <mergeCell ref="D47:E47"/>
    <mergeCell ref="D48:E48"/>
    <mergeCell ref="D23:E23"/>
    <mergeCell ref="D24:E24"/>
    <mergeCell ref="D28:E28"/>
    <mergeCell ref="D45:E45"/>
    <mergeCell ref="D50:E50"/>
    <mergeCell ref="D51:E51"/>
    <mergeCell ref="D56:E56"/>
    <mergeCell ref="D57:E57"/>
    <mergeCell ref="D62:E62"/>
    <mergeCell ref="D63:E63"/>
    <mergeCell ref="D68:E68"/>
    <mergeCell ref="D69:E69"/>
    <mergeCell ref="D66:E66"/>
    <mergeCell ref="D67:E67"/>
    <mergeCell ref="D70:E70"/>
    <mergeCell ref="D15:E15"/>
    <mergeCell ref="D14:E14"/>
    <mergeCell ref="V4:W5"/>
    <mergeCell ref="S3:T3"/>
    <mergeCell ref="V3:W3"/>
    <mergeCell ref="R4:R5"/>
    <mergeCell ref="G3:H3"/>
    <mergeCell ref="M3:N3"/>
    <mergeCell ref="P3:Q3"/>
    <mergeCell ref="M4:N4"/>
    <mergeCell ref="M5:N5"/>
    <mergeCell ref="O4:O5"/>
    <mergeCell ref="P4:Q5"/>
    <mergeCell ref="S4:T5"/>
    <mergeCell ref="U4:U5"/>
    <mergeCell ref="J186:L186"/>
    <mergeCell ref="M186:N186"/>
    <mergeCell ref="U7:W8"/>
    <mergeCell ref="F8:I8"/>
    <mergeCell ref="M8:N8"/>
    <mergeCell ref="O7:Q8"/>
    <mergeCell ref="R7:T8"/>
    <mergeCell ref="D25:E25"/>
    <mergeCell ref="O186:Q186"/>
    <mergeCell ref="R186:T186"/>
    <mergeCell ref="U186:W186"/>
    <mergeCell ref="D119:E119"/>
    <mergeCell ref="D120:E120"/>
    <mergeCell ref="D121:E121"/>
    <mergeCell ref="D124:E124"/>
    <mergeCell ref="D125:E125"/>
    <mergeCell ref="D126:E126"/>
    <mergeCell ref="D130:E130"/>
    <mergeCell ref="D11:E11"/>
    <mergeCell ref="D29:E29"/>
    <mergeCell ref="D30:E30"/>
    <mergeCell ref="D19:E19"/>
    <mergeCell ref="D20:E20"/>
    <mergeCell ref="D9:E9"/>
    <mergeCell ref="M187:N187"/>
    <mergeCell ref="P187:Q187"/>
    <mergeCell ref="S187:T187"/>
    <mergeCell ref="V187:W187"/>
    <mergeCell ref="F188:I188"/>
    <mergeCell ref="J188:L188"/>
    <mergeCell ref="M188:N188"/>
    <mergeCell ref="P188:Q188"/>
    <mergeCell ref="S188:T188"/>
    <mergeCell ref="V188:W188"/>
    <mergeCell ref="J187:L187"/>
    <mergeCell ref="M189:N189"/>
    <mergeCell ref="P189:Q189"/>
    <mergeCell ref="S189:T189"/>
    <mergeCell ref="V189:W189"/>
    <mergeCell ref="G190:H190"/>
    <mergeCell ref="O190:O191"/>
    <mergeCell ref="P190:Q191"/>
    <mergeCell ref="R190:R191"/>
    <mergeCell ref="S190:T191"/>
    <mergeCell ref="U190:U191"/>
    <mergeCell ref="V190:W191"/>
    <mergeCell ref="G191:H191"/>
    <mergeCell ref="J189:L189"/>
    <mergeCell ref="K191:L191"/>
    <mergeCell ref="K190:L190"/>
    <mergeCell ref="P192:Q193"/>
    <mergeCell ref="R192:R193"/>
    <mergeCell ref="S192:T193"/>
    <mergeCell ref="U192:U193"/>
    <mergeCell ref="V192:W193"/>
    <mergeCell ref="G193:H193"/>
    <mergeCell ref="G194:H194"/>
    <mergeCell ref="O194:Q194"/>
    <mergeCell ref="R194:T194"/>
    <mergeCell ref="U194:W194"/>
    <mergeCell ref="G192:H192"/>
    <mergeCell ref="K192:L192"/>
    <mergeCell ref="K193:L193"/>
    <mergeCell ref="K194:L194"/>
    <mergeCell ref="K195:L195"/>
    <mergeCell ref="I190:J190"/>
    <mergeCell ref="I191:J191"/>
    <mergeCell ref="I192:J192"/>
    <mergeCell ref="O192:O193"/>
    <mergeCell ref="B186:E186"/>
    <mergeCell ref="D35:E35"/>
    <mergeCell ref="D36:E36"/>
    <mergeCell ref="D37:E37"/>
    <mergeCell ref="D40:E40"/>
    <mergeCell ref="D41:E41"/>
    <mergeCell ref="D82:E82"/>
    <mergeCell ref="D83:E83"/>
    <mergeCell ref="D84:E84"/>
    <mergeCell ref="D42:E42"/>
    <mergeCell ref="D43:E43"/>
    <mergeCell ref="D53:E53"/>
    <mergeCell ref="D54:E54"/>
    <mergeCell ref="D55:E55"/>
    <mergeCell ref="D58:E58"/>
    <mergeCell ref="D59:E59"/>
    <mergeCell ref="D106:E106"/>
    <mergeCell ref="D107:E107"/>
    <mergeCell ref="D118:E118"/>
    <mergeCell ref="D151:E151"/>
    <mergeCell ref="AD194:AF194"/>
    <mergeCell ref="AD195:AF195"/>
    <mergeCell ref="AE3:AF3"/>
    <mergeCell ref="AD4:AD5"/>
    <mergeCell ref="AE4:AF5"/>
    <mergeCell ref="AD7:AF8"/>
    <mergeCell ref="AD186:AF186"/>
    <mergeCell ref="G195:H195"/>
    <mergeCell ref="F189:I189"/>
    <mergeCell ref="F187:I187"/>
    <mergeCell ref="F186:I186"/>
    <mergeCell ref="O195:Q195"/>
    <mergeCell ref="R195:T195"/>
    <mergeCell ref="U195:W195"/>
    <mergeCell ref="I193:J193"/>
    <mergeCell ref="I194:J194"/>
    <mergeCell ref="I195:J195"/>
    <mergeCell ref="M190:N190"/>
    <mergeCell ref="M191:N191"/>
    <mergeCell ref="M192:N192"/>
    <mergeCell ref="M193:N193"/>
    <mergeCell ref="M194:N194"/>
    <mergeCell ref="M195:N195"/>
    <mergeCell ref="AK192:AL193"/>
    <mergeCell ref="AD192:AD193"/>
    <mergeCell ref="AE192:AF193"/>
    <mergeCell ref="AA192:AA193"/>
    <mergeCell ref="AB192:AC193"/>
    <mergeCell ref="AA194:AC194"/>
    <mergeCell ref="AA195:AC195"/>
    <mergeCell ref="AB3:AC3"/>
    <mergeCell ref="AA4:AA5"/>
    <mergeCell ref="AB4:AC5"/>
    <mergeCell ref="AA7:AC8"/>
    <mergeCell ref="AA186:AC186"/>
    <mergeCell ref="AB187:AC187"/>
    <mergeCell ref="AB188:AC188"/>
    <mergeCell ref="AB189:AC189"/>
    <mergeCell ref="AA190:AA191"/>
    <mergeCell ref="AB190:AC191"/>
    <mergeCell ref="AG194:AI194"/>
    <mergeCell ref="AG195:AI195"/>
    <mergeCell ref="AE187:AF187"/>
    <mergeCell ref="AE188:AF188"/>
    <mergeCell ref="AE189:AF189"/>
    <mergeCell ref="AD190:AD191"/>
    <mergeCell ref="AE190:AF191"/>
    <mergeCell ref="AJ192:AJ193"/>
    <mergeCell ref="AG192:AG193"/>
    <mergeCell ref="AH192:AI193"/>
    <mergeCell ref="D93:E93"/>
    <mergeCell ref="D98:E98"/>
    <mergeCell ref="AJ194:AL194"/>
    <mergeCell ref="AJ195:AL195"/>
    <mergeCell ref="AH3:AI3"/>
    <mergeCell ref="AG4:AG5"/>
    <mergeCell ref="AH4:AI5"/>
    <mergeCell ref="AG7:AI8"/>
    <mergeCell ref="AG186:AI186"/>
    <mergeCell ref="AH187:AI187"/>
    <mergeCell ref="AK3:AL3"/>
    <mergeCell ref="AJ4:AJ5"/>
    <mergeCell ref="AK4:AL5"/>
    <mergeCell ref="AJ7:AL8"/>
    <mergeCell ref="AJ186:AL186"/>
    <mergeCell ref="AK187:AL187"/>
    <mergeCell ref="AK188:AL188"/>
    <mergeCell ref="AK189:AL189"/>
    <mergeCell ref="AJ190:AJ191"/>
    <mergeCell ref="AK190:AL191"/>
    <mergeCell ref="AH188:AI188"/>
    <mergeCell ref="AH189:AI189"/>
    <mergeCell ref="AG190:AG191"/>
    <mergeCell ref="AH190:AI191"/>
    <mergeCell ref="D16:E16"/>
    <mergeCell ref="D17:E17"/>
    <mergeCell ref="D144:E144"/>
    <mergeCell ref="D145:E145"/>
    <mergeCell ref="D146:E146"/>
    <mergeCell ref="D147:E147"/>
    <mergeCell ref="D136:E136"/>
    <mergeCell ref="D137:E137"/>
    <mergeCell ref="D138:E138"/>
    <mergeCell ref="D139:E139"/>
    <mergeCell ref="D140:E140"/>
    <mergeCell ref="D141:E141"/>
    <mergeCell ref="D142:E142"/>
    <mergeCell ref="D143:E143"/>
    <mergeCell ref="D76:E76"/>
    <mergeCell ref="D77:E77"/>
    <mergeCell ref="D78:E78"/>
    <mergeCell ref="D79:E79"/>
    <mergeCell ref="D80:E80"/>
    <mergeCell ref="D81:E81"/>
    <mergeCell ref="D86:E86"/>
    <mergeCell ref="AM192:AM193"/>
    <mergeCell ref="AN192:AO193"/>
    <mergeCell ref="AM194:AO194"/>
    <mergeCell ref="AM195:AO195"/>
    <mergeCell ref="AN3:AO3"/>
    <mergeCell ref="AM4:AM5"/>
    <mergeCell ref="AN4:AO5"/>
    <mergeCell ref="AM7:AO8"/>
    <mergeCell ref="AM186:AO186"/>
    <mergeCell ref="AN187:AO187"/>
    <mergeCell ref="AN188:AO188"/>
    <mergeCell ref="AN189:AO189"/>
    <mergeCell ref="AM190:AM191"/>
    <mergeCell ref="AN190:AO191"/>
  </mergeCells>
  <phoneticPr fontId="8" type="noConversion"/>
  <conditionalFormatting sqref="J186:L186">
    <cfRule type="cellIs" dxfId="14" priority="403" stopIfTrue="1" operator="greaterThan">
      <formula>$F$186</formula>
    </cfRule>
  </conditionalFormatting>
  <conditionalFormatting sqref="L10:L171 AC11:AC177 AI11:AI177 AL11:AL177 Q15:Q18 T15:T18 W15:W18 AF11:AF177">
    <cfRule type="dataBar" priority="40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{090A1815-D366-4708-97C7-D5BE2DB081F7}</x14:id>
        </ext>
      </extLst>
    </cfRule>
  </conditionalFormatting>
  <conditionalFormatting sqref="L172:L177">
    <cfRule type="dataBar" priority="24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{BC8DCA62-44C2-4350-A941-AFBDD99DA333}</x14:id>
        </ext>
      </extLst>
    </cfRule>
  </conditionalFormatting>
  <conditionalFormatting sqref="L178:L179 L8 W179:W181 T179:T181 Q179:Q181 L182 W183:W185 T183:T185 Q183:Q185">
    <cfRule type="dataBar" priority="36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{9091F0BF-5B4E-4F01-81F5-7522C2C1D597}</x14:id>
        </ext>
      </extLst>
    </cfRule>
  </conditionalFormatting>
  <conditionalFormatting sqref="L180:L181 L183:L185">
    <cfRule type="dataBar" priority="23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{30EE81DC-AEF2-410F-8FA5-6C1162B410FC}</x14:id>
        </ext>
      </extLst>
    </cfRule>
  </conditionalFormatting>
  <conditionalFormatting sqref="M186:N186">
    <cfRule type="cellIs" dxfId="13" priority="402" stopIfTrue="1" operator="lessThan">
      <formula>0</formula>
    </cfRule>
  </conditionalFormatting>
  <conditionalFormatting sqref="M191:N195">
    <cfRule type="cellIs" dxfId="12" priority="399" operator="lessThan">
      <formula>0</formula>
    </cfRule>
  </conditionalFormatting>
  <conditionalFormatting sqref="N11">
    <cfRule type="dataBar" priority="26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{E7BEE555-D130-4BC3-810D-A3687467D3AA}</x14:id>
        </ext>
      </extLst>
    </cfRule>
  </conditionalFormatting>
  <conditionalFormatting sqref="N12:N13 N15:N18 N20:N21">
    <cfRule type="cellIs" dxfId="11" priority="26" operator="lessThan">
      <formula>0</formula>
    </cfRule>
    <cfRule type="cellIs" dxfId="10" priority="27" operator="equal">
      <formula>0</formula>
    </cfRule>
  </conditionalFormatting>
  <conditionalFormatting sqref="N14">
    <cfRule type="dataBar" priority="1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{351C745E-67CD-4CDD-A4A9-CB3D6536B12C}</x14:id>
        </ext>
      </extLst>
    </cfRule>
  </conditionalFormatting>
  <conditionalFormatting sqref="N19">
    <cfRule type="dataBar" priority="1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{DCB417D2-2B90-44BA-8A6B-12FF77FDFEF8}</x14:id>
        </ext>
      </extLst>
    </cfRule>
  </conditionalFormatting>
  <conditionalFormatting sqref="N23:N33 N35:N39 N41:N45 N47:N51 N53:N57 N59:N63 N65:N69 N71:N75 N77:N81 N83:N87 N89:N93 N95:N99 N101:N105 N107:N111 N113:N117 N119:N123 N125:N129 N131:N135 N137:N141 N143:N147 N149:N153 N155:N159 N167:N171">
    <cfRule type="cellIs" dxfId="9" priority="372" operator="equal">
      <formula>0</formula>
    </cfRule>
    <cfRule type="cellIs" dxfId="8" priority="371" operator="lessThan">
      <formula>0</formula>
    </cfRule>
  </conditionalFormatting>
  <conditionalFormatting sqref="N161:N165">
    <cfRule type="cellIs" dxfId="7" priority="256" operator="equal">
      <formula>0</formula>
    </cfRule>
    <cfRule type="cellIs" dxfId="6" priority="255" operator="lessThan">
      <formula>0</formula>
    </cfRule>
  </conditionalFormatting>
  <conditionalFormatting sqref="N172">
    <cfRule type="dataBar" priority="23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{3BD22913-F2CF-4DA3-9A4B-BDB8BC3C4769}</x14:id>
        </ext>
      </extLst>
    </cfRule>
  </conditionalFormatting>
  <conditionalFormatting sqref="N173:N177">
    <cfRule type="cellIs" dxfId="5" priority="247" operator="equal">
      <formula>0</formula>
    </cfRule>
    <cfRule type="cellIs" dxfId="4" priority="246" operator="lessThan">
      <formula>0</formula>
    </cfRule>
  </conditionalFormatting>
  <conditionalFormatting sqref="N180:N181">
    <cfRule type="cellIs" dxfId="3" priority="237" operator="equal">
      <formula>0</formula>
    </cfRule>
    <cfRule type="cellIs" dxfId="2" priority="236" operator="lessThan">
      <formula>0</formula>
    </cfRule>
  </conditionalFormatting>
  <conditionalFormatting sqref="N183:N185">
    <cfRule type="cellIs" dxfId="1" priority="3" operator="lessThan">
      <formula>0</formula>
    </cfRule>
    <cfRule type="cellIs" dxfId="0" priority="4" operator="equal">
      <formula>0</formula>
    </cfRule>
  </conditionalFormatting>
  <conditionalFormatting sqref="Q12:Q13 Q20:Q21">
    <cfRule type="dataBar" priority="2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{E640FACC-B2A7-4195-9AB6-91E38BA40D77}</x14:id>
        </ext>
      </extLst>
    </cfRule>
  </conditionalFormatting>
  <conditionalFormatting sqref="Q14">
    <cfRule type="dataBar" priority="2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{B2FDE1E3-D7AA-46AC-BF61-0BC659567A49}</x14:id>
        </ext>
      </extLst>
    </cfRule>
  </conditionalFormatting>
  <conditionalFormatting sqref="Q19">
    <cfRule type="dataBar" priority="1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{C219B0B2-410F-4ABC-A2DC-BDDD073CEBF8}</x14:id>
        </ext>
      </extLst>
    </cfRule>
  </conditionalFormatting>
  <conditionalFormatting sqref="Q22 N22 T22 W22 Z22">
    <cfRule type="dataBar" priority="25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{F27CCFBB-588F-4E27-BFBE-D89EB30C0394}</x14:id>
        </ext>
      </extLst>
    </cfRule>
  </conditionalFormatting>
  <conditionalFormatting sqref="Q23:Q27">
    <cfRule type="dataBar" priority="34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{D6A98B5F-F729-4110-87EC-709E8DDBB2B5}</x14:id>
        </ext>
      </extLst>
    </cfRule>
  </conditionalFormatting>
  <conditionalFormatting sqref="Q29:Q33">
    <cfRule type="dataBar" priority="33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{69ADF13E-5306-41D3-8778-EB50A65822D1}</x14:id>
        </ext>
      </extLst>
    </cfRule>
  </conditionalFormatting>
  <conditionalFormatting sqref="Q34 Q28 Q40 Q46 Q52 Q58 Q64 Q70 Q76 Q82 Q88 Q94 Q100 Q106 Q112 Q118 Q124 Q130 Q148 Q154 Q166 Q11">
    <cfRule type="dataBar" priority="36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{20ADFAF8-78EA-4BD2-B459-603F7A30703E}</x14:id>
        </ext>
      </extLst>
    </cfRule>
  </conditionalFormatting>
  <conditionalFormatting sqref="Q35:Q39">
    <cfRule type="dataBar" priority="33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{FED379A2-73F2-4DC7-89C3-C52427875E58}</x14:id>
        </ext>
      </extLst>
    </cfRule>
  </conditionalFormatting>
  <conditionalFormatting sqref="Q41:Q45">
    <cfRule type="dataBar" priority="33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{62BC6A40-2791-4C13-9E92-C82CA6D144C2}</x14:id>
        </ext>
      </extLst>
    </cfRule>
  </conditionalFormatting>
  <conditionalFormatting sqref="Q47:Q51">
    <cfRule type="dataBar" priority="32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{A7474DC8-76C5-4722-A106-9216905F2429}</x14:id>
        </ext>
      </extLst>
    </cfRule>
  </conditionalFormatting>
  <conditionalFormatting sqref="Q53:Q57">
    <cfRule type="dataBar" priority="32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{C2A41F52-121A-4CA7-9380-61B0A1729883}</x14:id>
        </ext>
      </extLst>
    </cfRule>
  </conditionalFormatting>
  <conditionalFormatting sqref="Q59:Q63">
    <cfRule type="dataBar" priority="32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{0331012A-2E88-4377-A276-9C238BB913F9}</x14:id>
        </ext>
      </extLst>
    </cfRule>
  </conditionalFormatting>
  <conditionalFormatting sqref="Q65:Q69">
    <cfRule type="dataBar" priority="32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{962D76DD-142D-463C-8E4D-B5F791095986}</x14:id>
        </ext>
      </extLst>
    </cfRule>
  </conditionalFormatting>
  <conditionalFormatting sqref="Q71:Q75">
    <cfRule type="dataBar" priority="31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{AD0D7A39-70F7-4BF5-81B0-3B7F23787802}</x14:id>
        </ext>
      </extLst>
    </cfRule>
  </conditionalFormatting>
  <conditionalFormatting sqref="Q77:Q81">
    <cfRule type="dataBar" priority="31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{84F0C768-F4F8-4044-B240-28A3A478C429}</x14:id>
        </ext>
      </extLst>
    </cfRule>
  </conditionalFormatting>
  <conditionalFormatting sqref="Q83:Q87">
    <cfRule type="dataBar" priority="31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{543CDB6E-9D9C-408E-B17D-86CDBF602E80}</x14:id>
        </ext>
      </extLst>
    </cfRule>
  </conditionalFormatting>
  <conditionalFormatting sqref="Q89:Q93">
    <cfRule type="dataBar" priority="30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{90102876-9AB9-4A81-B819-CED1ADC4FDE7}</x14:id>
        </ext>
      </extLst>
    </cfRule>
  </conditionalFormatting>
  <conditionalFormatting sqref="Q95:Q99">
    <cfRule type="dataBar" priority="30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{A120D68D-9618-453D-AC77-46E6989028F7}</x14:id>
        </ext>
      </extLst>
    </cfRule>
  </conditionalFormatting>
  <conditionalFormatting sqref="Q101:Q105">
    <cfRule type="dataBar" priority="30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{368BB815-A602-4C20-8419-A9B268B321E8}</x14:id>
        </ext>
      </extLst>
    </cfRule>
  </conditionalFormatting>
  <conditionalFormatting sqref="Q107:Q111">
    <cfRule type="dataBar" priority="29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{EEE328BA-2DF1-4B2B-9B42-E458B0B8A96A}</x14:id>
        </ext>
      </extLst>
    </cfRule>
  </conditionalFormatting>
  <conditionalFormatting sqref="Q113:Q117">
    <cfRule type="dataBar" priority="29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{882FEDDE-40F2-4552-B42B-DC4B1056C257}</x14:id>
        </ext>
      </extLst>
    </cfRule>
  </conditionalFormatting>
  <conditionalFormatting sqref="Q119:Q123">
    <cfRule type="dataBar" priority="29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{0DDED87A-942E-4336-B121-4CDF11B1BD2A}</x14:id>
        </ext>
      </extLst>
    </cfRule>
  </conditionalFormatting>
  <conditionalFormatting sqref="Q125:Q129">
    <cfRule type="dataBar" priority="29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{AA111265-2E96-4DDD-81F2-F7F8A9C7FAAF}</x14:id>
        </ext>
      </extLst>
    </cfRule>
  </conditionalFormatting>
  <conditionalFormatting sqref="Q131:Q135 Q137:Q141 Q143:Q147">
    <cfRule type="dataBar" priority="28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{B1DE371B-3264-48AB-B384-86C378A9E6BA}</x14:id>
        </ext>
      </extLst>
    </cfRule>
  </conditionalFormatting>
  <conditionalFormatting sqref="Q136">
    <cfRule type="dataBar" priority="1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{9EA99BA0-BA5D-4F8C-9AA4-0F585E6CF64B}</x14:id>
        </ext>
      </extLst>
    </cfRule>
  </conditionalFormatting>
  <conditionalFormatting sqref="Q142">
    <cfRule type="dataBar" priority="1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{28B12FFB-01E5-4F18-BFF8-BF4C8BC0F7B0}</x14:id>
        </ext>
      </extLst>
    </cfRule>
  </conditionalFormatting>
  <conditionalFormatting sqref="Q149:Q153">
    <cfRule type="dataBar" priority="27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{A704D2A7-D631-47B2-81C9-7E2140F50E10}</x14:id>
        </ext>
      </extLst>
    </cfRule>
  </conditionalFormatting>
  <conditionalFormatting sqref="Q155:Q159">
    <cfRule type="dataBar" priority="27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{A9922493-1D21-41AE-9E21-066DCA8157EA}</x14:id>
        </ext>
      </extLst>
    </cfRule>
  </conditionalFormatting>
  <conditionalFormatting sqref="Q160">
    <cfRule type="dataBar" priority="25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{7B0FB83B-4EA5-4416-9B05-12AC93316594}</x14:id>
        </ext>
      </extLst>
    </cfRule>
  </conditionalFormatting>
  <conditionalFormatting sqref="Q161:Q165">
    <cfRule type="dataBar" priority="24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{1CFA6C7F-6C0B-488C-8975-FAF2247691FB}</x14:id>
        </ext>
      </extLst>
    </cfRule>
  </conditionalFormatting>
  <conditionalFormatting sqref="Q167:Q171">
    <cfRule type="dataBar" priority="27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{F34EB736-D19B-4703-BB78-EA5924AF4F2F}</x14:id>
        </ext>
      </extLst>
    </cfRule>
  </conditionalFormatting>
  <conditionalFormatting sqref="Q172">
    <cfRule type="dataBar" priority="24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{99A549B1-3A5A-44A8-A805-72A7DCFC8AB1}</x14:id>
        </ext>
      </extLst>
    </cfRule>
  </conditionalFormatting>
  <conditionalFormatting sqref="Q173:Q177">
    <cfRule type="dataBar" priority="24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{A4BC5D21-423D-4EA4-99A3-801EB0E00A49}</x14:id>
        </ext>
      </extLst>
    </cfRule>
  </conditionalFormatting>
  <conditionalFormatting sqref="T10">
    <cfRule type="dataBar" priority="19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{1E27762A-0CAF-4BF9-82C3-A827A338FE81}</x14:id>
        </ext>
      </extLst>
    </cfRule>
  </conditionalFormatting>
  <conditionalFormatting sqref="T12:T13 T20:T21">
    <cfRule type="dataBar" priority="2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{0B14D28C-3EA1-4D5A-AC6E-AE599954D6E1}</x14:id>
        </ext>
      </extLst>
    </cfRule>
  </conditionalFormatting>
  <conditionalFormatting sqref="T14">
    <cfRule type="dataBar" priority="2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{4497E962-C33C-48CD-8179-355464722DA8}</x14:id>
        </ext>
      </extLst>
    </cfRule>
  </conditionalFormatting>
  <conditionalFormatting sqref="T19">
    <cfRule type="dataBar" priority="1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{1DF89FC8-75CB-405E-B214-716AB28E194D}</x14:id>
        </ext>
      </extLst>
    </cfRule>
  </conditionalFormatting>
  <conditionalFormatting sqref="T23:T27">
    <cfRule type="dataBar" priority="34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{9C4D8819-9065-4A7B-96C1-FA39C620518B}</x14:id>
        </ext>
      </extLst>
    </cfRule>
  </conditionalFormatting>
  <conditionalFormatting sqref="T29:T33">
    <cfRule type="dataBar" priority="33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{91E9F017-F46C-4540-AA6B-8ED19D15364F}</x14:id>
        </ext>
      </extLst>
    </cfRule>
  </conditionalFormatting>
  <conditionalFormatting sqref="T34 T28 T40 T46 T52 T58 T64 T70 T76 T82 T88 T94 T100 T106 T112 T118 T124 T130 T148 T154 T166 T11">
    <cfRule type="dataBar" priority="36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{48E82AAC-B384-4053-88B9-7DC89DAE8BDA}</x14:id>
        </ext>
      </extLst>
    </cfRule>
  </conditionalFormatting>
  <conditionalFormatting sqref="T35:T39">
    <cfRule type="dataBar" priority="33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{6F8D9D83-9A56-44C9-BB9D-520284932A53}</x14:id>
        </ext>
      </extLst>
    </cfRule>
  </conditionalFormatting>
  <conditionalFormatting sqref="T41:T45">
    <cfRule type="dataBar" priority="33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{C77964B5-4616-4648-8A96-695891B612C9}</x14:id>
        </ext>
      </extLst>
    </cfRule>
  </conditionalFormatting>
  <conditionalFormatting sqref="T47:T51">
    <cfRule type="dataBar" priority="33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{4DF33DFA-8DD6-4BB9-8D57-98DD448FC1F8}</x14:id>
        </ext>
      </extLst>
    </cfRule>
  </conditionalFormatting>
  <conditionalFormatting sqref="T53:T57">
    <cfRule type="dataBar" priority="32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{4448612A-6FC8-4225-A928-86D5DC13201B}</x14:id>
        </ext>
      </extLst>
    </cfRule>
  </conditionalFormatting>
  <conditionalFormatting sqref="T59:T63">
    <cfRule type="dataBar" priority="32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{9E611D16-7B3D-426F-AB66-FC956DD5B4B6}</x14:id>
        </ext>
      </extLst>
    </cfRule>
  </conditionalFormatting>
  <conditionalFormatting sqref="T65:T69">
    <cfRule type="dataBar" priority="32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{50ECBDF3-C7A4-4BA9-99D1-A28CB04B0B7C}</x14:id>
        </ext>
      </extLst>
    </cfRule>
  </conditionalFormatting>
  <conditionalFormatting sqref="T71:T75">
    <cfRule type="dataBar" priority="31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{3CA8BE6B-BAA1-449F-8E30-F61C870A1D5E}</x14:id>
        </ext>
      </extLst>
    </cfRule>
  </conditionalFormatting>
  <conditionalFormatting sqref="T77:T81">
    <cfRule type="dataBar" priority="31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{14983621-6703-4C3F-8073-21C5B9D4E0CC}</x14:id>
        </ext>
      </extLst>
    </cfRule>
  </conditionalFormatting>
  <conditionalFormatting sqref="T83:T87">
    <cfRule type="dataBar" priority="31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{E170353E-75CC-464B-967F-A6E78C125027}</x14:id>
        </ext>
      </extLst>
    </cfRule>
  </conditionalFormatting>
  <conditionalFormatting sqref="T89:T93">
    <cfRule type="dataBar" priority="30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{70D2D97D-3B67-497F-9D3C-B8D57650C1BB}</x14:id>
        </ext>
      </extLst>
    </cfRule>
  </conditionalFormatting>
  <conditionalFormatting sqref="T95:T99">
    <cfRule type="dataBar" priority="30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{500B6D35-DA43-4549-BD22-8C76C99B92A3}</x14:id>
        </ext>
      </extLst>
    </cfRule>
  </conditionalFormatting>
  <conditionalFormatting sqref="T101:T105">
    <cfRule type="dataBar" priority="30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{D1CD0D30-B54E-4BC8-BAFC-0FC25432E17A}</x14:id>
        </ext>
      </extLst>
    </cfRule>
  </conditionalFormatting>
  <conditionalFormatting sqref="T107:T111">
    <cfRule type="dataBar" priority="30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{FA6C3A11-C314-4C29-AC57-576C978DBE0F}</x14:id>
        </ext>
      </extLst>
    </cfRule>
  </conditionalFormatting>
  <conditionalFormatting sqref="T113:T117">
    <cfRule type="dataBar" priority="29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{AC2D3456-B8FD-4B92-AC67-68D3C47A0BB1}</x14:id>
        </ext>
      </extLst>
    </cfRule>
  </conditionalFormatting>
  <conditionalFormatting sqref="T119:T123">
    <cfRule type="dataBar" priority="29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{ECB72229-999B-4ECB-B291-D27CE78E4BF7}</x14:id>
        </ext>
      </extLst>
    </cfRule>
  </conditionalFormatting>
  <conditionalFormatting sqref="T125:T129">
    <cfRule type="dataBar" priority="29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{DF23DDD5-0810-427E-95BC-A266936559C3}</x14:id>
        </ext>
      </extLst>
    </cfRule>
  </conditionalFormatting>
  <conditionalFormatting sqref="T131:T135 T137:T141 T143:T147">
    <cfRule type="dataBar" priority="28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{2BB2134B-B83F-48E0-BB70-D8B65CEC99F4}</x14:id>
        </ext>
      </extLst>
    </cfRule>
  </conditionalFormatting>
  <conditionalFormatting sqref="T136">
    <cfRule type="dataBar" priority="1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{012BBFC4-9BC1-458A-9475-BBCC1A35D52C}</x14:id>
        </ext>
      </extLst>
    </cfRule>
  </conditionalFormatting>
  <conditionalFormatting sqref="T142">
    <cfRule type="dataBar" priority="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{84BE8B49-0C5C-40BD-9F05-C9499D8084C7}</x14:id>
        </ext>
      </extLst>
    </cfRule>
  </conditionalFormatting>
  <conditionalFormatting sqref="T149:T153">
    <cfRule type="dataBar" priority="27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{C3FA1CD4-FAE1-4E9C-A609-378E1C2A17D0}</x14:id>
        </ext>
      </extLst>
    </cfRule>
  </conditionalFormatting>
  <conditionalFormatting sqref="T155:T159">
    <cfRule type="dataBar" priority="27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{45F248FD-B59E-41ED-9918-25EBCAD37094}</x14:id>
        </ext>
      </extLst>
    </cfRule>
  </conditionalFormatting>
  <conditionalFormatting sqref="T160">
    <cfRule type="dataBar" priority="25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{4A1053F8-E29A-4F42-B3CC-8494627FD050}</x14:id>
        </ext>
      </extLst>
    </cfRule>
  </conditionalFormatting>
  <conditionalFormatting sqref="T161:T165">
    <cfRule type="dataBar" priority="25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{5EDC539F-C2E8-4903-95C9-BF7ACEEEBF6C}</x14:id>
        </ext>
      </extLst>
    </cfRule>
  </conditionalFormatting>
  <conditionalFormatting sqref="T167:T171">
    <cfRule type="dataBar" priority="27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{65147143-8BDC-468D-81EE-646ABEFF465B}</x14:id>
        </ext>
      </extLst>
    </cfRule>
  </conditionalFormatting>
  <conditionalFormatting sqref="T172">
    <cfRule type="dataBar" priority="24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{339A356A-02DB-4C49-BBC2-DAC9CD2EFA21}</x14:id>
        </ext>
      </extLst>
    </cfRule>
  </conditionalFormatting>
  <conditionalFormatting sqref="T173:T177">
    <cfRule type="dataBar" priority="24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{960FD7CE-091A-4813-B440-E36771D86520}</x14:id>
        </ext>
      </extLst>
    </cfRule>
  </conditionalFormatting>
  <conditionalFormatting sqref="T178">
    <cfRule type="dataBar" priority="19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{19B7289D-039E-47D9-BB8E-E96719EF6389}</x14:id>
        </ext>
      </extLst>
    </cfRule>
  </conditionalFormatting>
  <conditionalFormatting sqref="T182">
    <cfRule type="dataBar" priority="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{C1EE747A-9FAB-42E0-B3ED-A8CD469E46DF}</x14:id>
        </ext>
      </extLst>
    </cfRule>
  </conditionalFormatting>
  <conditionalFormatting sqref="W12:W13 W20:W21">
    <cfRule type="dataBar" priority="2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{5A4861BB-85ED-4346-8300-BE7589CCEFED}</x14:id>
        </ext>
      </extLst>
    </cfRule>
  </conditionalFormatting>
  <conditionalFormatting sqref="W14">
    <cfRule type="dataBar" priority="2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{AA79A234-0CB4-4657-BA4B-3FE03276D779}</x14:id>
        </ext>
      </extLst>
    </cfRule>
  </conditionalFormatting>
  <conditionalFormatting sqref="W19">
    <cfRule type="dataBar" priority="1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{89567FE5-FBD6-4F4A-B00D-4A092CB85E15}</x14:id>
        </ext>
      </extLst>
    </cfRule>
  </conditionalFormatting>
  <conditionalFormatting sqref="W23:W28">
    <cfRule type="dataBar" priority="34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{B48B920F-E275-4C7E-AD18-5D9AD41AF78C}</x14:id>
        </ext>
      </extLst>
    </cfRule>
  </conditionalFormatting>
  <conditionalFormatting sqref="W29:W33">
    <cfRule type="dataBar" priority="34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{AE7AABFE-2373-4A9E-ADDD-ECF52E86947D}</x14:id>
        </ext>
      </extLst>
    </cfRule>
  </conditionalFormatting>
  <conditionalFormatting sqref="W34 W40 W46 W52 W58 W64 W70 W76 W82 W88 W94 W100 W106 W112 W118 W124 W130 W148 W154 W166 W11">
    <cfRule type="dataBar" priority="36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{9128EB9A-F314-44C8-8856-1B64C4D86E50}</x14:id>
        </ext>
      </extLst>
    </cfRule>
  </conditionalFormatting>
  <conditionalFormatting sqref="W35:W39">
    <cfRule type="dataBar" priority="33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{CA993D49-CBF7-407C-98CD-7F098E1C4DBD}</x14:id>
        </ext>
      </extLst>
    </cfRule>
  </conditionalFormatting>
  <conditionalFormatting sqref="W41:W45">
    <cfRule type="dataBar" priority="33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{3D01F257-99F1-4FBB-A11B-93408E96D720}</x14:id>
        </ext>
      </extLst>
    </cfRule>
  </conditionalFormatting>
  <conditionalFormatting sqref="W47:W51">
    <cfRule type="dataBar" priority="33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{90150229-8F8B-4606-9F64-13F2E8CCF090}</x14:id>
        </ext>
      </extLst>
    </cfRule>
  </conditionalFormatting>
  <conditionalFormatting sqref="W53:W57">
    <cfRule type="dataBar" priority="32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{397EC5B5-9D6F-41E8-B429-E226936D0269}</x14:id>
        </ext>
      </extLst>
    </cfRule>
  </conditionalFormatting>
  <conditionalFormatting sqref="W59:W63">
    <cfRule type="dataBar" priority="32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{42D806D7-8D50-4162-B88A-35E4E0350AE4}</x14:id>
        </ext>
      </extLst>
    </cfRule>
  </conditionalFormatting>
  <conditionalFormatting sqref="W65:W69">
    <cfRule type="dataBar" priority="32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{0BA72906-1777-401D-9665-1B7F162711E9}</x14:id>
        </ext>
      </extLst>
    </cfRule>
  </conditionalFormatting>
  <conditionalFormatting sqref="W71:W75">
    <cfRule type="dataBar" priority="31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{C88153E7-AA7D-4435-9A07-4193F92F4A7D}</x14:id>
        </ext>
      </extLst>
    </cfRule>
  </conditionalFormatting>
  <conditionalFormatting sqref="W77:W81">
    <cfRule type="dataBar" priority="31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{A98CBF68-F380-4028-BD89-5F80E9CCEBAA}</x14:id>
        </ext>
      </extLst>
    </cfRule>
  </conditionalFormatting>
  <conditionalFormatting sqref="W83:W87">
    <cfRule type="dataBar" priority="31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{2C37DD86-375D-40F4-B654-804E2B65C0AB}</x14:id>
        </ext>
      </extLst>
    </cfRule>
  </conditionalFormatting>
  <conditionalFormatting sqref="W89:W93">
    <cfRule type="dataBar" priority="31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{0B6664C6-E201-4C22-87BB-3D8067F007E1}</x14:id>
        </ext>
      </extLst>
    </cfRule>
  </conditionalFormatting>
  <conditionalFormatting sqref="W95:W99">
    <cfRule type="dataBar" priority="30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{DE4BE839-D177-42B6-B0B0-D4B37BE7D60B}</x14:id>
        </ext>
      </extLst>
    </cfRule>
  </conditionalFormatting>
  <conditionalFormatting sqref="W101:W105">
    <cfRule type="dataBar" priority="30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{45C22641-7377-42F3-AA76-76CE153CB810}</x14:id>
        </ext>
      </extLst>
    </cfRule>
  </conditionalFormatting>
  <conditionalFormatting sqref="W107:W111">
    <cfRule type="dataBar" priority="30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{2688A809-8C1B-4F14-BF61-CFBCC4707950}</x14:id>
        </ext>
      </extLst>
    </cfRule>
  </conditionalFormatting>
  <conditionalFormatting sqref="W113:W117">
    <cfRule type="dataBar" priority="29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{13C82ED7-5595-48E5-9035-010898DCF33C}</x14:id>
        </ext>
      </extLst>
    </cfRule>
  </conditionalFormatting>
  <conditionalFormatting sqref="W119:W123">
    <cfRule type="dataBar" priority="29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{6B3C4689-E6F9-4459-A721-32729F0B6B48}</x14:id>
        </ext>
      </extLst>
    </cfRule>
  </conditionalFormatting>
  <conditionalFormatting sqref="W125:W129">
    <cfRule type="dataBar" priority="29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{DE2008B1-6E80-4DF8-84A2-A86E6A39979C}</x14:id>
        </ext>
      </extLst>
    </cfRule>
  </conditionalFormatting>
  <conditionalFormatting sqref="W131:W135 W137:W141 W143:W147">
    <cfRule type="dataBar" priority="28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{C9810BFD-2F59-47F0-A5D1-7C97B4FDCC4C}</x14:id>
        </ext>
      </extLst>
    </cfRule>
  </conditionalFormatting>
  <conditionalFormatting sqref="W136">
    <cfRule type="dataBar" priority="1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{2F768004-501E-4291-BE8D-C47406EDF66A}</x14:id>
        </ext>
      </extLst>
    </cfRule>
  </conditionalFormatting>
  <conditionalFormatting sqref="W142">
    <cfRule type="dataBar" priority="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{A47D94FD-A947-49A5-9405-C646197E20E7}</x14:id>
        </ext>
      </extLst>
    </cfRule>
  </conditionalFormatting>
  <conditionalFormatting sqref="W149:W153">
    <cfRule type="dataBar" priority="28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{76DA489A-012E-43E6-B948-1E01DA832C26}</x14:id>
        </ext>
      </extLst>
    </cfRule>
  </conditionalFormatting>
  <conditionalFormatting sqref="W155:W159">
    <cfRule type="dataBar" priority="27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{FD10169B-6999-4257-AA15-5C4EF9AEC790}</x14:id>
        </ext>
      </extLst>
    </cfRule>
  </conditionalFormatting>
  <conditionalFormatting sqref="W160">
    <cfRule type="dataBar" priority="25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{AB7A8BEF-62B2-415C-AB00-C54EB0B8D25D}</x14:id>
        </ext>
      </extLst>
    </cfRule>
  </conditionalFormatting>
  <conditionalFormatting sqref="W161:W165">
    <cfRule type="dataBar" priority="25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{761A2317-3DD1-45A3-9EED-8B35E104CAEF}</x14:id>
        </ext>
      </extLst>
    </cfRule>
  </conditionalFormatting>
  <conditionalFormatting sqref="W167:W171">
    <cfRule type="dataBar" priority="27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{CC2058AF-C748-4C0A-9117-2D604EB49107}</x14:id>
        </ext>
      </extLst>
    </cfRule>
  </conditionalFormatting>
  <conditionalFormatting sqref="W172">
    <cfRule type="dataBar" priority="24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{1EC8D5F3-EF58-4B5D-B784-8475729290B4}</x14:id>
        </ext>
      </extLst>
    </cfRule>
  </conditionalFormatting>
  <conditionalFormatting sqref="W173:W177">
    <cfRule type="dataBar" priority="24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{C6C2E635-52B4-4B8A-A54F-F1CD3412C662}</x14:id>
        </ext>
      </extLst>
    </cfRule>
  </conditionalFormatting>
  <conditionalFormatting sqref="Z11 Z19 Z14:Z15">
    <cfRule type="dataBar" priority="19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{FED8E549-5C44-4251-ACF7-4FDE2E86E06E}</x14:id>
        </ext>
      </extLst>
    </cfRule>
  </conditionalFormatting>
  <conditionalFormatting sqref="Z24:Z25">
    <cfRule type="dataBar" priority="18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{648AED3E-3A41-4A9B-BDC4-578F6CC6BFE0}</x14:id>
        </ext>
      </extLst>
    </cfRule>
  </conditionalFormatting>
  <conditionalFormatting sqref="Z26">
    <cfRule type="dataBar" priority="14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{D63CED5E-CFFC-4C42-BC4F-137B68DCF61E}</x14:id>
        </ext>
      </extLst>
    </cfRule>
  </conditionalFormatting>
  <conditionalFormatting sqref="Z27:Z28">
    <cfRule type="dataBar" priority="13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{48C90216-E514-4639-8978-0B1AECDE904F}</x14:id>
        </ext>
      </extLst>
    </cfRule>
  </conditionalFormatting>
  <conditionalFormatting sqref="Z30:Z31">
    <cfRule type="dataBar" priority="18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{8B47A906-A8F5-4CFC-B921-F93B9B3D684B}</x14:id>
        </ext>
      </extLst>
    </cfRule>
  </conditionalFormatting>
  <conditionalFormatting sqref="Z32:Z33">
    <cfRule type="dataBar" priority="13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{742755B4-70A2-4BBA-BE79-00D2DB1A8F9C}</x14:id>
        </ext>
      </extLst>
    </cfRule>
  </conditionalFormatting>
  <conditionalFormatting sqref="Z35:Z37">
    <cfRule type="dataBar" priority="18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{0FC7F7C2-B92B-4F9D-8C03-D71F6A6CF6BE}</x14:id>
        </ext>
      </extLst>
    </cfRule>
  </conditionalFormatting>
  <conditionalFormatting sqref="Z38:Z39">
    <cfRule type="dataBar" priority="13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{6676C11D-3DC3-4BE2-99B0-7B5966B57BC2}</x14:id>
        </ext>
      </extLst>
    </cfRule>
  </conditionalFormatting>
  <conditionalFormatting sqref="Z41:Z43">
    <cfRule type="dataBar" priority="18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{A8910204-4E7D-479F-8CC5-0D7771C228C3}</x14:id>
        </ext>
      </extLst>
    </cfRule>
  </conditionalFormatting>
  <conditionalFormatting sqref="Z44:Z45">
    <cfRule type="dataBar" priority="13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{E58BBEA3-7394-4CB6-85E7-6BE638DA2347}</x14:id>
        </ext>
      </extLst>
    </cfRule>
  </conditionalFormatting>
  <conditionalFormatting sqref="Z47:Z49">
    <cfRule type="dataBar" priority="18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{C1C514E4-E023-4BD5-8830-20194D907854}</x14:id>
        </ext>
      </extLst>
    </cfRule>
  </conditionalFormatting>
  <conditionalFormatting sqref="Z50:Z51">
    <cfRule type="dataBar" priority="12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{38541224-7F1D-4727-BFED-66F7D972FB59}</x14:id>
        </ext>
      </extLst>
    </cfRule>
  </conditionalFormatting>
  <conditionalFormatting sqref="Z53:Z55">
    <cfRule type="dataBar" priority="18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{8D90CDF1-D735-44F5-BD6A-60009AB001FE}</x14:id>
        </ext>
      </extLst>
    </cfRule>
  </conditionalFormatting>
  <conditionalFormatting sqref="Z56:Z57">
    <cfRule type="dataBar" priority="12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{53C160BE-BDD8-4E38-83E3-D52BDCCE3971}</x14:id>
        </ext>
      </extLst>
    </cfRule>
  </conditionalFormatting>
  <conditionalFormatting sqref="Z59:Z61">
    <cfRule type="dataBar" priority="17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{32024053-E1A1-4451-A88C-88B780EA05FC}</x14:id>
        </ext>
      </extLst>
    </cfRule>
  </conditionalFormatting>
  <conditionalFormatting sqref="Z62:Z63">
    <cfRule type="dataBar" priority="12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{DD515082-F7E5-43AA-B0C2-F27B1D63E841}</x14:id>
        </ext>
      </extLst>
    </cfRule>
  </conditionalFormatting>
  <conditionalFormatting sqref="Z65:Z67">
    <cfRule type="dataBar" priority="17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{FF8896B5-D839-4E94-A2F9-2C951E12BE4F}</x14:id>
        </ext>
      </extLst>
    </cfRule>
  </conditionalFormatting>
  <conditionalFormatting sqref="Z68:Z69">
    <cfRule type="dataBar" priority="12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{C6F11FBD-2F47-451B-909C-4A18A2F5BFF9}</x14:id>
        </ext>
      </extLst>
    </cfRule>
  </conditionalFormatting>
  <conditionalFormatting sqref="Z71:Z73">
    <cfRule type="dataBar" priority="17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{24EF2A3B-4CB5-4206-9177-23E57B3D01F5}</x14:id>
        </ext>
      </extLst>
    </cfRule>
  </conditionalFormatting>
  <conditionalFormatting sqref="Z74:Z75">
    <cfRule type="dataBar" priority="12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{EFDEFD07-0749-41CC-95E0-A329115C45E4}</x14:id>
        </ext>
      </extLst>
    </cfRule>
  </conditionalFormatting>
  <conditionalFormatting sqref="Z77:Z79">
    <cfRule type="dataBar" priority="17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{FF15F973-8479-4DD5-A7AC-BA86D982D06F}</x14:id>
        </ext>
      </extLst>
    </cfRule>
  </conditionalFormatting>
  <conditionalFormatting sqref="Z80:Z81">
    <cfRule type="dataBar" priority="12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{B23B7123-9D4C-43DA-B196-2356D2BCCFF7}</x14:id>
        </ext>
      </extLst>
    </cfRule>
  </conditionalFormatting>
  <conditionalFormatting sqref="Z83:Z85">
    <cfRule type="dataBar" priority="17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{B84B4B01-2A44-456E-AE34-7DF96FEC228C}</x14:id>
        </ext>
      </extLst>
    </cfRule>
  </conditionalFormatting>
  <conditionalFormatting sqref="Z86:Z87">
    <cfRule type="dataBar" priority="12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{72056D86-D2FF-4FCC-B703-90BFBCB680D6}</x14:id>
        </ext>
      </extLst>
    </cfRule>
  </conditionalFormatting>
  <conditionalFormatting sqref="Z89:Z91">
    <cfRule type="dataBar" priority="17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{54771ED1-ABDD-41D1-A4F1-EE963E1D1329}</x14:id>
        </ext>
      </extLst>
    </cfRule>
  </conditionalFormatting>
  <conditionalFormatting sqref="Z92:Z93">
    <cfRule type="dataBar" priority="12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{CF5BC458-0CFC-4B41-882E-E951AF74ADC9}</x14:id>
        </ext>
      </extLst>
    </cfRule>
  </conditionalFormatting>
  <conditionalFormatting sqref="Z95:Z97">
    <cfRule type="dataBar" priority="17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{C686C7A0-6C1C-4D0F-94ED-396A50ABE0A7}</x14:id>
        </ext>
      </extLst>
    </cfRule>
  </conditionalFormatting>
  <conditionalFormatting sqref="Z98:Z99">
    <cfRule type="dataBar" priority="12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{A565AEEC-BC69-44B6-96A1-FCF47169EFE2}</x14:id>
        </ext>
      </extLst>
    </cfRule>
  </conditionalFormatting>
  <conditionalFormatting sqref="Z101:Z103">
    <cfRule type="dataBar" priority="17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{9E18FFAE-5E8D-4E76-AA5E-E3EB2FA79BDC}</x14:id>
        </ext>
      </extLst>
    </cfRule>
  </conditionalFormatting>
  <conditionalFormatting sqref="Z104:Z105">
    <cfRule type="dataBar" priority="12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{F12503E5-A0D4-449D-9129-888413390828}</x14:id>
        </ext>
      </extLst>
    </cfRule>
  </conditionalFormatting>
  <conditionalFormatting sqref="Z107:Z109">
    <cfRule type="dataBar" priority="17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{133DDF5C-B1BE-46EA-9CC0-7E1827B3CBAF}</x14:id>
        </ext>
      </extLst>
    </cfRule>
  </conditionalFormatting>
  <conditionalFormatting sqref="Z110:Z111">
    <cfRule type="dataBar" priority="11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{F5D643F5-5722-447B-BA25-FD6288B5B974}</x14:id>
        </ext>
      </extLst>
    </cfRule>
  </conditionalFormatting>
  <conditionalFormatting sqref="Z113:Z115">
    <cfRule type="dataBar" priority="17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{E5697764-44CE-45A1-84E4-D540CB382B50}</x14:id>
        </ext>
      </extLst>
    </cfRule>
  </conditionalFormatting>
  <conditionalFormatting sqref="Z116:Z117">
    <cfRule type="dataBar" priority="11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{4B96D4E7-82C5-493C-99F4-5924656AA593}</x14:id>
        </ext>
      </extLst>
    </cfRule>
  </conditionalFormatting>
  <conditionalFormatting sqref="Z119:Z121">
    <cfRule type="dataBar" priority="16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{B8B72AFF-A1D6-40DA-88BE-60D2E482F32B}</x14:id>
        </ext>
      </extLst>
    </cfRule>
  </conditionalFormatting>
  <conditionalFormatting sqref="Z122:Z123">
    <cfRule type="dataBar" priority="11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{8E5D2CF1-625F-4949-B5AC-6C56A8E86BAD}</x14:id>
        </ext>
      </extLst>
    </cfRule>
  </conditionalFormatting>
  <conditionalFormatting sqref="Z125:Z127">
    <cfRule type="dataBar" priority="168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{C2690816-34A4-486F-8D65-C83A84D155FD}</x14:id>
        </ext>
      </extLst>
    </cfRule>
  </conditionalFormatting>
  <conditionalFormatting sqref="Z128:Z129">
    <cfRule type="dataBar" priority="11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{F39EF67C-5178-46C2-BCCB-67DB7F506638}</x14:id>
        </ext>
      </extLst>
    </cfRule>
  </conditionalFormatting>
  <conditionalFormatting sqref="Z131:Z133">
    <cfRule type="dataBar" priority="16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{C2776BD4-6B50-4358-88AD-91012DEF9626}</x14:id>
        </ext>
      </extLst>
    </cfRule>
  </conditionalFormatting>
  <conditionalFormatting sqref="Z134:Z135 Z140:Z141 Z146:Z147">
    <cfRule type="dataBar" priority="11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{0D37CF21-CBCC-4228-9015-D7A8B3BE73B0}</x14:id>
        </ext>
      </extLst>
    </cfRule>
  </conditionalFormatting>
  <conditionalFormatting sqref="Z137:Z139">
    <cfRule type="dataBar" priority="1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{C7B70A7B-3882-4A8F-AE03-F61866529342}</x14:id>
        </ext>
      </extLst>
    </cfRule>
  </conditionalFormatting>
  <conditionalFormatting sqref="Z143:Z145">
    <cfRule type="dataBar" priority="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{A28F78CE-E50C-4F53-AF10-BB913BDA3356}</x14:id>
        </ext>
      </extLst>
    </cfRule>
  </conditionalFormatting>
  <conditionalFormatting sqref="Z149:Z151">
    <cfRule type="dataBar" priority="166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{58D5B51C-E18E-4045-8194-853D0B2413A9}</x14:id>
        </ext>
      </extLst>
    </cfRule>
  </conditionalFormatting>
  <conditionalFormatting sqref="Z152:Z153">
    <cfRule type="dataBar" priority="11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{D3307358-B061-442E-B9F9-61CDC5ADE21F}</x14:id>
        </ext>
      </extLst>
    </cfRule>
  </conditionalFormatting>
  <conditionalFormatting sqref="Z155:Z157">
    <cfRule type="dataBar" priority="165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{B563980B-D64A-402A-B3A3-EE84511BDF8F}</x14:id>
        </ext>
      </extLst>
    </cfRule>
  </conditionalFormatting>
  <conditionalFormatting sqref="Z158:Z159">
    <cfRule type="dataBar" priority="11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{16279258-2F3A-4603-995E-857B391D4DC3}</x14:id>
        </ext>
      </extLst>
    </cfRule>
  </conditionalFormatting>
  <conditionalFormatting sqref="Z161:Z163">
    <cfRule type="dataBar" priority="16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{5108D6D4-2DD5-4507-9102-AB04C46F53A9}</x14:id>
        </ext>
      </extLst>
    </cfRule>
  </conditionalFormatting>
  <conditionalFormatting sqref="Z164:Z165">
    <cfRule type="dataBar" priority="11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{1F4F9653-23FA-4DCC-9AB4-03AD320781B6}</x14:id>
        </ext>
      </extLst>
    </cfRule>
  </conditionalFormatting>
  <conditionalFormatting sqref="Z167:Z169">
    <cfRule type="dataBar" priority="164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{D1BFB982-9699-46E0-9129-E713F71DF414}</x14:id>
        </ext>
      </extLst>
    </cfRule>
  </conditionalFormatting>
  <conditionalFormatting sqref="Z170:Z171">
    <cfRule type="dataBar" priority="11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{03CC3EAA-BAEA-4BA2-AB13-EDDF542B5868}</x14:id>
        </ext>
      </extLst>
    </cfRule>
  </conditionalFormatting>
  <conditionalFormatting sqref="Z173:Z174">
    <cfRule type="dataBar" priority="16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{123297BC-579F-457A-88FE-FCEE34ABA7AF}</x14:id>
        </ext>
      </extLst>
    </cfRule>
  </conditionalFormatting>
  <conditionalFormatting sqref="Z175:Z176">
    <cfRule type="dataBar" priority="110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{A04A43EB-BC8E-4ABB-8005-A1200E545AEC}</x14:id>
        </ext>
      </extLst>
    </cfRule>
  </conditionalFormatting>
  <conditionalFormatting sqref="Z179:Z181 Z183:Z185">
    <cfRule type="dataBar" priority="15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{5F54BFEB-C267-4C73-8732-207483342467}</x14:id>
        </ext>
      </extLst>
    </cfRule>
  </conditionalFormatting>
  <conditionalFormatting sqref="AC179:AC181 AC183:AC185">
    <cfRule type="dataBar" priority="7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{EBF3D8D6-593B-4EEE-A617-D3B3033815C7}</x14:id>
        </ext>
      </extLst>
    </cfRule>
  </conditionalFormatting>
  <conditionalFormatting sqref="AF179:AF181 AF183:AF185">
    <cfRule type="dataBar" priority="37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{D164D9B4-C8CA-4B59-ADFF-625015EA3AEB}</x14:id>
        </ext>
      </extLst>
    </cfRule>
  </conditionalFormatting>
  <conditionalFormatting sqref="AI179:AI181 AI183:AI185">
    <cfRule type="dataBar" priority="33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{52FF5CA5-2803-4488-89C2-5ED5FB7B7335}</x14:id>
        </ext>
      </extLst>
    </cfRule>
  </conditionalFormatting>
  <conditionalFormatting sqref="AL179:AL181 AL183:AL185">
    <cfRule type="dataBar" priority="29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{6CD575D1-8E33-4A2E-AA9F-E67E9DD42130}</x14:id>
        </ext>
      </extLst>
    </cfRule>
  </conditionalFormatting>
  <conditionalFormatting sqref="AO11:AO177">
    <cfRule type="dataBar" priority="2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{F4397FE5-92C8-47D6-AB03-F59445F63F7B}</x14:id>
        </ext>
      </extLst>
    </cfRule>
  </conditionalFormatting>
  <conditionalFormatting sqref="AO179:AO181 AO183:AO185">
    <cfRule type="dataBar" priority="1">
      <dataBar>
        <cfvo type="num" val="0"/>
        <cfvo type="num" val="1"/>
        <color rgb="FFFFB628"/>
      </dataBar>
      <extLst>
        <ext xmlns:x14="http://schemas.microsoft.com/office/spreadsheetml/2009/9/main" uri="{B025F937-C7B1-47D3-B67F-A62EFF666E3E}">
          <x14:id>{EBA9CF6B-4B70-416B-9E8E-1C944B50BD08}</x14:id>
        </ext>
      </extLst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paperSize="9" scale="10" fitToHeight="0" orientation="portrait" r:id="rId1"/>
  <ignoredErrors>
    <ignoredError sqref="F64 F82:F84 F88:F90 F22:F24 F28:F36 F38:F40 F92:F96 F128:F132 F98:F102 F104:F108 F110:F114 F116:F120 F122:F126 F148:F177 AA10 F56:F58 F9:F10 F134:F147 P189 F26:F27 F44:F46 F50:F54 F62:F63 F68:F69 F86:F87 Y189 AD27" unlockedFormula="1"/>
    <ignoredError sqref="C179" numberStoredAsText="1"/>
    <ignoredError sqref="I28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90A1815-D366-4708-97C7-D5BE2DB081F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L10:L171 AC11:AC177 AI11:AI177 AL11:AL177 Q15:Q18 T15:T18 W15:W18 AF11:AF177</xm:sqref>
        </x14:conditionalFormatting>
        <x14:conditionalFormatting xmlns:xm="http://schemas.microsoft.com/office/excel/2006/main">
          <x14:cfRule type="dataBar" id="{BC8DCA62-44C2-4350-A941-AFBDD99DA33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L172:L177</xm:sqref>
        </x14:conditionalFormatting>
        <x14:conditionalFormatting xmlns:xm="http://schemas.microsoft.com/office/excel/2006/main">
          <x14:cfRule type="dataBar" id="{9091F0BF-5B4E-4F01-81F5-7522C2C1D59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L178:L179 L8 W179:W181 T179:T181 Q179:Q181 L182 W183:W185 T183:T185 Q183:Q185</xm:sqref>
        </x14:conditionalFormatting>
        <x14:conditionalFormatting xmlns:xm="http://schemas.microsoft.com/office/excel/2006/main">
          <x14:cfRule type="dataBar" id="{30EE81DC-AEF2-410F-8FA5-6C1162B410F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L180:L181 L183:L185</xm:sqref>
        </x14:conditionalFormatting>
        <x14:conditionalFormatting xmlns:xm="http://schemas.microsoft.com/office/excel/2006/main">
          <x14:cfRule type="dataBar" id="{E7BEE555-D130-4BC3-810D-A3687467D3A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N11</xm:sqref>
        </x14:conditionalFormatting>
        <x14:conditionalFormatting xmlns:xm="http://schemas.microsoft.com/office/excel/2006/main">
          <x14:cfRule type="dataBar" id="{351C745E-67CD-4CDD-A4A9-CB3D6536B12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N14</xm:sqref>
        </x14:conditionalFormatting>
        <x14:conditionalFormatting xmlns:xm="http://schemas.microsoft.com/office/excel/2006/main">
          <x14:cfRule type="dataBar" id="{DCB417D2-2B90-44BA-8A6B-12FF77FDFE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N19</xm:sqref>
        </x14:conditionalFormatting>
        <x14:conditionalFormatting xmlns:xm="http://schemas.microsoft.com/office/excel/2006/main">
          <x14:cfRule type="dataBar" id="{3BD22913-F2CF-4DA3-9A4B-BDB8BC3C476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N172</xm:sqref>
        </x14:conditionalFormatting>
        <x14:conditionalFormatting xmlns:xm="http://schemas.microsoft.com/office/excel/2006/main">
          <x14:cfRule type="dataBar" id="{E640FACC-B2A7-4195-9AB6-91E38BA40D7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Q12:Q13 Q20:Q21</xm:sqref>
        </x14:conditionalFormatting>
        <x14:conditionalFormatting xmlns:xm="http://schemas.microsoft.com/office/excel/2006/main">
          <x14:cfRule type="dataBar" id="{B2FDE1E3-D7AA-46AC-BF61-0BC659567A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Q14</xm:sqref>
        </x14:conditionalFormatting>
        <x14:conditionalFormatting xmlns:xm="http://schemas.microsoft.com/office/excel/2006/main">
          <x14:cfRule type="dataBar" id="{C219B0B2-410F-4ABC-A2DC-BDDD073CEB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Q19</xm:sqref>
        </x14:conditionalFormatting>
        <x14:conditionalFormatting xmlns:xm="http://schemas.microsoft.com/office/excel/2006/main">
          <x14:cfRule type="dataBar" id="{F27CCFBB-588F-4E27-BFBE-D89EB30C039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Q22 N22 T22 W22 Z22</xm:sqref>
        </x14:conditionalFormatting>
        <x14:conditionalFormatting xmlns:xm="http://schemas.microsoft.com/office/excel/2006/main">
          <x14:cfRule type="dataBar" id="{D6A98B5F-F729-4110-87EC-709E8DDBB2B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Q23:Q27</xm:sqref>
        </x14:conditionalFormatting>
        <x14:conditionalFormatting xmlns:xm="http://schemas.microsoft.com/office/excel/2006/main">
          <x14:cfRule type="dataBar" id="{69ADF13E-5306-41D3-8778-EB50A65822D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Q29:Q33</xm:sqref>
        </x14:conditionalFormatting>
        <x14:conditionalFormatting xmlns:xm="http://schemas.microsoft.com/office/excel/2006/main">
          <x14:cfRule type="dataBar" id="{20ADFAF8-78EA-4BD2-B459-603F7A30703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Q34 Q28 Q40 Q46 Q52 Q58 Q64 Q70 Q76 Q82 Q88 Q94 Q100 Q106 Q112 Q118 Q124 Q130 Q148 Q154 Q166 Q11</xm:sqref>
        </x14:conditionalFormatting>
        <x14:conditionalFormatting xmlns:xm="http://schemas.microsoft.com/office/excel/2006/main">
          <x14:cfRule type="dataBar" id="{FED379A2-73F2-4DC7-89C3-C52427875E5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Q35:Q39</xm:sqref>
        </x14:conditionalFormatting>
        <x14:conditionalFormatting xmlns:xm="http://schemas.microsoft.com/office/excel/2006/main">
          <x14:cfRule type="dataBar" id="{62BC6A40-2791-4C13-9E92-C82CA6D144C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Q41:Q45</xm:sqref>
        </x14:conditionalFormatting>
        <x14:conditionalFormatting xmlns:xm="http://schemas.microsoft.com/office/excel/2006/main">
          <x14:cfRule type="dataBar" id="{A7474DC8-76C5-4722-A106-9216905F242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Q47:Q51</xm:sqref>
        </x14:conditionalFormatting>
        <x14:conditionalFormatting xmlns:xm="http://schemas.microsoft.com/office/excel/2006/main">
          <x14:cfRule type="dataBar" id="{C2A41F52-121A-4CA7-9380-61B0A172988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Q53:Q57</xm:sqref>
        </x14:conditionalFormatting>
        <x14:conditionalFormatting xmlns:xm="http://schemas.microsoft.com/office/excel/2006/main">
          <x14:cfRule type="dataBar" id="{0331012A-2E88-4377-A276-9C238BB913F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Q59:Q63</xm:sqref>
        </x14:conditionalFormatting>
        <x14:conditionalFormatting xmlns:xm="http://schemas.microsoft.com/office/excel/2006/main">
          <x14:cfRule type="dataBar" id="{962D76DD-142D-463C-8E4D-B5F79109598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Q65:Q69</xm:sqref>
        </x14:conditionalFormatting>
        <x14:conditionalFormatting xmlns:xm="http://schemas.microsoft.com/office/excel/2006/main">
          <x14:cfRule type="dataBar" id="{AD0D7A39-70F7-4BF5-81B0-3B7F2378780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Q71:Q75</xm:sqref>
        </x14:conditionalFormatting>
        <x14:conditionalFormatting xmlns:xm="http://schemas.microsoft.com/office/excel/2006/main">
          <x14:cfRule type="dataBar" id="{84F0C768-F4F8-4044-B240-28A3A478C42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Q77:Q81</xm:sqref>
        </x14:conditionalFormatting>
        <x14:conditionalFormatting xmlns:xm="http://schemas.microsoft.com/office/excel/2006/main">
          <x14:cfRule type="dataBar" id="{543CDB6E-9D9C-408E-B17D-86CDBF602E8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Q83:Q87</xm:sqref>
        </x14:conditionalFormatting>
        <x14:conditionalFormatting xmlns:xm="http://schemas.microsoft.com/office/excel/2006/main">
          <x14:cfRule type="dataBar" id="{90102876-9AB9-4A81-B819-CED1ADC4FDE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Q89:Q93</xm:sqref>
        </x14:conditionalFormatting>
        <x14:conditionalFormatting xmlns:xm="http://schemas.microsoft.com/office/excel/2006/main">
          <x14:cfRule type="dataBar" id="{A120D68D-9618-453D-AC77-46E6989028F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Q95:Q99</xm:sqref>
        </x14:conditionalFormatting>
        <x14:conditionalFormatting xmlns:xm="http://schemas.microsoft.com/office/excel/2006/main">
          <x14:cfRule type="dataBar" id="{368BB815-A602-4C20-8419-A9B268B321E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Q101:Q105</xm:sqref>
        </x14:conditionalFormatting>
        <x14:conditionalFormatting xmlns:xm="http://schemas.microsoft.com/office/excel/2006/main">
          <x14:cfRule type="dataBar" id="{EEE328BA-2DF1-4B2B-9B42-E458B0B8A96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Q107:Q111</xm:sqref>
        </x14:conditionalFormatting>
        <x14:conditionalFormatting xmlns:xm="http://schemas.microsoft.com/office/excel/2006/main">
          <x14:cfRule type="dataBar" id="{882FEDDE-40F2-4552-B42B-DC4B1056C25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Q113:Q117</xm:sqref>
        </x14:conditionalFormatting>
        <x14:conditionalFormatting xmlns:xm="http://schemas.microsoft.com/office/excel/2006/main">
          <x14:cfRule type="dataBar" id="{0DDED87A-942E-4336-B121-4CDF11B1BD2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Q119:Q123</xm:sqref>
        </x14:conditionalFormatting>
        <x14:conditionalFormatting xmlns:xm="http://schemas.microsoft.com/office/excel/2006/main">
          <x14:cfRule type="dataBar" id="{AA111265-2E96-4DDD-81F2-F7F8A9C7FA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Q125:Q129</xm:sqref>
        </x14:conditionalFormatting>
        <x14:conditionalFormatting xmlns:xm="http://schemas.microsoft.com/office/excel/2006/main">
          <x14:cfRule type="dataBar" id="{B1DE371B-3264-48AB-B384-86C378A9E6B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Q131:Q135 Q137:Q141 Q143:Q147</xm:sqref>
        </x14:conditionalFormatting>
        <x14:conditionalFormatting xmlns:xm="http://schemas.microsoft.com/office/excel/2006/main">
          <x14:cfRule type="dataBar" id="{9EA99BA0-BA5D-4F8C-9AA4-0F585E6CF6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Q136</xm:sqref>
        </x14:conditionalFormatting>
        <x14:conditionalFormatting xmlns:xm="http://schemas.microsoft.com/office/excel/2006/main">
          <x14:cfRule type="dataBar" id="{28B12FFB-01E5-4F18-BFF8-BF4C8BC0F7B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Q142</xm:sqref>
        </x14:conditionalFormatting>
        <x14:conditionalFormatting xmlns:xm="http://schemas.microsoft.com/office/excel/2006/main">
          <x14:cfRule type="dataBar" id="{A704D2A7-D631-47B2-81C9-7E2140F50E1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Q149:Q153</xm:sqref>
        </x14:conditionalFormatting>
        <x14:conditionalFormatting xmlns:xm="http://schemas.microsoft.com/office/excel/2006/main">
          <x14:cfRule type="dataBar" id="{A9922493-1D21-41AE-9E21-066DCA8157E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Q155:Q159</xm:sqref>
        </x14:conditionalFormatting>
        <x14:conditionalFormatting xmlns:xm="http://schemas.microsoft.com/office/excel/2006/main">
          <x14:cfRule type="dataBar" id="{7B0FB83B-4EA5-4416-9B05-12AC9331659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Q160</xm:sqref>
        </x14:conditionalFormatting>
        <x14:conditionalFormatting xmlns:xm="http://schemas.microsoft.com/office/excel/2006/main">
          <x14:cfRule type="dataBar" id="{1CFA6C7F-6C0B-488C-8975-FAF2247691F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Q161:Q165</xm:sqref>
        </x14:conditionalFormatting>
        <x14:conditionalFormatting xmlns:xm="http://schemas.microsoft.com/office/excel/2006/main">
          <x14:cfRule type="dataBar" id="{F34EB736-D19B-4703-BB78-EA5924AF4F2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Q167:Q171</xm:sqref>
        </x14:conditionalFormatting>
        <x14:conditionalFormatting xmlns:xm="http://schemas.microsoft.com/office/excel/2006/main">
          <x14:cfRule type="dataBar" id="{99A549B1-3A5A-44A8-A805-72A7DCFC8AB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Q172</xm:sqref>
        </x14:conditionalFormatting>
        <x14:conditionalFormatting xmlns:xm="http://schemas.microsoft.com/office/excel/2006/main">
          <x14:cfRule type="dataBar" id="{A4BC5D21-423D-4EA4-99A3-801EB0E00A4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Q173:Q177</xm:sqref>
        </x14:conditionalFormatting>
        <x14:conditionalFormatting xmlns:xm="http://schemas.microsoft.com/office/excel/2006/main">
          <x14:cfRule type="dataBar" id="{1E27762A-0CAF-4BF9-82C3-A827A338FE8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T10</xm:sqref>
        </x14:conditionalFormatting>
        <x14:conditionalFormatting xmlns:xm="http://schemas.microsoft.com/office/excel/2006/main">
          <x14:cfRule type="dataBar" id="{0B14D28C-3EA1-4D5A-AC6E-AE599954D6E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T12:T13 T20:T21</xm:sqref>
        </x14:conditionalFormatting>
        <x14:conditionalFormatting xmlns:xm="http://schemas.microsoft.com/office/excel/2006/main">
          <x14:cfRule type="dataBar" id="{4497E962-C33C-48CD-8179-355464722DA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T14</xm:sqref>
        </x14:conditionalFormatting>
        <x14:conditionalFormatting xmlns:xm="http://schemas.microsoft.com/office/excel/2006/main">
          <x14:cfRule type="dataBar" id="{1DF89FC8-75CB-405E-B214-716AB28E194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T19</xm:sqref>
        </x14:conditionalFormatting>
        <x14:conditionalFormatting xmlns:xm="http://schemas.microsoft.com/office/excel/2006/main">
          <x14:cfRule type="dataBar" id="{9C4D8819-9065-4A7B-96C1-FA39C620518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T23:T27</xm:sqref>
        </x14:conditionalFormatting>
        <x14:conditionalFormatting xmlns:xm="http://schemas.microsoft.com/office/excel/2006/main">
          <x14:cfRule type="dataBar" id="{91E9F017-F46C-4540-AA6B-8ED19D15364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T29:T33</xm:sqref>
        </x14:conditionalFormatting>
        <x14:conditionalFormatting xmlns:xm="http://schemas.microsoft.com/office/excel/2006/main">
          <x14:cfRule type="dataBar" id="{48E82AAC-B384-4053-88B9-7DC89DAE8BD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T34 T28 T40 T46 T52 T58 T64 T70 T76 T82 T88 T94 T100 T106 T112 T118 T124 T130 T148 T154 T166 T11</xm:sqref>
        </x14:conditionalFormatting>
        <x14:conditionalFormatting xmlns:xm="http://schemas.microsoft.com/office/excel/2006/main">
          <x14:cfRule type="dataBar" id="{6F8D9D83-9A56-44C9-BB9D-520284932A5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T35:T39</xm:sqref>
        </x14:conditionalFormatting>
        <x14:conditionalFormatting xmlns:xm="http://schemas.microsoft.com/office/excel/2006/main">
          <x14:cfRule type="dataBar" id="{C77964B5-4616-4648-8A96-695891B612C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T41:T45</xm:sqref>
        </x14:conditionalFormatting>
        <x14:conditionalFormatting xmlns:xm="http://schemas.microsoft.com/office/excel/2006/main">
          <x14:cfRule type="dataBar" id="{4DF33DFA-8DD6-4BB9-8D57-98DD448FC1F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T47:T51</xm:sqref>
        </x14:conditionalFormatting>
        <x14:conditionalFormatting xmlns:xm="http://schemas.microsoft.com/office/excel/2006/main">
          <x14:cfRule type="dataBar" id="{4448612A-6FC8-4225-A928-86D5DC13201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T53:T57</xm:sqref>
        </x14:conditionalFormatting>
        <x14:conditionalFormatting xmlns:xm="http://schemas.microsoft.com/office/excel/2006/main">
          <x14:cfRule type="dataBar" id="{9E611D16-7B3D-426F-AB66-FC956DD5B4B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T59:T63</xm:sqref>
        </x14:conditionalFormatting>
        <x14:conditionalFormatting xmlns:xm="http://schemas.microsoft.com/office/excel/2006/main">
          <x14:cfRule type="dataBar" id="{50ECBDF3-C7A4-4BA9-99D1-A28CB04B0B7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T65:T69</xm:sqref>
        </x14:conditionalFormatting>
        <x14:conditionalFormatting xmlns:xm="http://schemas.microsoft.com/office/excel/2006/main">
          <x14:cfRule type="dataBar" id="{3CA8BE6B-BAA1-449F-8E30-F61C870A1D5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T71:T75</xm:sqref>
        </x14:conditionalFormatting>
        <x14:conditionalFormatting xmlns:xm="http://schemas.microsoft.com/office/excel/2006/main">
          <x14:cfRule type="dataBar" id="{14983621-6703-4C3F-8073-21C5B9D4E0C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T77:T81</xm:sqref>
        </x14:conditionalFormatting>
        <x14:conditionalFormatting xmlns:xm="http://schemas.microsoft.com/office/excel/2006/main">
          <x14:cfRule type="dataBar" id="{E170353E-75CC-464B-967F-A6E78C12502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T83:T87</xm:sqref>
        </x14:conditionalFormatting>
        <x14:conditionalFormatting xmlns:xm="http://schemas.microsoft.com/office/excel/2006/main">
          <x14:cfRule type="dataBar" id="{70D2D97D-3B67-497F-9D3C-B8D57650C1B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T89:T93</xm:sqref>
        </x14:conditionalFormatting>
        <x14:conditionalFormatting xmlns:xm="http://schemas.microsoft.com/office/excel/2006/main">
          <x14:cfRule type="dataBar" id="{500B6D35-DA43-4549-BD22-8C76C99B92A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T95:T99</xm:sqref>
        </x14:conditionalFormatting>
        <x14:conditionalFormatting xmlns:xm="http://schemas.microsoft.com/office/excel/2006/main">
          <x14:cfRule type="dataBar" id="{D1CD0D30-B54E-4BC8-BAFC-0FC25432E17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T101:T105</xm:sqref>
        </x14:conditionalFormatting>
        <x14:conditionalFormatting xmlns:xm="http://schemas.microsoft.com/office/excel/2006/main">
          <x14:cfRule type="dataBar" id="{FA6C3A11-C314-4C29-AC57-576C978DBE0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T107:T111</xm:sqref>
        </x14:conditionalFormatting>
        <x14:conditionalFormatting xmlns:xm="http://schemas.microsoft.com/office/excel/2006/main">
          <x14:cfRule type="dataBar" id="{AC2D3456-B8FD-4B92-AC67-68D3C47A0BB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T113:T117</xm:sqref>
        </x14:conditionalFormatting>
        <x14:conditionalFormatting xmlns:xm="http://schemas.microsoft.com/office/excel/2006/main">
          <x14:cfRule type="dataBar" id="{ECB72229-999B-4ECB-B291-D27CE78E4BF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T119:T123</xm:sqref>
        </x14:conditionalFormatting>
        <x14:conditionalFormatting xmlns:xm="http://schemas.microsoft.com/office/excel/2006/main">
          <x14:cfRule type="dataBar" id="{DF23DDD5-0810-427E-95BC-A266936559C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T125:T129</xm:sqref>
        </x14:conditionalFormatting>
        <x14:conditionalFormatting xmlns:xm="http://schemas.microsoft.com/office/excel/2006/main">
          <x14:cfRule type="dataBar" id="{2BB2134B-B83F-48E0-BB70-D8B65CEC99F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T131:T135 T137:T141 T143:T147</xm:sqref>
        </x14:conditionalFormatting>
        <x14:conditionalFormatting xmlns:xm="http://schemas.microsoft.com/office/excel/2006/main">
          <x14:cfRule type="dataBar" id="{012BBFC4-9BC1-458A-9475-BBCC1A35D52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T136</xm:sqref>
        </x14:conditionalFormatting>
        <x14:conditionalFormatting xmlns:xm="http://schemas.microsoft.com/office/excel/2006/main">
          <x14:cfRule type="dataBar" id="{84BE8B49-0C5C-40BD-9F05-C9499D8084C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T142</xm:sqref>
        </x14:conditionalFormatting>
        <x14:conditionalFormatting xmlns:xm="http://schemas.microsoft.com/office/excel/2006/main">
          <x14:cfRule type="dataBar" id="{C3FA1CD4-FAE1-4E9C-A609-378E1C2A17D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T149:T153</xm:sqref>
        </x14:conditionalFormatting>
        <x14:conditionalFormatting xmlns:xm="http://schemas.microsoft.com/office/excel/2006/main">
          <x14:cfRule type="dataBar" id="{45F248FD-B59E-41ED-9918-25EBCAD3709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T155:T159</xm:sqref>
        </x14:conditionalFormatting>
        <x14:conditionalFormatting xmlns:xm="http://schemas.microsoft.com/office/excel/2006/main">
          <x14:cfRule type="dataBar" id="{4A1053F8-E29A-4F42-B3CC-8494627FD0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T160</xm:sqref>
        </x14:conditionalFormatting>
        <x14:conditionalFormatting xmlns:xm="http://schemas.microsoft.com/office/excel/2006/main">
          <x14:cfRule type="dataBar" id="{5EDC539F-C2E8-4903-95C9-BF7ACEEEBF6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T161:T165</xm:sqref>
        </x14:conditionalFormatting>
        <x14:conditionalFormatting xmlns:xm="http://schemas.microsoft.com/office/excel/2006/main">
          <x14:cfRule type="dataBar" id="{65147143-8BDC-468D-81EE-646ABEFF465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T167:T171</xm:sqref>
        </x14:conditionalFormatting>
        <x14:conditionalFormatting xmlns:xm="http://schemas.microsoft.com/office/excel/2006/main">
          <x14:cfRule type="dataBar" id="{339A356A-02DB-4C49-BBC2-DAC9CD2EFA2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T172</xm:sqref>
        </x14:conditionalFormatting>
        <x14:conditionalFormatting xmlns:xm="http://schemas.microsoft.com/office/excel/2006/main">
          <x14:cfRule type="dataBar" id="{960FD7CE-091A-4813-B440-E36771D8652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T173:T177</xm:sqref>
        </x14:conditionalFormatting>
        <x14:conditionalFormatting xmlns:xm="http://schemas.microsoft.com/office/excel/2006/main">
          <x14:cfRule type="dataBar" id="{19B7289D-039E-47D9-BB8E-E96719EF638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T178</xm:sqref>
        </x14:conditionalFormatting>
        <x14:conditionalFormatting xmlns:xm="http://schemas.microsoft.com/office/excel/2006/main">
          <x14:cfRule type="dataBar" id="{C1EE747A-9FAB-42E0-B3ED-A8CD469E46D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T182</xm:sqref>
        </x14:conditionalFormatting>
        <x14:conditionalFormatting xmlns:xm="http://schemas.microsoft.com/office/excel/2006/main">
          <x14:cfRule type="dataBar" id="{5A4861BB-85ED-4346-8300-BE7589CCEFE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W12:W13 W20:W21</xm:sqref>
        </x14:conditionalFormatting>
        <x14:conditionalFormatting xmlns:xm="http://schemas.microsoft.com/office/excel/2006/main">
          <x14:cfRule type="dataBar" id="{AA79A234-0CB4-4657-BA4B-3FE03276D77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W14</xm:sqref>
        </x14:conditionalFormatting>
        <x14:conditionalFormatting xmlns:xm="http://schemas.microsoft.com/office/excel/2006/main">
          <x14:cfRule type="dataBar" id="{89567FE5-FBD6-4F4A-B00D-4A092CB85E1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W19</xm:sqref>
        </x14:conditionalFormatting>
        <x14:conditionalFormatting xmlns:xm="http://schemas.microsoft.com/office/excel/2006/main">
          <x14:cfRule type="dataBar" id="{B48B920F-E275-4C7E-AD18-5D9AD41AF78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W23:W28</xm:sqref>
        </x14:conditionalFormatting>
        <x14:conditionalFormatting xmlns:xm="http://schemas.microsoft.com/office/excel/2006/main">
          <x14:cfRule type="dataBar" id="{AE7AABFE-2373-4A9E-ADDD-ECF52E86947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W29:W33</xm:sqref>
        </x14:conditionalFormatting>
        <x14:conditionalFormatting xmlns:xm="http://schemas.microsoft.com/office/excel/2006/main">
          <x14:cfRule type="dataBar" id="{9128EB9A-F314-44C8-8856-1B64C4D86E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W34 W40 W46 W52 W58 W64 W70 W76 W82 W88 W94 W100 W106 W112 W118 W124 W130 W148 W154 W166 W11</xm:sqref>
        </x14:conditionalFormatting>
        <x14:conditionalFormatting xmlns:xm="http://schemas.microsoft.com/office/excel/2006/main">
          <x14:cfRule type="dataBar" id="{CA993D49-CBF7-407C-98CD-7F098E1C4DB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W35:W39</xm:sqref>
        </x14:conditionalFormatting>
        <x14:conditionalFormatting xmlns:xm="http://schemas.microsoft.com/office/excel/2006/main">
          <x14:cfRule type="dataBar" id="{3D01F257-99F1-4FBB-A11B-93408E96D72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W41:W45</xm:sqref>
        </x14:conditionalFormatting>
        <x14:conditionalFormatting xmlns:xm="http://schemas.microsoft.com/office/excel/2006/main">
          <x14:cfRule type="dataBar" id="{90150229-8F8B-4606-9F64-13F2E8CCF09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W47:W51</xm:sqref>
        </x14:conditionalFormatting>
        <x14:conditionalFormatting xmlns:xm="http://schemas.microsoft.com/office/excel/2006/main">
          <x14:cfRule type="dataBar" id="{397EC5B5-9D6F-41E8-B429-E226936D026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W53:W57</xm:sqref>
        </x14:conditionalFormatting>
        <x14:conditionalFormatting xmlns:xm="http://schemas.microsoft.com/office/excel/2006/main">
          <x14:cfRule type="dataBar" id="{42D806D7-8D50-4162-B88A-35E4E0350AE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W59:W63</xm:sqref>
        </x14:conditionalFormatting>
        <x14:conditionalFormatting xmlns:xm="http://schemas.microsoft.com/office/excel/2006/main">
          <x14:cfRule type="dataBar" id="{0BA72906-1777-401D-9665-1B7F162711E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W65:W69</xm:sqref>
        </x14:conditionalFormatting>
        <x14:conditionalFormatting xmlns:xm="http://schemas.microsoft.com/office/excel/2006/main">
          <x14:cfRule type="dataBar" id="{C88153E7-AA7D-4435-9A07-4193F92F4A7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W71:W75</xm:sqref>
        </x14:conditionalFormatting>
        <x14:conditionalFormatting xmlns:xm="http://schemas.microsoft.com/office/excel/2006/main">
          <x14:cfRule type="dataBar" id="{A98CBF68-F380-4028-BD89-5F80E9CCEBA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W77:W81</xm:sqref>
        </x14:conditionalFormatting>
        <x14:conditionalFormatting xmlns:xm="http://schemas.microsoft.com/office/excel/2006/main">
          <x14:cfRule type="dataBar" id="{2C37DD86-375D-40F4-B654-804E2B65C0A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W83:W87</xm:sqref>
        </x14:conditionalFormatting>
        <x14:conditionalFormatting xmlns:xm="http://schemas.microsoft.com/office/excel/2006/main">
          <x14:cfRule type="dataBar" id="{0B6664C6-E201-4C22-87BB-3D8067F007E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W89:W93</xm:sqref>
        </x14:conditionalFormatting>
        <x14:conditionalFormatting xmlns:xm="http://schemas.microsoft.com/office/excel/2006/main">
          <x14:cfRule type="dataBar" id="{DE4BE839-D177-42B6-B0B0-D4B37BE7D60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W95:W99</xm:sqref>
        </x14:conditionalFormatting>
        <x14:conditionalFormatting xmlns:xm="http://schemas.microsoft.com/office/excel/2006/main">
          <x14:cfRule type="dataBar" id="{45C22641-7377-42F3-AA76-76CE153CB81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W101:W105</xm:sqref>
        </x14:conditionalFormatting>
        <x14:conditionalFormatting xmlns:xm="http://schemas.microsoft.com/office/excel/2006/main">
          <x14:cfRule type="dataBar" id="{2688A809-8C1B-4F14-BF61-CFBCC47079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W107:W111</xm:sqref>
        </x14:conditionalFormatting>
        <x14:conditionalFormatting xmlns:xm="http://schemas.microsoft.com/office/excel/2006/main">
          <x14:cfRule type="dataBar" id="{13C82ED7-5595-48E5-9035-010898DCF33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W113:W117</xm:sqref>
        </x14:conditionalFormatting>
        <x14:conditionalFormatting xmlns:xm="http://schemas.microsoft.com/office/excel/2006/main">
          <x14:cfRule type="dataBar" id="{6B3C4689-E6F9-4459-A721-32729F0B6B4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W119:W123</xm:sqref>
        </x14:conditionalFormatting>
        <x14:conditionalFormatting xmlns:xm="http://schemas.microsoft.com/office/excel/2006/main">
          <x14:cfRule type="dataBar" id="{DE2008B1-6E80-4DF8-84A2-A86E6A39979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W125:W129</xm:sqref>
        </x14:conditionalFormatting>
        <x14:conditionalFormatting xmlns:xm="http://schemas.microsoft.com/office/excel/2006/main">
          <x14:cfRule type="dataBar" id="{C9810BFD-2F59-47F0-A5D1-7C97B4FDCC4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W131:W135 W137:W141 W143:W147</xm:sqref>
        </x14:conditionalFormatting>
        <x14:conditionalFormatting xmlns:xm="http://schemas.microsoft.com/office/excel/2006/main">
          <x14:cfRule type="dataBar" id="{2F768004-501E-4291-BE8D-C47406EDF66A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W136</xm:sqref>
        </x14:conditionalFormatting>
        <x14:conditionalFormatting xmlns:xm="http://schemas.microsoft.com/office/excel/2006/main">
          <x14:cfRule type="dataBar" id="{A47D94FD-A947-49A5-9405-C646197E20E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W142</xm:sqref>
        </x14:conditionalFormatting>
        <x14:conditionalFormatting xmlns:xm="http://schemas.microsoft.com/office/excel/2006/main">
          <x14:cfRule type="dataBar" id="{76DA489A-012E-43E6-B948-1E01DA832C2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W149:W153</xm:sqref>
        </x14:conditionalFormatting>
        <x14:conditionalFormatting xmlns:xm="http://schemas.microsoft.com/office/excel/2006/main">
          <x14:cfRule type="dataBar" id="{FD10169B-6999-4257-AA15-5C4EF9AEC79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W155:W159</xm:sqref>
        </x14:conditionalFormatting>
        <x14:conditionalFormatting xmlns:xm="http://schemas.microsoft.com/office/excel/2006/main">
          <x14:cfRule type="dataBar" id="{AB7A8BEF-62B2-415C-AB00-C54EB0B8D25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W160</xm:sqref>
        </x14:conditionalFormatting>
        <x14:conditionalFormatting xmlns:xm="http://schemas.microsoft.com/office/excel/2006/main">
          <x14:cfRule type="dataBar" id="{761A2317-3DD1-45A3-9EED-8B35E104CAE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W161:W165</xm:sqref>
        </x14:conditionalFormatting>
        <x14:conditionalFormatting xmlns:xm="http://schemas.microsoft.com/office/excel/2006/main">
          <x14:cfRule type="dataBar" id="{CC2058AF-C748-4C0A-9117-2D604EB4910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W167:W171</xm:sqref>
        </x14:conditionalFormatting>
        <x14:conditionalFormatting xmlns:xm="http://schemas.microsoft.com/office/excel/2006/main">
          <x14:cfRule type="dataBar" id="{1EC8D5F3-EF58-4B5D-B784-8475729290B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W172</xm:sqref>
        </x14:conditionalFormatting>
        <x14:conditionalFormatting xmlns:xm="http://schemas.microsoft.com/office/excel/2006/main">
          <x14:cfRule type="dataBar" id="{C6C2E635-52B4-4B8A-A54F-F1CD3412C66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W173:W177</xm:sqref>
        </x14:conditionalFormatting>
        <x14:conditionalFormatting xmlns:xm="http://schemas.microsoft.com/office/excel/2006/main">
          <x14:cfRule type="dataBar" id="{FED8E549-5C44-4251-ACF7-4FDE2E86E06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 Z19 Z14:Z15</xm:sqref>
        </x14:conditionalFormatting>
        <x14:conditionalFormatting xmlns:xm="http://schemas.microsoft.com/office/excel/2006/main">
          <x14:cfRule type="dataBar" id="{648AED3E-3A41-4A9B-BDC4-578F6CC6BFE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Z24:Z25</xm:sqref>
        </x14:conditionalFormatting>
        <x14:conditionalFormatting xmlns:xm="http://schemas.microsoft.com/office/excel/2006/main">
          <x14:cfRule type="dataBar" id="{D63CED5E-CFFC-4C42-BC4F-137B68DCF61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Z26</xm:sqref>
        </x14:conditionalFormatting>
        <x14:conditionalFormatting xmlns:xm="http://schemas.microsoft.com/office/excel/2006/main">
          <x14:cfRule type="dataBar" id="{48C90216-E514-4639-8978-0B1AECDE904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Z27:Z28</xm:sqref>
        </x14:conditionalFormatting>
        <x14:conditionalFormatting xmlns:xm="http://schemas.microsoft.com/office/excel/2006/main">
          <x14:cfRule type="dataBar" id="{8B47A906-A8F5-4CFC-B921-F93B9B3D684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Z30:Z31</xm:sqref>
        </x14:conditionalFormatting>
        <x14:conditionalFormatting xmlns:xm="http://schemas.microsoft.com/office/excel/2006/main">
          <x14:cfRule type="dataBar" id="{742755B4-70A2-4BBA-BE79-00D2DB1A8F9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Z32:Z33</xm:sqref>
        </x14:conditionalFormatting>
        <x14:conditionalFormatting xmlns:xm="http://schemas.microsoft.com/office/excel/2006/main">
          <x14:cfRule type="dataBar" id="{0FC7F7C2-B92B-4F9D-8C03-D71F6A6CF6B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Z35:Z37</xm:sqref>
        </x14:conditionalFormatting>
        <x14:conditionalFormatting xmlns:xm="http://schemas.microsoft.com/office/excel/2006/main">
          <x14:cfRule type="dataBar" id="{6676C11D-3DC3-4BE2-99B0-7B5966B57BC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Z38:Z39</xm:sqref>
        </x14:conditionalFormatting>
        <x14:conditionalFormatting xmlns:xm="http://schemas.microsoft.com/office/excel/2006/main">
          <x14:cfRule type="dataBar" id="{A8910204-4E7D-479F-8CC5-0D7771C228C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Z41:Z43</xm:sqref>
        </x14:conditionalFormatting>
        <x14:conditionalFormatting xmlns:xm="http://schemas.microsoft.com/office/excel/2006/main">
          <x14:cfRule type="dataBar" id="{E58BBEA3-7394-4CB6-85E7-6BE638DA234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Z44:Z45</xm:sqref>
        </x14:conditionalFormatting>
        <x14:conditionalFormatting xmlns:xm="http://schemas.microsoft.com/office/excel/2006/main">
          <x14:cfRule type="dataBar" id="{C1C514E4-E023-4BD5-8830-20194D90785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Z47:Z49</xm:sqref>
        </x14:conditionalFormatting>
        <x14:conditionalFormatting xmlns:xm="http://schemas.microsoft.com/office/excel/2006/main">
          <x14:cfRule type="dataBar" id="{38541224-7F1D-4727-BFED-66F7D972FB5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Z50:Z51</xm:sqref>
        </x14:conditionalFormatting>
        <x14:conditionalFormatting xmlns:xm="http://schemas.microsoft.com/office/excel/2006/main">
          <x14:cfRule type="dataBar" id="{8D90CDF1-D735-44F5-BD6A-60009AB001FE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Z53:Z55</xm:sqref>
        </x14:conditionalFormatting>
        <x14:conditionalFormatting xmlns:xm="http://schemas.microsoft.com/office/excel/2006/main">
          <x14:cfRule type="dataBar" id="{53C160BE-BDD8-4E38-83E3-D52BDCCE397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Z56:Z57</xm:sqref>
        </x14:conditionalFormatting>
        <x14:conditionalFormatting xmlns:xm="http://schemas.microsoft.com/office/excel/2006/main">
          <x14:cfRule type="dataBar" id="{32024053-E1A1-4451-A88C-88B780EA05F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Z59:Z61</xm:sqref>
        </x14:conditionalFormatting>
        <x14:conditionalFormatting xmlns:xm="http://schemas.microsoft.com/office/excel/2006/main">
          <x14:cfRule type="dataBar" id="{DD515082-F7E5-43AA-B0C2-F27B1D63E841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Z62:Z63</xm:sqref>
        </x14:conditionalFormatting>
        <x14:conditionalFormatting xmlns:xm="http://schemas.microsoft.com/office/excel/2006/main">
          <x14:cfRule type="dataBar" id="{FF8896B5-D839-4E94-A2F9-2C951E12BE4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Z65:Z67</xm:sqref>
        </x14:conditionalFormatting>
        <x14:conditionalFormatting xmlns:xm="http://schemas.microsoft.com/office/excel/2006/main">
          <x14:cfRule type="dataBar" id="{C6F11FBD-2F47-451B-909C-4A18A2F5BFF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Z68:Z69</xm:sqref>
        </x14:conditionalFormatting>
        <x14:conditionalFormatting xmlns:xm="http://schemas.microsoft.com/office/excel/2006/main">
          <x14:cfRule type="dataBar" id="{24EF2A3B-4CB5-4206-9177-23E57B3D01F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Z71:Z73</xm:sqref>
        </x14:conditionalFormatting>
        <x14:conditionalFormatting xmlns:xm="http://schemas.microsoft.com/office/excel/2006/main">
          <x14:cfRule type="dataBar" id="{EFDEFD07-0749-41CC-95E0-A329115C45E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Z74:Z75</xm:sqref>
        </x14:conditionalFormatting>
        <x14:conditionalFormatting xmlns:xm="http://schemas.microsoft.com/office/excel/2006/main">
          <x14:cfRule type="dataBar" id="{FF15F973-8479-4DD5-A7AC-BA86D982D06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Z77:Z79</xm:sqref>
        </x14:conditionalFormatting>
        <x14:conditionalFormatting xmlns:xm="http://schemas.microsoft.com/office/excel/2006/main">
          <x14:cfRule type="dataBar" id="{B23B7123-9D4C-43DA-B196-2356D2BCCFF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Z80:Z81</xm:sqref>
        </x14:conditionalFormatting>
        <x14:conditionalFormatting xmlns:xm="http://schemas.microsoft.com/office/excel/2006/main">
          <x14:cfRule type="dataBar" id="{B84B4B01-2A44-456E-AE34-7DF96FEC228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Z83:Z85</xm:sqref>
        </x14:conditionalFormatting>
        <x14:conditionalFormatting xmlns:xm="http://schemas.microsoft.com/office/excel/2006/main">
          <x14:cfRule type="dataBar" id="{72056D86-D2FF-4FCC-B703-90BFBCB680D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Z86:Z87</xm:sqref>
        </x14:conditionalFormatting>
        <x14:conditionalFormatting xmlns:xm="http://schemas.microsoft.com/office/excel/2006/main">
          <x14:cfRule type="dataBar" id="{54771ED1-ABDD-41D1-A4F1-EE963E1D132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Z89:Z91</xm:sqref>
        </x14:conditionalFormatting>
        <x14:conditionalFormatting xmlns:xm="http://schemas.microsoft.com/office/excel/2006/main">
          <x14:cfRule type="dataBar" id="{CF5BC458-0CFC-4B41-882E-E951AF74ADC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Z92:Z93</xm:sqref>
        </x14:conditionalFormatting>
        <x14:conditionalFormatting xmlns:xm="http://schemas.microsoft.com/office/excel/2006/main">
          <x14:cfRule type="dataBar" id="{C686C7A0-6C1C-4D0F-94ED-396A50ABE0A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Z95:Z97</xm:sqref>
        </x14:conditionalFormatting>
        <x14:conditionalFormatting xmlns:xm="http://schemas.microsoft.com/office/excel/2006/main">
          <x14:cfRule type="dataBar" id="{A565AEEC-BC69-44B6-96A1-FCF47169EFE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Z98:Z99</xm:sqref>
        </x14:conditionalFormatting>
        <x14:conditionalFormatting xmlns:xm="http://schemas.microsoft.com/office/excel/2006/main">
          <x14:cfRule type="dataBar" id="{9E18FFAE-5E8D-4E76-AA5E-E3EB2FA79BD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Z101:Z103</xm:sqref>
        </x14:conditionalFormatting>
        <x14:conditionalFormatting xmlns:xm="http://schemas.microsoft.com/office/excel/2006/main">
          <x14:cfRule type="dataBar" id="{F12503E5-A0D4-449D-9129-88841339082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Z104:Z105</xm:sqref>
        </x14:conditionalFormatting>
        <x14:conditionalFormatting xmlns:xm="http://schemas.microsoft.com/office/excel/2006/main">
          <x14:cfRule type="dataBar" id="{133DDF5C-B1BE-46EA-9CC0-7E1827B3CB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Z107:Z109</xm:sqref>
        </x14:conditionalFormatting>
        <x14:conditionalFormatting xmlns:xm="http://schemas.microsoft.com/office/excel/2006/main">
          <x14:cfRule type="dataBar" id="{F5D643F5-5722-447B-BA25-FD6288B5B97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Z110:Z111</xm:sqref>
        </x14:conditionalFormatting>
        <x14:conditionalFormatting xmlns:xm="http://schemas.microsoft.com/office/excel/2006/main">
          <x14:cfRule type="dataBar" id="{E5697764-44CE-45A1-84E4-D540CB382B5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Z113:Z115</xm:sqref>
        </x14:conditionalFormatting>
        <x14:conditionalFormatting xmlns:xm="http://schemas.microsoft.com/office/excel/2006/main">
          <x14:cfRule type="dataBar" id="{4B96D4E7-82C5-493C-99F4-5924656AA59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Z116:Z117</xm:sqref>
        </x14:conditionalFormatting>
        <x14:conditionalFormatting xmlns:xm="http://schemas.microsoft.com/office/excel/2006/main">
          <x14:cfRule type="dataBar" id="{B8B72AFF-A1D6-40DA-88BE-60D2E482F32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Z119:Z121</xm:sqref>
        </x14:conditionalFormatting>
        <x14:conditionalFormatting xmlns:xm="http://schemas.microsoft.com/office/excel/2006/main">
          <x14:cfRule type="dataBar" id="{8E5D2CF1-625F-4949-B5AC-6C56A8E86BA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Z122:Z123</xm:sqref>
        </x14:conditionalFormatting>
        <x14:conditionalFormatting xmlns:xm="http://schemas.microsoft.com/office/excel/2006/main">
          <x14:cfRule type="dataBar" id="{C2690816-34A4-486F-8D65-C83A84D155FD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Z125:Z127</xm:sqref>
        </x14:conditionalFormatting>
        <x14:conditionalFormatting xmlns:xm="http://schemas.microsoft.com/office/excel/2006/main">
          <x14:cfRule type="dataBar" id="{F39EF67C-5178-46C2-BCCB-67DB7F50663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Z128:Z129</xm:sqref>
        </x14:conditionalFormatting>
        <x14:conditionalFormatting xmlns:xm="http://schemas.microsoft.com/office/excel/2006/main">
          <x14:cfRule type="dataBar" id="{C2776BD4-6B50-4358-88AD-91012DEF962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Z131:Z133</xm:sqref>
        </x14:conditionalFormatting>
        <x14:conditionalFormatting xmlns:xm="http://schemas.microsoft.com/office/excel/2006/main">
          <x14:cfRule type="dataBar" id="{0D37CF21-CBCC-4228-9015-D7A8B3BE73B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Z134:Z135 Z140:Z141 Z146:Z147</xm:sqref>
        </x14:conditionalFormatting>
        <x14:conditionalFormatting xmlns:xm="http://schemas.microsoft.com/office/excel/2006/main">
          <x14:cfRule type="dataBar" id="{C7B70A7B-3882-4A8F-AE03-F61866529342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Z137:Z139</xm:sqref>
        </x14:conditionalFormatting>
        <x14:conditionalFormatting xmlns:xm="http://schemas.microsoft.com/office/excel/2006/main">
          <x14:cfRule type="dataBar" id="{A28F78CE-E50C-4F53-AF10-BB913BDA335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Z143:Z145</xm:sqref>
        </x14:conditionalFormatting>
        <x14:conditionalFormatting xmlns:xm="http://schemas.microsoft.com/office/excel/2006/main">
          <x14:cfRule type="dataBar" id="{58D5B51C-E18E-4045-8194-853D0B2413A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Z149:Z151</xm:sqref>
        </x14:conditionalFormatting>
        <x14:conditionalFormatting xmlns:xm="http://schemas.microsoft.com/office/excel/2006/main">
          <x14:cfRule type="dataBar" id="{D3307358-B061-442E-B9F9-61CDC5ADE21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Z152:Z153</xm:sqref>
        </x14:conditionalFormatting>
        <x14:conditionalFormatting xmlns:xm="http://schemas.microsoft.com/office/excel/2006/main">
          <x14:cfRule type="dataBar" id="{B563980B-D64A-402A-B3A3-EE84511BDF8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Z155:Z157</xm:sqref>
        </x14:conditionalFormatting>
        <x14:conditionalFormatting xmlns:xm="http://schemas.microsoft.com/office/excel/2006/main">
          <x14:cfRule type="dataBar" id="{16279258-2F3A-4603-995E-857B391D4DC3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Z158:Z159</xm:sqref>
        </x14:conditionalFormatting>
        <x14:conditionalFormatting xmlns:xm="http://schemas.microsoft.com/office/excel/2006/main">
          <x14:cfRule type="dataBar" id="{5108D6D4-2DD5-4507-9102-AB04C46F53A9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Z161:Z163</xm:sqref>
        </x14:conditionalFormatting>
        <x14:conditionalFormatting xmlns:xm="http://schemas.microsoft.com/office/excel/2006/main">
          <x14:cfRule type="dataBar" id="{1F4F9653-23FA-4DCC-9AB4-03AD320781B6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Z164:Z165</xm:sqref>
        </x14:conditionalFormatting>
        <x14:conditionalFormatting xmlns:xm="http://schemas.microsoft.com/office/excel/2006/main">
          <x14:cfRule type="dataBar" id="{D1BFB982-9699-46E0-9129-E713F71DF414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Z167:Z169</xm:sqref>
        </x14:conditionalFormatting>
        <x14:conditionalFormatting xmlns:xm="http://schemas.microsoft.com/office/excel/2006/main">
          <x14:cfRule type="dataBar" id="{03CC3EAA-BAEA-4BA2-AB13-EDDF542B586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Z170:Z171</xm:sqref>
        </x14:conditionalFormatting>
        <x14:conditionalFormatting xmlns:xm="http://schemas.microsoft.com/office/excel/2006/main">
          <x14:cfRule type="dataBar" id="{123297BC-579F-457A-88FE-FCEE34ABA7AF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Z173:Z174</xm:sqref>
        </x14:conditionalFormatting>
        <x14:conditionalFormatting xmlns:xm="http://schemas.microsoft.com/office/excel/2006/main">
          <x14:cfRule type="dataBar" id="{A04A43EB-BC8E-4ABB-8005-A1200E545AEC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Z175:Z176</xm:sqref>
        </x14:conditionalFormatting>
        <x14:conditionalFormatting xmlns:xm="http://schemas.microsoft.com/office/excel/2006/main">
          <x14:cfRule type="dataBar" id="{5F54BFEB-C267-4C73-8732-20748334246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Z179:Z181 Z183:Z185</xm:sqref>
        </x14:conditionalFormatting>
        <x14:conditionalFormatting xmlns:xm="http://schemas.microsoft.com/office/excel/2006/main">
          <x14:cfRule type="dataBar" id="{EBF3D8D6-593B-4EEE-A617-D3B3033815C7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AC179:AC181 AC183:AC185</xm:sqref>
        </x14:conditionalFormatting>
        <x14:conditionalFormatting xmlns:xm="http://schemas.microsoft.com/office/excel/2006/main">
          <x14:cfRule type="dataBar" id="{D164D9B4-C8CA-4B59-ADFF-625015EA3AE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AF179:AF181 AF183:AF185</xm:sqref>
        </x14:conditionalFormatting>
        <x14:conditionalFormatting xmlns:xm="http://schemas.microsoft.com/office/excel/2006/main">
          <x14:cfRule type="dataBar" id="{52FF5CA5-2803-4488-89C2-5ED5FB7B7335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AI179:AI181 AI183:AI185</xm:sqref>
        </x14:conditionalFormatting>
        <x14:conditionalFormatting xmlns:xm="http://schemas.microsoft.com/office/excel/2006/main">
          <x14:cfRule type="dataBar" id="{6CD575D1-8E33-4A2E-AA9F-E67E9DD42130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AL179:AL181 AL183:AL185</xm:sqref>
        </x14:conditionalFormatting>
        <x14:conditionalFormatting xmlns:xm="http://schemas.microsoft.com/office/excel/2006/main">
          <x14:cfRule type="dataBar" id="{F4397FE5-92C8-47D6-AB03-F59445F63F7B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AO11:AO177</xm:sqref>
        </x14:conditionalFormatting>
        <x14:conditionalFormatting xmlns:xm="http://schemas.microsoft.com/office/excel/2006/main">
          <x14:cfRule type="dataBar" id="{EBA9CF6B-4B70-416B-9E8E-1C944B50BD08}">
            <x14:dataBar minLength="0" maxLength="100" border="1" negativeBarBorderColorSameAsPositive="0">
              <x14:cfvo type="num">
                <xm:f>0</xm:f>
              </x14:cfvo>
              <x14:cfvo type="num">
                <xm:f>1</xm:f>
              </x14:cfvo>
              <x14:borderColor rgb="FFFFB628"/>
              <x14:negativeFillColor rgb="FFFF0000"/>
              <x14:negativeBorderColor rgb="FFFF0000"/>
              <x14:axisColor rgb="FF000000"/>
            </x14:dataBar>
          </x14:cfRule>
          <xm:sqref>AO179:AO181 AO183:AO185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C3A88D-D852-46E7-BE2F-F4CB2DB61DBB}">
  <dimension ref="A1:C197"/>
  <sheetViews>
    <sheetView topLeftCell="A3" zoomScale="70" zoomScaleNormal="70" workbookViewId="0">
      <selection activeCell="A5" sqref="A5"/>
    </sheetView>
  </sheetViews>
  <sheetFormatPr defaultColWidth="9.140625" defaultRowHeight="12.75" x14ac:dyDescent="0.2"/>
  <cols>
    <col min="1" max="1" width="156.42578125" style="53" customWidth="1"/>
    <col min="2" max="16384" width="9.140625" style="52"/>
  </cols>
  <sheetData>
    <row r="1" spans="1:3" ht="41.25" customHeight="1" x14ac:dyDescent="0.2">
      <c r="A1" s="57" t="s">
        <v>81</v>
      </c>
    </row>
    <row r="2" spans="1:3" ht="3.75" customHeight="1" x14ac:dyDescent="0.2"/>
    <row r="3" spans="1:3" ht="33" customHeight="1" thickBot="1" x14ac:dyDescent="0.25">
      <c r="A3" s="58" t="s">
        <v>82</v>
      </c>
    </row>
    <row r="4" spans="1:3" ht="25.5" customHeight="1" x14ac:dyDescent="0.2">
      <c r="A4" s="54" t="s">
        <v>83</v>
      </c>
    </row>
    <row r="5" spans="1:3" ht="409.6" thickBot="1" x14ac:dyDescent="0.25">
      <c r="A5" s="60" t="s">
        <v>88</v>
      </c>
      <c r="C5" s="59"/>
    </row>
    <row r="6" spans="1:3" ht="9.75" customHeight="1" thickBot="1" x14ac:dyDescent="0.25">
      <c r="A6" s="55"/>
    </row>
    <row r="7" spans="1:3" ht="32.25" customHeight="1" x14ac:dyDescent="0.2">
      <c r="A7" s="56" t="s">
        <v>84</v>
      </c>
    </row>
    <row r="8" spans="1:3" ht="168" customHeight="1" thickBot="1" x14ac:dyDescent="0.25">
      <c r="A8" s="60" t="s">
        <v>87</v>
      </c>
    </row>
    <row r="9" spans="1:3" ht="8.25" customHeight="1" thickBot="1" x14ac:dyDescent="0.25">
      <c r="A9" s="55"/>
    </row>
    <row r="10" spans="1:3" x14ac:dyDescent="0.2">
      <c r="A10" s="52"/>
    </row>
    <row r="11" spans="1:3" x14ac:dyDescent="0.2">
      <c r="A11" s="52"/>
    </row>
    <row r="13" spans="1:3" x14ac:dyDescent="0.2">
      <c r="A13" s="52"/>
    </row>
    <row r="14" spans="1:3" x14ac:dyDescent="0.2">
      <c r="A14" s="52"/>
    </row>
    <row r="15" spans="1:3" x14ac:dyDescent="0.2">
      <c r="A15" s="52"/>
    </row>
    <row r="16" spans="1:3" x14ac:dyDescent="0.2">
      <c r="A16" s="52"/>
    </row>
    <row r="18" spans="1:1" x14ac:dyDescent="0.2">
      <c r="A18" s="52"/>
    </row>
    <row r="19" spans="1:1" x14ac:dyDescent="0.2">
      <c r="A19" s="52"/>
    </row>
    <row r="20" spans="1:1" x14ac:dyDescent="0.2">
      <c r="A20" s="52"/>
    </row>
    <row r="21" spans="1:1" x14ac:dyDescent="0.2">
      <c r="A21" s="52"/>
    </row>
    <row r="22" spans="1:1" x14ac:dyDescent="0.2">
      <c r="A22" s="52"/>
    </row>
    <row r="23" spans="1:1" x14ac:dyDescent="0.2">
      <c r="A23" s="52"/>
    </row>
    <row r="24" spans="1:1" x14ac:dyDescent="0.2">
      <c r="A24" s="52"/>
    </row>
    <row r="25" spans="1:1" x14ac:dyDescent="0.2">
      <c r="A25" s="52"/>
    </row>
    <row r="26" spans="1:1" x14ac:dyDescent="0.2">
      <c r="A26" s="52"/>
    </row>
    <row r="27" spans="1:1" x14ac:dyDescent="0.2">
      <c r="A27" s="52"/>
    </row>
    <row r="28" spans="1:1" x14ac:dyDescent="0.2">
      <c r="A28" s="52"/>
    </row>
    <row r="29" spans="1:1" x14ac:dyDescent="0.2">
      <c r="A29" s="52"/>
    </row>
    <row r="30" spans="1:1" x14ac:dyDescent="0.2">
      <c r="A30" s="52"/>
    </row>
    <row r="31" spans="1:1" x14ac:dyDescent="0.2">
      <c r="A31" s="52"/>
    </row>
    <row r="32" spans="1:1" x14ac:dyDescent="0.2">
      <c r="A32" s="52"/>
    </row>
    <row r="33" s="52" customFormat="1" x14ac:dyDescent="0.2"/>
    <row r="34" s="52" customFormat="1" x14ac:dyDescent="0.2"/>
    <row r="35" s="52" customFormat="1" x14ac:dyDescent="0.2"/>
    <row r="36" s="52" customFormat="1" x14ac:dyDescent="0.2"/>
    <row r="37" s="52" customFormat="1" x14ac:dyDescent="0.2"/>
    <row r="38" s="52" customFormat="1" x14ac:dyDescent="0.2"/>
    <row r="39" s="52" customFormat="1" x14ac:dyDescent="0.2"/>
    <row r="40" s="52" customFormat="1" x14ac:dyDescent="0.2"/>
    <row r="41" s="52" customFormat="1" x14ac:dyDescent="0.2"/>
    <row r="42" s="52" customFormat="1" x14ac:dyDescent="0.2"/>
    <row r="43" s="52" customFormat="1" x14ac:dyDescent="0.2"/>
    <row r="44" s="52" customFormat="1" x14ac:dyDescent="0.2"/>
    <row r="45" s="52" customFormat="1" x14ac:dyDescent="0.2"/>
    <row r="46" s="52" customFormat="1" x14ac:dyDescent="0.2"/>
    <row r="47" s="52" customFormat="1" x14ac:dyDescent="0.2"/>
    <row r="48" s="52" customFormat="1" x14ac:dyDescent="0.2"/>
    <row r="49" s="52" customFormat="1" x14ac:dyDescent="0.2"/>
    <row r="50" s="52" customFormat="1" x14ac:dyDescent="0.2"/>
    <row r="51" s="52" customFormat="1" x14ac:dyDescent="0.2"/>
    <row r="52" s="52" customFormat="1" x14ac:dyDescent="0.2"/>
    <row r="53" s="52" customFormat="1" x14ac:dyDescent="0.2"/>
    <row r="54" s="52" customFormat="1" x14ac:dyDescent="0.2"/>
    <row r="55" s="52" customFormat="1" x14ac:dyDescent="0.2"/>
    <row r="56" s="52" customFormat="1" x14ac:dyDescent="0.2"/>
    <row r="57" s="52" customFormat="1" x14ac:dyDescent="0.2"/>
    <row r="58" s="52" customFormat="1" x14ac:dyDescent="0.2"/>
    <row r="59" s="52" customFormat="1" x14ac:dyDescent="0.2"/>
    <row r="60" s="52" customFormat="1" x14ac:dyDescent="0.2"/>
    <row r="61" s="52" customFormat="1" x14ac:dyDescent="0.2"/>
    <row r="62" s="52" customFormat="1" x14ac:dyDescent="0.2"/>
    <row r="63" s="52" customFormat="1" x14ac:dyDescent="0.2"/>
    <row r="64" s="52" customFormat="1" x14ac:dyDescent="0.2"/>
    <row r="65" spans="1:1" x14ac:dyDescent="0.2">
      <c r="A65" s="52"/>
    </row>
    <row r="66" spans="1:1" x14ac:dyDescent="0.2">
      <c r="A66" s="52"/>
    </row>
    <row r="67" spans="1:1" x14ac:dyDescent="0.2">
      <c r="A67" s="52"/>
    </row>
    <row r="68" spans="1:1" x14ac:dyDescent="0.2">
      <c r="A68" s="52"/>
    </row>
    <row r="69" spans="1:1" x14ac:dyDescent="0.2">
      <c r="A69" s="52"/>
    </row>
    <row r="70" spans="1:1" x14ac:dyDescent="0.2">
      <c r="A70" s="52"/>
    </row>
    <row r="71" spans="1:1" x14ac:dyDescent="0.2">
      <c r="A71" s="52"/>
    </row>
    <row r="72" spans="1:1" x14ac:dyDescent="0.2">
      <c r="A72" s="52"/>
    </row>
    <row r="73" spans="1:1" x14ac:dyDescent="0.2">
      <c r="A73" s="52"/>
    </row>
    <row r="74" spans="1:1" x14ac:dyDescent="0.2">
      <c r="A74" s="52"/>
    </row>
    <row r="75" spans="1:1" x14ac:dyDescent="0.2">
      <c r="A75" s="52"/>
    </row>
    <row r="76" spans="1:1" x14ac:dyDescent="0.2">
      <c r="A76" s="52"/>
    </row>
    <row r="77" spans="1:1" x14ac:dyDescent="0.2">
      <c r="A77" s="52"/>
    </row>
    <row r="78" spans="1:1" x14ac:dyDescent="0.2">
      <c r="A78" s="52"/>
    </row>
    <row r="79" spans="1:1" x14ac:dyDescent="0.2">
      <c r="A79" s="52"/>
    </row>
    <row r="81" s="52" customFormat="1" x14ac:dyDescent="0.2"/>
    <row r="82" s="52" customFormat="1" x14ac:dyDescent="0.2"/>
    <row r="83" s="52" customFormat="1" x14ac:dyDescent="0.2"/>
    <row r="84" s="52" customFormat="1" x14ac:dyDescent="0.2"/>
    <row r="85" s="52" customFormat="1" x14ac:dyDescent="0.2"/>
    <row r="86" s="52" customFormat="1" x14ac:dyDescent="0.2"/>
    <row r="87" s="52" customFormat="1" x14ac:dyDescent="0.2"/>
    <row r="88" s="52" customFormat="1" x14ac:dyDescent="0.2"/>
    <row r="89" s="52" customFormat="1" x14ac:dyDescent="0.2"/>
    <row r="90" s="52" customFormat="1" x14ac:dyDescent="0.2"/>
    <row r="91" s="52" customFormat="1" x14ac:dyDescent="0.2"/>
    <row r="92" s="52" customFormat="1" x14ac:dyDescent="0.2"/>
    <row r="93" s="52" customFormat="1" x14ac:dyDescent="0.2"/>
    <row r="94" s="52" customFormat="1" x14ac:dyDescent="0.2"/>
    <row r="95" s="52" customFormat="1" x14ac:dyDescent="0.2"/>
    <row r="96" s="52" customFormat="1" x14ac:dyDescent="0.2"/>
    <row r="97" s="52" customFormat="1" x14ac:dyDescent="0.2"/>
    <row r="98" s="52" customFormat="1" x14ac:dyDescent="0.2"/>
    <row r="99" s="52" customFormat="1" x14ac:dyDescent="0.2"/>
    <row r="100" s="52" customFormat="1" x14ac:dyDescent="0.2"/>
    <row r="101" s="52" customFormat="1" x14ac:dyDescent="0.2"/>
    <row r="102" s="52" customFormat="1" x14ac:dyDescent="0.2"/>
    <row r="103" s="52" customFormat="1" x14ac:dyDescent="0.2"/>
    <row r="104" s="52" customFormat="1" x14ac:dyDescent="0.2"/>
    <row r="105" s="52" customFormat="1" x14ac:dyDescent="0.2"/>
    <row r="106" s="52" customFormat="1" x14ac:dyDescent="0.2"/>
    <row r="107" s="52" customFormat="1" x14ac:dyDescent="0.2"/>
    <row r="108" s="52" customFormat="1" x14ac:dyDescent="0.2"/>
    <row r="109" s="52" customFormat="1" x14ac:dyDescent="0.2"/>
    <row r="110" s="52" customFormat="1" x14ac:dyDescent="0.2"/>
    <row r="111" s="52" customFormat="1" x14ac:dyDescent="0.2"/>
    <row r="112" s="52" customFormat="1" x14ac:dyDescent="0.2"/>
    <row r="113" s="52" customFormat="1" x14ac:dyDescent="0.2"/>
    <row r="114" s="52" customFormat="1" x14ac:dyDescent="0.2"/>
    <row r="115" s="52" customFormat="1" x14ac:dyDescent="0.2"/>
    <row r="116" s="52" customFormat="1" x14ac:dyDescent="0.2"/>
    <row r="117" s="52" customFormat="1" x14ac:dyDescent="0.2"/>
    <row r="118" s="52" customFormat="1" x14ac:dyDescent="0.2"/>
    <row r="119" s="52" customFormat="1" x14ac:dyDescent="0.2"/>
    <row r="120" s="52" customFormat="1" x14ac:dyDescent="0.2"/>
    <row r="121" s="52" customFormat="1" x14ac:dyDescent="0.2"/>
    <row r="122" s="52" customFormat="1" x14ac:dyDescent="0.2"/>
    <row r="123" s="52" customFormat="1" x14ac:dyDescent="0.2"/>
    <row r="124" s="52" customFormat="1" x14ac:dyDescent="0.2"/>
    <row r="125" s="52" customFormat="1" x14ac:dyDescent="0.2"/>
    <row r="126" s="52" customFormat="1" x14ac:dyDescent="0.2"/>
    <row r="127" s="52" customFormat="1" x14ac:dyDescent="0.2"/>
    <row r="128" s="52" customFormat="1" x14ac:dyDescent="0.2"/>
    <row r="129" s="52" customFormat="1" x14ac:dyDescent="0.2"/>
    <row r="130" s="52" customFormat="1" x14ac:dyDescent="0.2"/>
    <row r="131" s="52" customFormat="1" x14ac:dyDescent="0.2"/>
    <row r="132" s="52" customFormat="1" x14ac:dyDescent="0.2"/>
    <row r="133" s="52" customFormat="1" x14ac:dyDescent="0.2"/>
    <row r="134" s="52" customFormat="1" x14ac:dyDescent="0.2"/>
    <row r="135" s="52" customFormat="1" x14ac:dyDescent="0.2"/>
    <row r="136" s="52" customFormat="1" x14ac:dyDescent="0.2"/>
    <row r="137" s="52" customFormat="1" x14ac:dyDescent="0.2"/>
    <row r="138" s="52" customFormat="1" x14ac:dyDescent="0.2"/>
    <row r="139" s="52" customFormat="1" x14ac:dyDescent="0.2"/>
    <row r="140" s="52" customFormat="1" x14ac:dyDescent="0.2"/>
    <row r="141" s="52" customFormat="1" x14ac:dyDescent="0.2"/>
    <row r="142" s="52" customFormat="1" x14ac:dyDescent="0.2"/>
    <row r="143" s="52" customFormat="1" x14ac:dyDescent="0.2"/>
    <row r="144" s="52" customFormat="1" x14ac:dyDescent="0.2"/>
    <row r="145" s="52" customFormat="1" x14ac:dyDescent="0.2"/>
    <row r="146" s="52" customFormat="1" x14ac:dyDescent="0.2"/>
    <row r="147" s="52" customFormat="1" x14ac:dyDescent="0.2"/>
    <row r="148" s="52" customFormat="1" x14ac:dyDescent="0.2"/>
    <row r="149" s="52" customFormat="1" x14ac:dyDescent="0.2"/>
    <row r="150" s="52" customFormat="1" x14ac:dyDescent="0.2"/>
    <row r="151" s="52" customFormat="1" x14ac:dyDescent="0.2"/>
    <row r="152" s="52" customFormat="1" x14ac:dyDescent="0.2"/>
    <row r="153" s="52" customFormat="1" x14ac:dyDescent="0.2"/>
    <row r="154" s="52" customFormat="1" x14ac:dyDescent="0.2"/>
    <row r="155" s="52" customFormat="1" x14ac:dyDescent="0.2"/>
    <row r="156" s="52" customFormat="1" x14ac:dyDescent="0.2"/>
    <row r="157" s="52" customFormat="1" x14ac:dyDescent="0.2"/>
    <row r="158" s="52" customFormat="1" x14ac:dyDescent="0.2"/>
    <row r="159" s="52" customFormat="1" x14ac:dyDescent="0.2"/>
    <row r="160" s="52" customFormat="1" x14ac:dyDescent="0.2"/>
    <row r="161" spans="1:1" x14ac:dyDescent="0.2">
      <c r="A161" s="52"/>
    </row>
    <row r="162" spans="1:1" x14ac:dyDescent="0.2">
      <c r="A162" s="52"/>
    </row>
    <row r="163" spans="1:1" x14ac:dyDescent="0.2">
      <c r="A163" s="52"/>
    </row>
    <row r="164" spans="1:1" x14ac:dyDescent="0.2">
      <c r="A164" s="52"/>
    </row>
    <row r="165" spans="1:1" x14ac:dyDescent="0.2">
      <c r="A165" s="52"/>
    </row>
    <row r="166" spans="1:1" x14ac:dyDescent="0.2">
      <c r="A166" s="52"/>
    </row>
    <row r="167" spans="1:1" x14ac:dyDescent="0.2">
      <c r="A167" s="52"/>
    </row>
    <row r="169" spans="1:1" x14ac:dyDescent="0.2">
      <c r="A169" s="52"/>
    </row>
    <row r="170" spans="1:1" x14ac:dyDescent="0.2">
      <c r="A170" s="52"/>
    </row>
    <row r="171" spans="1:1" x14ac:dyDescent="0.2">
      <c r="A171" s="52"/>
    </row>
    <row r="172" spans="1:1" x14ac:dyDescent="0.2">
      <c r="A172" s="52"/>
    </row>
    <row r="174" spans="1:1" x14ac:dyDescent="0.2">
      <c r="A174" s="52"/>
    </row>
    <row r="175" spans="1:1" x14ac:dyDescent="0.2">
      <c r="A175" s="52"/>
    </row>
    <row r="176" spans="1:1" x14ac:dyDescent="0.2">
      <c r="A176" s="52"/>
    </row>
    <row r="177" spans="1:1" x14ac:dyDescent="0.2">
      <c r="A177" s="52"/>
    </row>
    <row r="195" spans="1:1" x14ac:dyDescent="0.2">
      <c r="A195" s="52"/>
    </row>
    <row r="196" spans="1:1" x14ac:dyDescent="0.2">
      <c r="A196" s="52"/>
    </row>
    <row r="197" spans="1:1" x14ac:dyDescent="0.2">
      <c r="A197" s="5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68C22-C211-4E41-90DB-F65C51751BE8}">
  <dimension ref="A1:E39"/>
  <sheetViews>
    <sheetView topLeftCell="A25" workbookViewId="0">
      <selection activeCell="D13" sqref="D13"/>
    </sheetView>
  </sheetViews>
  <sheetFormatPr defaultRowHeight="15" x14ac:dyDescent="0.25"/>
  <cols>
    <col min="1" max="1" width="34.140625" bestFit="1" customWidth="1"/>
    <col min="2" max="2" width="26.28515625" bestFit="1" customWidth="1"/>
    <col min="3" max="3" width="21" bestFit="1" customWidth="1"/>
    <col min="4" max="4" width="16.85546875" bestFit="1" customWidth="1"/>
    <col min="5" max="5" width="14.28515625" bestFit="1" customWidth="1"/>
  </cols>
  <sheetData>
    <row r="1" spans="1:5" x14ac:dyDescent="0.25">
      <c r="A1" s="229" t="s">
        <v>138</v>
      </c>
      <c r="B1" s="229"/>
      <c r="C1" s="229"/>
      <c r="D1" s="229"/>
    </row>
    <row r="2" spans="1:5" x14ac:dyDescent="0.25">
      <c r="A2" t="s">
        <v>128</v>
      </c>
      <c r="B2" t="s">
        <v>125</v>
      </c>
      <c r="C2" t="s">
        <v>126</v>
      </c>
      <c r="D2" t="s">
        <v>127</v>
      </c>
    </row>
    <row r="3" spans="1:5" x14ac:dyDescent="0.25">
      <c r="A3" s="125" t="s">
        <v>129</v>
      </c>
      <c r="B3" s="126">
        <v>45876</v>
      </c>
      <c r="C3" s="127">
        <v>45881</v>
      </c>
      <c r="D3" s="118">
        <f>(C3-B3)-1</f>
        <v>4</v>
      </c>
      <c r="E3" s="119">
        <f>C30*D3</f>
        <v>91772.800000000003</v>
      </c>
    </row>
    <row r="4" spans="1:5" x14ac:dyDescent="0.25">
      <c r="A4" s="125" t="s">
        <v>130</v>
      </c>
      <c r="B4" s="126">
        <v>45895</v>
      </c>
      <c r="C4" s="127">
        <v>45908</v>
      </c>
      <c r="D4" s="118">
        <f>(C4-B4)-1</f>
        <v>12</v>
      </c>
      <c r="E4" s="119">
        <f>C30*D4</f>
        <v>275318.40000000002</v>
      </c>
    </row>
    <row r="5" spans="1:5" x14ac:dyDescent="0.25">
      <c r="A5" s="125" t="s">
        <v>131</v>
      </c>
      <c r="B5" s="126">
        <v>45902</v>
      </c>
      <c r="C5" s="127">
        <v>45908</v>
      </c>
      <c r="D5" s="118">
        <f>(C5-B5)-1</f>
        <v>5</v>
      </c>
      <c r="E5" s="119">
        <f>C30*D5</f>
        <v>114716</v>
      </c>
    </row>
    <row r="6" spans="1:5" x14ac:dyDescent="0.25">
      <c r="A6" s="125" t="s">
        <v>132</v>
      </c>
      <c r="B6" s="126">
        <v>45910</v>
      </c>
      <c r="C6" s="127">
        <v>45918</v>
      </c>
      <c r="D6" s="118">
        <f>(C6-B6)-1</f>
        <v>7</v>
      </c>
      <c r="E6" s="119">
        <f>C30*D6</f>
        <v>160602.4</v>
      </c>
    </row>
    <row r="7" spans="1:5" x14ac:dyDescent="0.25">
      <c r="A7" s="125" t="s">
        <v>133</v>
      </c>
      <c r="B7" s="126">
        <v>45916</v>
      </c>
      <c r="C7" s="127">
        <v>45924</v>
      </c>
      <c r="D7" s="118">
        <f>(C7-B7)-1</f>
        <v>7</v>
      </c>
      <c r="E7" s="119">
        <f>C30*D7</f>
        <v>160602.4</v>
      </c>
    </row>
    <row r="10" spans="1:5" x14ac:dyDescent="0.25">
      <c r="A10" s="230" t="s">
        <v>117</v>
      </c>
      <c r="B10" s="230"/>
    </row>
    <row r="11" spans="1:5" x14ac:dyDescent="0.25">
      <c r="A11" s="121" t="s">
        <v>118</v>
      </c>
      <c r="B11" s="121" t="s">
        <v>119</v>
      </c>
    </row>
    <row r="12" spans="1:5" x14ac:dyDescent="0.25">
      <c r="A12" s="120">
        <v>1</v>
      </c>
      <c r="B12" s="122">
        <f>(9*400)+(6*200)+(1*500)</f>
        <v>5300</v>
      </c>
    </row>
    <row r="15" spans="1:5" x14ac:dyDescent="0.25">
      <c r="A15" s="230" t="s">
        <v>120</v>
      </c>
      <c r="B15" s="230"/>
    </row>
    <row r="16" spans="1:5" x14ac:dyDescent="0.25">
      <c r="A16" s="121" t="s">
        <v>118</v>
      </c>
      <c r="B16" s="121" t="s">
        <v>119</v>
      </c>
    </row>
    <row r="17" spans="1:3" x14ac:dyDescent="0.25">
      <c r="A17" s="120">
        <v>1</v>
      </c>
      <c r="B17" s="123">
        <f>270000/30</f>
        <v>9000</v>
      </c>
    </row>
    <row r="20" spans="1:3" x14ac:dyDescent="0.25">
      <c r="A20" s="230" t="s">
        <v>121</v>
      </c>
      <c r="B20" s="230"/>
    </row>
    <row r="21" spans="1:3" x14ac:dyDescent="0.25">
      <c r="A21" s="120">
        <v>1</v>
      </c>
      <c r="B21" s="123">
        <f>800+1343.2</f>
        <v>2143.1999999999998</v>
      </c>
    </row>
    <row r="24" spans="1:3" x14ac:dyDescent="0.25">
      <c r="A24" s="230" t="s">
        <v>122</v>
      </c>
      <c r="B24" s="230"/>
    </row>
    <row r="25" spans="1:3" x14ac:dyDescent="0.25">
      <c r="A25" s="120">
        <v>1</v>
      </c>
      <c r="B25" s="123">
        <f>300+1200</f>
        <v>1500</v>
      </c>
    </row>
    <row r="26" spans="1:3" x14ac:dyDescent="0.25">
      <c r="A26" s="118"/>
      <c r="B26" s="124"/>
    </row>
    <row r="28" spans="1:3" x14ac:dyDescent="0.25">
      <c r="A28" s="230" t="s">
        <v>123</v>
      </c>
      <c r="B28" s="230"/>
    </row>
    <row r="29" spans="1:3" x14ac:dyDescent="0.25">
      <c r="A29" s="120">
        <v>1</v>
      </c>
      <c r="B29" s="123">
        <f>150000/30</f>
        <v>5000</v>
      </c>
    </row>
    <row r="30" spans="1:3" x14ac:dyDescent="0.25">
      <c r="C30" s="128">
        <f>SUM(B29,B25,B21,B17,B12)</f>
        <v>22943.200000000001</v>
      </c>
    </row>
    <row r="33" spans="1:2" x14ac:dyDescent="0.25">
      <c r="A33" t="s">
        <v>124</v>
      </c>
    </row>
    <row r="37" spans="1:2" x14ac:dyDescent="0.25">
      <c r="A37" s="229" t="s">
        <v>135</v>
      </c>
      <c r="B37" s="229"/>
    </row>
    <row r="38" spans="1:2" x14ac:dyDescent="0.25">
      <c r="A38" t="s">
        <v>136</v>
      </c>
    </row>
    <row r="39" spans="1:2" x14ac:dyDescent="0.25">
      <c r="A39" t="s">
        <v>137</v>
      </c>
      <c r="B39" s="119">
        <f>3500+350</f>
        <v>3850</v>
      </c>
    </row>
  </sheetData>
  <mergeCells count="7">
    <mergeCell ref="A37:B37"/>
    <mergeCell ref="A28:B28"/>
    <mergeCell ref="A1:D1"/>
    <mergeCell ref="A10:B10"/>
    <mergeCell ref="A20:B20"/>
    <mergeCell ref="A15:B15"/>
    <mergeCell ref="A24:B24"/>
  </mergeCells>
  <phoneticPr fontId="8" type="noConversion"/>
  <pageMargins left="0.511811024" right="0.511811024" top="0.78740157499999996" bottom="0.78740157499999996" header="0.31496062000000002" footer="0.31496062000000002"/>
  <ignoredErrors>
    <ignoredError sqref="E4" formula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fec8e6-77a6-4622-b072-b4a3a229a87e">
      <Terms xmlns="http://schemas.microsoft.com/office/infopath/2007/PartnerControls"/>
    </lcf76f155ced4ddcb4097134ff3c332f>
    <TaxCatchAll xmlns="339b1e84-c7aa-4be9-8cf7-48a5301734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90AB2687CF05A4B9BFC902596DB5E92" ma:contentTypeVersion="18" ma:contentTypeDescription="Crie um novo documento." ma:contentTypeScope="" ma:versionID="46e9c33547491f1fba10f38e766e0dda">
  <xsd:schema xmlns:xsd="http://www.w3.org/2001/XMLSchema" xmlns:xs="http://www.w3.org/2001/XMLSchema" xmlns:p="http://schemas.microsoft.com/office/2006/metadata/properties" xmlns:ns2="339b1e84-c7aa-4be9-8cf7-48a530173486" xmlns:ns3="cdfec8e6-77a6-4622-b072-b4a3a229a87e" targetNamespace="http://schemas.microsoft.com/office/2006/metadata/properties" ma:root="true" ma:fieldsID="28597b394358e0c445fa1202721f3049" ns2:_="" ns3:_="">
    <xsd:import namespace="339b1e84-c7aa-4be9-8cf7-48a530173486"/>
    <xsd:import namespace="cdfec8e6-77a6-4622-b072-b4a3a229a87e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DateTaken" minOccurs="0"/>
                <xsd:element ref="ns3:MediaLengthInSeconds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b1e84-c7aa-4be9-8cf7-48a53017348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c19a9a5-e8a2-4600-88ad-ef27104ec649}" ma:internalName="TaxCatchAll" ma:showField="CatchAllData" ma:web="339b1e84-c7aa-4be9-8cf7-48a5301734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fec8e6-77a6-4622-b072-b4a3a229a87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bc689c38-a1ec-4388-b51d-614ae8db362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B5D0AE2-3384-476D-A032-AFD8487D9274}">
  <ds:schemaRefs>
    <ds:schemaRef ds:uri="http://purl.org/dc/terms/"/>
    <ds:schemaRef ds:uri="cdfec8e6-77a6-4622-b072-b4a3a229a87e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metadata/properties"/>
    <ds:schemaRef ds:uri="339b1e84-c7aa-4be9-8cf7-48a530173486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3E4E1EBE-1CF9-40BC-B8E0-FB1FBD37C9B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B72E2B3-22A2-4F96-8F0C-3F664BD8C1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9b1e84-c7aa-4be9-8cf7-48a530173486"/>
    <ds:schemaRef ds:uri="cdfec8e6-77a6-4622-b072-b4a3a229a8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MEDIÇÃO</vt:lpstr>
      <vt:lpstr>critérios </vt:lpstr>
      <vt:lpstr>Levantamento descontos </vt:lpstr>
      <vt:lpstr>MEDIÇÃO!Area_de_impressao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Victor Azevedo Merlo</dc:creator>
  <cp:lastModifiedBy>Matheus Castro Guimaraes</cp:lastModifiedBy>
  <cp:lastPrinted>2026-01-15T12:38:30Z</cp:lastPrinted>
  <dcterms:created xsi:type="dcterms:W3CDTF">2022-02-26T21:58:18Z</dcterms:created>
  <dcterms:modified xsi:type="dcterms:W3CDTF">2026-04-16T11:06:06Z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0x010100290AB2687CF05A4B9BFC902596DB5E92</vt:lpwstr>
  </property>
  <property fmtid="{D5CDD505-2E9C-101B-9397-08002B2CF9AE}" pid="3" name="MediaServiceImageTags">
    <vt:lpwstr/>
  </property>
</Properties>
</file>