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 - SUPRIMENTOS\0 - SUPRIMENTOS NOVO\1 - COTAÇÕES\2 - Serviços\Estrutura\Mapa de cotação\"/>
    </mc:Choice>
  </mc:AlternateContent>
  <xr:revisionPtr revIDLastSave="0" documentId="13_ncr:1_{F7E9D9E0-4F71-4265-8930-9173727C6E3E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RESUMO" sheetId="12" r:id="rId1"/>
    <sheet name="QC-R0-" sheetId="8" state="hidden" r:id="rId2"/>
    <sheet name="QC-R1-" sheetId="11" state="hidden" r:id="rId3"/>
    <sheet name="RESUMO FINAL" sheetId="15" r:id="rId4"/>
    <sheet name="QC-R2 PÓS REUNIÃO" sheetId="14" state="hidden" r:id="rId5"/>
    <sheet name="QC- REV 02  PÓS REUNIÃO (2)" sheetId="16" state="hidden" r:id="rId6"/>
    <sheet name="QC- REV 03 FINAL" sheetId="17" r:id="rId7"/>
    <sheet name="CKECK-LIST DO FORNECEDOR (2)" sheetId="18" r:id="rId8"/>
    <sheet name="CKECK-LIST DO FORNECEDOR" sheetId="9" r:id="rId9"/>
    <sheet name="VENDOR LIST" sheetId="10" r:id="rId10"/>
  </sheets>
  <definedNames>
    <definedName name="_xlnm._FilterDatabase" localSheetId="9" hidden="1">'VENDOR LIST'!$B$3:$G$3</definedName>
    <definedName name="_xlnm.Print_Area" localSheetId="5">'QC- REV 02  PÓS REUNIÃO (2)'!$A$1:$Y$67</definedName>
    <definedName name="_xlnm.Print_Area" localSheetId="6">'QC- REV 03 FINAL'!$A$1:$Y$67</definedName>
    <definedName name="_xlnm.Print_Area" localSheetId="1">'QC-R0-'!$A$1:$AI$67</definedName>
    <definedName name="_xlnm.Print_Area" localSheetId="2">'QC-R1-'!$A$1:$AI$67</definedName>
    <definedName name="_xlnm.Print_Area" localSheetId="4">'QC-R2 PÓS REUNIÃO'!$A$1:$Y$67</definedName>
    <definedName name="_xlnm.Print_Titles" localSheetId="5">'QC- REV 02  PÓS REUNIÃO (2)'!$1:$5</definedName>
    <definedName name="_xlnm.Print_Titles" localSheetId="6">'QC- REV 03 FINAL'!$1:$5</definedName>
    <definedName name="_xlnm.Print_Titles" localSheetId="1">'QC-R0-'!$1:$5</definedName>
    <definedName name="_xlnm.Print_Titles" localSheetId="2">'QC-R1-'!$1:$5</definedName>
    <definedName name="_xlnm.Print_Titles" localSheetId="4">'QC-R2 PÓS REUNIÃO'!$1:$5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7" l="1"/>
  <c r="N22" i="17" l="1"/>
  <c r="Y34" i="17"/>
  <c r="U34" i="17"/>
  <c r="S34" i="17"/>
  <c r="Q34" i="17"/>
  <c r="N34" i="17"/>
  <c r="L34" i="17"/>
  <c r="J34" i="17"/>
  <c r="H34" i="17"/>
  <c r="F34" i="17"/>
  <c r="Y33" i="17"/>
  <c r="U33" i="17"/>
  <c r="S33" i="17"/>
  <c r="Q33" i="17"/>
  <c r="N33" i="17"/>
  <c r="L33" i="17"/>
  <c r="L30" i="17" s="1"/>
  <c r="J33" i="17"/>
  <c r="J30" i="17" s="1"/>
  <c r="H33" i="17"/>
  <c r="H30" i="17" s="1"/>
  <c r="F33" i="17"/>
  <c r="F30" i="17" s="1"/>
  <c r="Y32" i="17"/>
  <c r="U32" i="17"/>
  <c r="S32" i="17"/>
  <c r="Q32" i="17"/>
  <c r="N32" i="17"/>
  <c r="L32" i="17"/>
  <c r="J32" i="17"/>
  <c r="H32" i="17"/>
  <c r="F32" i="17"/>
  <c r="Y31" i="17"/>
  <c r="U31" i="17"/>
  <c r="S31" i="17"/>
  <c r="Q31" i="17"/>
  <c r="N31" i="17"/>
  <c r="N30" i="17" s="1"/>
  <c r="L31" i="17"/>
  <c r="J31" i="17"/>
  <c r="H31" i="17"/>
  <c r="F31" i="17"/>
  <c r="Y29" i="17"/>
  <c r="U29" i="17"/>
  <c r="S29" i="17"/>
  <c r="Q29" i="17"/>
  <c r="N29" i="17"/>
  <c r="L29" i="17"/>
  <c r="J29" i="17"/>
  <c r="H29" i="17"/>
  <c r="F29" i="17"/>
  <c r="X28" i="17"/>
  <c r="Y28" i="17" s="1"/>
  <c r="U28" i="17"/>
  <c r="S28" i="17"/>
  <c r="Q28" i="17"/>
  <c r="N28" i="17"/>
  <c r="L28" i="17"/>
  <c r="J28" i="17"/>
  <c r="H28" i="17"/>
  <c r="F28" i="17"/>
  <c r="Y27" i="17"/>
  <c r="U27" i="17"/>
  <c r="S27" i="17"/>
  <c r="Q27" i="17"/>
  <c r="N27" i="17"/>
  <c r="L27" i="17"/>
  <c r="J27" i="17"/>
  <c r="J23" i="17" s="1"/>
  <c r="H27" i="17"/>
  <c r="H23" i="17" s="1"/>
  <c r="F27" i="17"/>
  <c r="Y26" i="17"/>
  <c r="U26" i="17"/>
  <c r="S26" i="17"/>
  <c r="Q26" i="17"/>
  <c r="H26" i="17"/>
  <c r="Y25" i="17"/>
  <c r="U25" i="17"/>
  <c r="S25" i="17"/>
  <c r="Q25" i="17"/>
  <c r="N25" i="17"/>
  <c r="L25" i="17"/>
  <c r="L23" i="17" s="1"/>
  <c r="H25" i="17"/>
  <c r="F25" i="17"/>
  <c r="Y24" i="17"/>
  <c r="U24" i="17"/>
  <c r="S24" i="17"/>
  <c r="H24" i="17"/>
  <c r="F23" i="17"/>
  <c r="Y22" i="17"/>
  <c r="U22" i="17"/>
  <c r="S22" i="17"/>
  <c r="Q22" i="17"/>
  <c r="H22" i="17"/>
  <c r="Y21" i="17"/>
  <c r="U21" i="17"/>
  <c r="S21" i="17"/>
  <c r="R39" i="17" s="1"/>
  <c r="Q21" i="17"/>
  <c r="N21" i="17"/>
  <c r="F21" i="17"/>
  <c r="Y20" i="17"/>
  <c r="U20" i="17"/>
  <c r="S20" i="17"/>
  <c r="Q20" i="17"/>
  <c r="Y19" i="17"/>
  <c r="U19" i="17"/>
  <c r="S19" i="17"/>
  <c r="Q19" i="17"/>
  <c r="N19" i="17"/>
  <c r="L19" i="17"/>
  <c r="H19" i="17"/>
  <c r="F19" i="17"/>
  <c r="Y18" i="17"/>
  <c r="U18" i="17"/>
  <c r="S18" i="17"/>
  <c r="Q18" i="17"/>
  <c r="Y17" i="17"/>
  <c r="U17" i="17"/>
  <c r="S17" i="17"/>
  <c r="Q17" i="17"/>
  <c r="N17" i="17"/>
  <c r="L17" i="17"/>
  <c r="J17" i="17"/>
  <c r="H17" i="17"/>
  <c r="F17" i="17"/>
  <c r="AI16" i="17"/>
  <c r="Y16" i="17"/>
  <c r="U16" i="17"/>
  <c r="S16" i="17"/>
  <c r="Q16" i="17"/>
  <c r="N16" i="17"/>
  <c r="L16" i="17"/>
  <c r="J16" i="17"/>
  <c r="H16" i="17"/>
  <c r="F16" i="17"/>
  <c r="AI15" i="17"/>
  <c r="Y15" i="17"/>
  <c r="U15" i="17"/>
  <c r="S15" i="17"/>
  <c r="Q15" i="17"/>
  <c r="N15" i="17"/>
  <c r="L15" i="17"/>
  <c r="J15" i="17"/>
  <c r="H15" i="17"/>
  <c r="F15" i="17"/>
  <c r="L14" i="17"/>
  <c r="H14" i="17"/>
  <c r="Y34" i="16"/>
  <c r="U34" i="16"/>
  <c r="S34" i="16"/>
  <c r="Q34" i="16"/>
  <c r="N34" i="16"/>
  <c r="L34" i="16"/>
  <c r="L30" i="16" s="1"/>
  <c r="K39" i="16" s="1"/>
  <c r="J34" i="16"/>
  <c r="H34" i="16"/>
  <c r="F34" i="16"/>
  <c r="Y33" i="16"/>
  <c r="U33" i="16"/>
  <c r="S33" i="16"/>
  <c r="Q33" i="16"/>
  <c r="N33" i="16"/>
  <c r="L33" i="16"/>
  <c r="J33" i="16"/>
  <c r="H33" i="16"/>
  <c r="F33" i="16"/>
  <c r="F30" i="16" s="1"/>
  <c r="E39" i="16" s="1"/>
  <c r="Y32" i="16"/>
  <c r="U32" i="16"/>
  <c r="S32" i="16"/>
  <c r="Q32" i="16"/>
  <c r="N32" i="16"/>
  <c r="L32" i="16"/>
  <c r="J32" i="16"/>
  <c r="H32" i="16"/>
  <c r="F32" i="16"/>
  <c r="Y31" i="16"/>
  <c r="U31" i="16"/>
  <c r="S31" i="16"/>
  <c r="Q31" i="16"/>
  <c r="N31" i="16"/>
  <c r="N30" i="16" s="1"/>
  <c r="L31" i="16"/>
  <c r="J31" i="16"/>
  <c r="J30" i="16" s="1"/>
  <c r="H31" i="16"/>
  <c r="H30" i="16" s="1"/>
  <c r="G39" i="16" s="1"/>
  <c r="F31" i="16"/>
  <c r="Y29" i="16"/>
  <c r="U29" i="16"/>
  <c r="S29" i="16"/>
  <c r="Q29" i="16"/>
  <c r="N29" i="16"/>
  <c r="L29" i="16"/>
  <c r="J29" i="16"/>
  <c r="H29" i="16"/>
  <c r="F29" i="16"/>
  <c r="X28" i="16"/>
  <c r="Y28" i="16" s="1"/>
  <c r="U28" i="16"/>
  <c r="S28" i="16"/>
  <c r="Q28" i="16"/>
  <c r="P37" i="16" s="1"/>
  <c r="N28" i="16"/>
  <c r="L28" i="16"/>
  <c r="J28" i="16"/>
  <c r="H28" i="16"/>
  <c r="F28" i="16"/>
  <c r="Y27" i="16"/>
  <c r="U27" i="16"/>
  <c r="S27" i="16"/>
  <c r="Q27" i="16"/>
  <c r="N27" i="16"/>
  <c r="L27" i="16"/>
  <c r="J27" i="16"/>
  <c r="J23" i="16" s="1"/>
  <c r="H27" i="16"/>
  <c r="H23" i="16" s="1"/>
  <c r="F27" i="16"/>
  <c r="Y26" i="16"/>
  <c r="U26" i="16"/>
  <c r="S26" i="16"/>
  <c r="R37" i="16" s="1"/>
  <c r="Q26" i="16"/>
  <c r="H26" i="16"/>
  <c r="Y25" i="16"/>
  <c r="U25" i="16"/>
  <c r="S25" i="16"/>
  <c r="Q25" i="16"/>
  <c r="N25" i="16"/>
  <c r="N23" i="16" s="1"/>
  <c r="L25" i="16"/>
  <c r="L23" i="16" s="1"/>
  <c r="H25" i="16"/>
  <c r="F25" i="16"/>
  <c r="Y24" i="16"/>
  <c r="U24" i="16"/>
  <c r="S24" i="16"/>
  <c r="H24" i="16"/>
  <c r="F23" i="16"/>
  <c r="Y22" i="16"/>
  <c r="U22" i="16"/>
  <c r="S22" i="16"/>
  <c r="Q22" i="16"/>
  <c r="H22" i="16"/>
  <c r="Y21" i="16"/>
  <c r="U21" i="16"/>
  <c r="S21" i="16"/>
  <c r="Q21" i="16"/>
  <c r="N21" i="16"/>
  <c r="N14" i="16" s="1"/>
  <c r="F21" i="16"/>
  <c r="Y20" i="16"/>
  <c r="U20" i="16"/>
  <c r="S20" i="16"/>
  <c r="Q20" i="16"/>
  <c r="Y19" i="16"/>
  <c r="U19" i="16"/>
  <c r="S19" i="16"/>
  <c r="Q19" i="16"/>
  <c r="N19" i="16"/>
  <c r="L19" i="16"/>
  <c r="H19" i="16"/>
  <c r="F19" i="16"/>
  <c r="Y18" i="16"/>
  <c r="U18" i="16"/>
  <c r="S18" i="16"/>
  <c r="Q18" i="16"/>
  <c r="Y17" i="16"/>
  <c r="U17" i="16"/>
  <c r="S17" i="16"/>
  <c r="Q17" i="16"/>
  <c r="N17" i="16"/>
  <c r="L17" i="16"/>
  <c r="J17" i="16"/>
  <c r="H17" i="16"/>
  <c r="F17" i="16"/>
  <c r="AI16" i="16"/>
  <c r="Y16" i="16"/>
  <c r="U16" i="16"/>
  <c r="S16" i="16"/>
  <c r="Q16" i="16"/>
  <c r="N16" i="16"/>
  <c r="L16" i="16"/>
  <c r="J16" i="16"/>
  <c r="H16" i="16"/>
  <c r="H14" i="16" s="1"/>
  <c r="F16" i="16"/>
  <c r="E37" i="16" s="1"/>
  <c r="AI15" i="16"/>
  <c r="Y15" i="16"/>
  <c r="U15" i="16"/>
  <c r="T37" i="16" s="1"/>
  <c r="S15" i="16"/>
  <c r="R39" i="16" s="1"/>
  <c r="Q15" i="16"/>
  <c r="P39" i="16" s="1"/>
  <c r="N15" i="16"/>
  <c r="L15" i="16"/>
  <c r="J15" i="16"/>
  <c r="H15" i="16"/>
  <c r="F15" i="16"/>
  <c r="L14" i="16"/>
  <c r="J14" i="16"/>
  <c r="F14" i="16"/>
  <c r="N23" i="17" l="1"/>
  <c r="N14" i="17"/>
  <c r="M39" i="17" s="1"/>
  <c r="F14" i="17"/>
  <c r="T39" i="17"/>
  <c r="P39" i="17"/>
  <c r="E39" i="17"/>
  <c r="F36" i="17" s="1"/>
  <c r="G39" i="17"/>
  <c r="G37" i="17" s="1"/>
  <c r="G38" i="17" s="1"/>
  <c r="G40" i="17" s="1"/>
  <c r="I39" i="17"/>
  <c r="J51" i="17" s="1"/>
  <c r="K39" i="17"/>
  <c r="L53" i="17" s="1"/>
  <c r="P37" i="17"/>
  <c r="R37" i="17"/>
  <c r="R38" i="17" s="1"/>
  <c r="P38" i="17"/>
  <c r="P41" i="17"/>
  <c r="E37" i="17"/>
  <c r="T38" i="17"/>
  <c r="Y37" i="17"/>
  <c r="Y38" i="17" s="1"/>
  <c r="R41" i="17" s="1"/>
  <c r="T37" i="17"/>
  <c r="P38" i="16"/>
  <c r="R38" i="16"/>
  <c r="H51" i="16"/>
  <c r="G37" i="16"/>
  <c r="G38" i="16" s="1"/>
  <c r="G40" i="16" s="1"/>
  <c r="H53" i="16"/>
  <c r="H52" i="16"/>
  <c r="I39" i="16"/>
  <c r="Y37" i="16"/>
  <c r="Y38" i="16" s="1"/>
  <c r="P41" i="16" s="1"/>
  <c r="M39" i="16"/>
  <c r="F36" i="16"/>
  <c r="F51" i="16"/>
  <c r="F53" i="16"/>
  <c r="E40" i="16"/>
  <c r="F52" i="16"/>
  <c r="K37" i="16"/>
  <c r="L53" i="16"/>
  <c r="K40" i="16"/>
  <c r="K41" i="16"/>
  <c r="L51" i="16"/>
  <c r="L52" i="16"/>
  <c r="T39" i="16"/>
  <c r="J28" i="14"/>
  <c r="J27" i="14"/>
  <c r="J15" i="14"/>
  <c r="J16" i="14"/>
  <c r="J17" i="14"/>
  <c r="I7" i="15"/>
  <c r="H7" i="15"/>
  <c r="H6" i="15"/>
  <c r="F7" i="15"/>
  <c r="I6" i="15" s="1"/>
  <c r="F6" i="15"/>
  <c r="F9" i="15" s="1"/>
  <c r="I8" i="15" s="1"/>
  <c r="Y28" i="14"/>
  <c r="X28" i="14"/>
  <c r="I41" i="17" l="1"/>
  <c r="J52" i="17"/>
  <c r="H52" i="17"/>
  <c r="T41" i="17"/>
  <c r="L51" i="17"/>
  <c r="K37" i="17"/>
  <c r="H53" i="17"/>
  <c r="G41" i="17"/>
  <c r="I38" i="17"/>
  <c r="I40" i="17" s="1"/>
  <c r="H51" i="17"/>
  <c r="W41" i="17"/>
  <c r="J53" i="17"/>
  <c r="K41" i="17"/>
  <c r="F52" i="17"/>
  <c r="F51" i="17"/>
  <c r="L52" i="17"/>
  <c r="E40" i="17"/>
  <c r="E41" i="17"/>
  <c r="K40" i="17"/>
  <c r="F53" i="17"/>
  <c r="N53" i="17"/>
  <c r="M40" i="17"/>
  <c r="M41" i="17"/>
  <c r="N52" i="17"/>
  <c r="N51" i="17"/>
  <c r="M37" i="17"/>
  <c r="T38" i="16"/>
  <c r="T41" i="16"/>
  <c r="N53" i="16"/>
  <c r="M40" i="16"/>
  <c r="N51" i="16"/>
  <c r="M37" i="16"/>
  <c r="N52" i="16"/>
  <c r="M41" i="16"/>
  <c r="J51" i="16"/>
  <c r="J53" i="16"/>
  <c r="W41" i="16"/>
  <c r="I41" i="16"/>
  <c r="I38" i="16"/>
  <c r="I40" i="16" s="1"/>
  <c r="J52" i="16"/>
  <c r="G41" i="16"/>
  <c r="E41" i="16"/>
  <c r="R41" i="16"/>
  <c r="N21" i="14"/>
  <c r="F21" i="14"/>
  <c r="H22" i="14"/>
  <c r="L17" i="14"/>
  <c r="Y34" i="14"/>
  <c r="U34" i="14"/>
  <c r="S34" i="14"/>
  <c r="Q34" i="14"/>
  <c r="N34" i="14"/>
  <c r="L34" i="14"/>
  <c r="J34" i="14"/>
  <c r="H34" i="14"/>
  <c r="F34" i="14"/>
  <c r="Y33" i="14"/>
  <c r="U33" i="14"/>
  <c r="S33" i="14"/>
  <c r="Q33" i="14"/>
  <c r="N33" i="14"/>
  <c r="L33" i="14"/>
  <c r="J33" i="14"/>
  <c r="H33" i="14"/>
  <c r="F33" i="14"/>
  <c r="Y32" i="14"/>
  <c r="U32" i="14"/>
  <c r="S32" i="14"/>
  <c r="Q32" i="14"/>
  <c r="N32" i="14"/>
  <c r="L32" i="14"/>
  <c r="J32" i="14"/>
  <c r="H32" i="14"/>
  <c r="F32" i="14"/>
  <c r="Y31" i="14"/>
  <c r="U31" i="14"/>
  <c r="S31" i="14"/>
  <c r="Q31" i="14"/>
  <c r="N31" i="14"/>
  <c r="L31" i="14"/>
  <c r="J31" i="14"/>
  <c r="H31" i="14"/>
  <c r="F31" i="14"/>
  <c r="Y29" i="14"/>
  <c r="U29" i="14"/>
  <c r="S29" i="14"/>
  <c r="Q29" i="14"/>
  <c r="N29" i="14"/>
  <c r="L29" i="14"/>
  <c r="J29" i="14"/>
  <c r="H29" i="14"/>
  <c r="F29" i="14"/>
  <c r="U28" i="14"/>
  <c r="S28" i="14"/>
  <c r="Q28" i="14"/>
  <c r="N28" i="14"/>
  <c r="L28" i="14"/>
  <c r="H28" i="14"/>
  <c r="F28" i="14"/>
  <c r="Y27" i="14"/>
  <c r="U27" i="14"/>
  <c r="S27" i="14"/>
  <c r="Q27" i="14"/>
  <c r="N27" i="14"/>
  <c r="L27" i="14"/>
  <c r="H27" i="14"/>
  <c r="F27" i="14"/>
  <c r="Y26" i="14"/>
  <c r="U26" i="14"/>
  <c r="S26" i="14"/>
  <c r="Q26" i="14"/>
  <c r="H26" i="14"/>
  <c r="Y25" i="14"/>
  <c r="U25" i="14"/>
  <c r="S25" i="14"/>
  <c r="Q25" i="14"/>
  <c r="N25" i="14"/>
  <c r="L25" i="14"/>
  <c r="H25" i="14"/>
  <c r="F25" i="14"/>
  <c r="Y24" i="14"/>
  <c r="U24" i="14"/>
  <c r="S24" i="14"/>
  <c r="H24" i="14"/>
  <c r="Y22" i="14"/>
  <c r="U22" i="14"/>
  <c r="S22" i="14"/>
  <c r="Q22" i="14"/>
  <c r="Y21" i="14"/>
  <c r="U21" i="14"/>
  <c r="S21" i="14"/>
  <c r="Q21" i="14"/>
  <c r="Y20" i="14"/>
  <c r="U20" i="14"/>
  <c r="S20" i="14"/>
  <c r="Q20" i="14"/>
  <c r="Y19" i="14"/>
  <c r="U19" i="14"/>
  <c r="S19" i="14"/>
  <c r="Q19" i="14"/>
  <c r="N19" i="14"/>
  <c r="L19" i="14"/>
  <c r="H19" i="14"/>
  <c r="F19" i="14"/>
  <c r="Y18" i="14"/>
  <c r="U18" i="14"/>
  <c r="S18" i="14"/>
  <c r="Q18" i="14"/>
  <c r="Y17" i="14"/>
  <c r="Y16" i="14"/>
  <c r="U16" i="14"/>
  <c r="S16" i="14"/>
  <c r="Q16" i="14"/>
  <c r="N16" i="14"/>
  <c r="L16" i="14"/>
  <c r="H16" i="14"/>
  <c r="F16" i="14"/>
  <c r="AI15" i="14"/>
  <c r="AI16" i="14" s="1"/>
  <c r="Y15" i="14"/>
  <c r="U15" i="14"/>
  <c r="S15" i="14"/>
  <c r="Q15" i="14"/>
  <c r="N15" i="14"/>
  <c r="L15" i="14"/>
  <c r="H15" i="14"/>
  <c r="F15" i="14"/>
  <c r="Y37" i="14" l="1"/>
  <c r="Y38" i="14" s="1"/>
  <c r="N17" i="14"/>
  <c r="N14" i="14" s="1"/>
  <c r="Q17" i="14"/>
  <c r="P37" i="14" s="1"/>
  <c r="S17" i="14"/>
  <c r="R39" i="14" s="1"/>
  <c r="U17" i="14"/>
  <c r="T37" i="14" s="1"/>
  <c r="F17" i="14"/>
  <c r="F14" i="14" s="1"/>
  <c r="H17" i="14"/>
  <c r="H14" i="14" s="1"/>
  <c r="J14" i="14"/>
  <c r="N23" i="14"/>
  <c r="F30" i="14"/>
  <c r="L23" i="14"/>
  <c r="N30" i="14"/>
  <c r="J23" i="14"/>
  <c r="F23" i="14"/>
  <c r="H23" i="14"/>
  <c r="H30" i="14"/>
  <c r="J30" i="14"/>
  <c r="L30" i="14"/>
  <c r="L14" i="14"/>
  <c r="F28" i="11"/>
  <c r="AN48" i="11"/>
  <c r="T39" i="14" l="1"/>
  <c r="T41" i="14" s="1"/>
  <c r="R37" i="14"/>
  <c r="R38" i="14" s="1"/>
  <c r="P39" i="14"/>
  <c r="P41" i="14" s="1"/>
  <c r="R41" i="14"/>
  <c r="M39" i="14"/>
  <c r="M41" i="14" s="1"/>
  <c r="G39" i="14"/>
  <c r="G41" i="14" s="1"/>
  <c r="E37" i="14"/>
  <c r="K39" i="14"/>
  <c r="L51" i="14" s="1"/>
  <c r="E39" i="14"/>
  <c r="F36" i="14" s="1"/>
  <c r="I39" i="14"/>
  <c r="I38" i="14" l="1"/>
  <c r="I40" i="14" s="1"/>
  <c r="I41" i="14"/>
  <c r="W41" i="14"/>
  <c r="P38" i="14"/>
  <c r="T38" i="14"/>
  <c r="J52" i="14"/>
  <c r="J51" i="14"/>
  <c r="J53" i="14"/>
  <c r="F53" i="14"/>
  <c r="E41" i="14"/>
  <c r="F52" i="14"/>
  <c r="E40" i="14"/>
  <c r="F51" i="14"/>
  <c r="H52" i="14"/>
  <c r="N52" i="14"/>
  <c r="N53" i="14"/>
  <c r="H53" i="14"/>
  <c r="M40" i="14"/>
  <c r="H51" i="14"/>
  <c r="N51" i="14"/>
  <c r="G37" i="14"/>
  <c r="G38" i="14" s="1"/>
  <c r="G40" i="14" s="1"/>
  <c r="M37" i="14"/>
  <c r="K41" i="14"/>
  <c r="L52" i="14"/>
  <c r="K37" i="14"/>
  <c r="L53" i="14"/>
  <c r="K40" i="14"/>
  <c r="AI19" i="11" l="1"/>
  <c r="AI18" i="11"/>
  <c r="AI16" i="11"/>
  <c r="AI17" i="11"/>
  <c r="AI15" i="11"/>
  <c r="H22" i="12"/>
  <c r="H23" i="12"/>
  <c r="H24" i="12"/>
  <c r="H25" i="12"/>
  <c r="H26" i="12"/>
  <c r="H21" i="12"/>
  <c r="J25" i="12" l="1"/>
  <c r="J26" i="12"/>
  <c r="J22" i="12"/>
  <c r="J23" i="12"/>
  <c r="J24" i="12"/>
  <c r="J21" i="12"/>
  <c r="F24" i="12" l="1"/>
  <c r="F21" i="12"/>
  <c r="F8" i="12"/>
  <c r="F5" i="12"/>
  <c r="T16" i="11"/>
  <c r="F11" i="12" l="1"/>
  <c r="F27" i="12"/>
  <c r="F20" i="11"/>
  <c r="J20" i="11"/>
  <c r="L20" i="11"/>
  <c r="M20" i="11"/>
  <c r="N20" i="11"/>
  <c r="R20" i="11"/>
  <c r="S20" i="11"/>
  <c r="T20" i="11"/>
  <c r="AA20" i="11"/>
  <c r="AC20" i="11"/>
  <c r="AE20" i="11"/>
  <c r="AI20" i="11"/>
  <c r="J21" i="11"/>
  <c r="L21" i="11"/>
  <c r="M21" i="11"/>
  <c r="N21" i="11"/>
  <c r="Q21" i="11"/>
  <c r="R21" i="11"/>
  <c r="S21" i="11"/>
  <c r="T21" i="11"/>
  <c r="AA21" i="11"/>
  <c r="AC21" i="11"/>
  <c r="AE21" i="11"/>
  <c r="AI21" i="11"/>
  <c r="G39" i="11"/>
  <c r="G38" i="11" s="1"/>
  <c r="G40" i="11" s="1"/>
  <c r="C36" i="11"/>
  <c r="AI34" i="11"/>
  <c r="AE34" i="11"/>
  <c r="AC34" i="11"/>
  <c r="AA34" i="11"/>
  <c r="T34" i="11"/>
  <c r="R34" i="11"/>
  <c r="P34" i="11"/>
  <c r="N34" i="11"/>
  <c r="L34" i="11"/>
  <c r="J34" i="11"/>
  <c r="F34" i="11"/>
  <c r="AI33" i="11"/>
  <c r="AE33" i="11"/>
  <c r="AC33" i="11"/>
  <c r="AA33" i="11"/>
  <c r="T33" i="11"/>
  <c r="R33" i="11"/>
  <c r="P33" i="11"/>
  <c r="N33" i="11"/>
  <c r="L33" i="11"/>
  <c r="J33" i="11"/>
  <c r="F33" i="11"/>
  <c r="AI32" i="11"/>
  <c r="AE32" i="11"/>
  <c r="AC32" i="11"/>
  <c r="AA32" i="11"/>
  <c r="T32" i="11"/>
  <c r="R32" i="11"/>
  <c r="P32" i="11"/>
  <c r="N32" i="11"/>
  <c r="L32" i="11"/>
  <c r="I32" i="11"/>
  <c r="J32" i="11" s="1"/>
  <c r="F32" i="11"/>
  <c r="AI31" i="11"/>
  <c r="AE31" i="11"/>
  <c r="AC31" i="11"/>
  <c r="AA31" i="11"/>
  <c r="T31" i="11"/>
  <c r="T30" i="11" s="1"/>
  <c r="R31" i="11"/>
  <c r="P31" i="11"/>
  <c r="N31" i="11"/>
  <c r="L31" i="11"/>
  <c r="I31" i="11"/>
  <c r="J31" i="11" s="1"/>
  <c r="F31" i="11"/>
  <c r="X30" i="11"/>
  <c r="V30" i="11"/>
  <c r="F30" i="11"/>
  <c r="AI29" i="11"/>
  <c r="AE29" i="11"/>
  <c r="AC29" i="11"/>
  <c r="AA29" i="11"/>
  <c r="T29" i="11"/>
  <c r="R29" i="11"/>
  <c r="P29" i="11"/>
  <c r="N29" i="11"/>
  <c r="L29" i="11"/>
  <c r="J29" i="11"/>
  <c r="F29" i="11"/>
  <c r="AI28" i="11"/>
  <c r="AE28" i="11"/>
  <c r="AC28" i="11"/>
  <c r="AA28" i="11"/>
  <c r="T28" i="11"/>
  <c r="R28" i="11"/>
  <c r="P28" i="11"/>
  <c r="N28" i="11"/>
  <c r="L28" i="11"/>
  <c r="J28" i="11"/>
  <c r="AI27" i="11"/>
  <c r="AE27" i="11"/>
  <c r="AC27" i="11"/>
  <c r="AA27" i="11"/>
  <c r="T27" i="11"/>
  <c r="R27" i="11"/>
  <c r="P27" i="11"/>
  <c r="N27" i="11"/>
  <c r="L27" i="11"/>
  <c r="J27" i="11"/>
  <c r="F27" i="11"/>
  <c r="AI26" i="11"/>
  <c r="AE26" i="11"/>
  <c r="AC26" i="11"/>
  <c r="AA26" i="11"/>
  <c r="T26" i="11"/>
  <c r="R26" i="11"/>
  <c r="P26" i="11"/>
  <c r="N26" i="11"/>
  <c r="L26" i="11"/>
  <c r="F26" i="11"/>
  <c r="AI25" i="11"/>
  <c r="AE25" i="11"/>
  <c r="AC25" i="11"/>
  <c r="AA25" i="11"/>
  <c r="T25" i="11"/>
  <c r="R25" i="11"/>
  <c r="P25" i="11"/>
  <c r="N25" i="11"/>
  <c r="L25" i="11"/>
  <c r="F25" i="11"/>
  <c r="AI24" i="11"/>
  <c r="AE24" i="11"/>
  <c r="AC24" i="11"/>
  <c r="T24" i="11"/>
  <c r="R24" i="11"/>
  <c r="P24" i="11"/>
  <c r="N24" i="11"/>
  <c r="L24" i="11"/>
  <c r="X23" i="11"/>
  <c r="V23" i="11"/>
  <c r="AI22" i="11"/>
  <c r="AE22" i="11"/>
  <c r="AC22" i="11"/>
  <c r="AA22" i="11"/>
  <c r="T22" i="11"/>
  <c r="R22" i="11"/>
  <c r="P22" i="11"/>
  <c r="N22" i="11"/>
  <c r="L22" i="11"/>
  <c r="J22" i="11"/>
  <c r="AE19" i="11"/>
  <c r="AC19" i="11"/>
  <c r="AA19" i="11"/>
  <c r="T19" i="11"/>
  <c r="R19" i="11"/>
  <c r="P19" i="11"/>
  <c r="N19" i="11"/>
  <c r="L19" i="11"/>
  <c r="J19" i="11"/>
  <c r="F19" i="11"/>
  <c r="AE18" i="11"/>
  <c r="AC18" i="11"/>
  <c r="AA18" i="11"/>
  <c r="T18" i="11"/>
  <c r="R18" i="11"/>
  <c r="P18" i="11"/>
  <c r="N18" i="11"/>
  <c r="L18" i="11"/>
  <c r="J18" i="11"/>
  <c r="AE17" i="11"/>
  <c r="AC17" i="11"/>
  <c r="AA17" i="11"/>
  <c r="T17" i="11"/>
  <c r="Q17" i="11"/>
  <c r="R17" i="11" s="1"/>
  <c r="P17" i="11"/>
  <c r="M17" i="11"/>
  <c r="N17" i="11" s="1"/>
  <c r="K17" i="11"/>
  <c r="L17" i="11" s="1"/>
  <c r="J17" i="11"/>
  <c r="F17" i="11"/>
  <c r="AE16" i="11"/>
  <c r="AC16" i="11"/>
  <c r="AA16" i="11"/>
  <c r="R16" i="11"/>
  <c r="P16" i="11"/>
  <c r="N16" i="11"/>
  <c r="K16" i="11"/>
  <c r="L16" i="11" s="1"/>
  <c r="J16" i="11"/>
  <c r="E16" i="11"/>
  <c r="F16" i="11" s="1"/>
  <c r="AE15" i="11"/>
  <c r="AC15" i="11"/>
  <c r="AA15" i="11"/>
  <c r="S15" i="11"/>
  <c r="T15" i="11" s="1"/>
  <c r="R15" i="11"/>
  <c r="P15" i="11"/>
  <c r="N15" i="11"/>
  <c r="K15" i="11"/>
  <c r="L15" i="11" s="1"/>
  <c r="J15" i="11"/>
  <c r="E15" i="11"/>
  <c r="F15" i="11" s="1"/>
  <c r="X14" i="11"/>
  <c r="W39" i="11" s="1"/>
  <c r="V14" i="11"/>
  <c r="U39" i="11" s="1"/>
  <c r="S37" i="8"/>
  <c r="O37" i="8"/>
  <c r="P14" i="8"/>
  <c r="S39" i="8"/>
  <c r="Q39" i="8"/>
  <c r="O39" i="8"/>
  <c r="M39" i="8"/>
  <c r="K39" i="8"/>
  <c r="F36" i="8"/>
  <c r="E39" i="8"/>
  <c r="F30" i="8"/>
  <c r="F23" i="8"/>
  <c r="F14" i="8"/>
  <c r="P23" i="11" l="1"/>
  <c r="F23" i="11"/>
  <c r="E37" i="11" s="1"/>
  <c r="L23" i="11"/>
  <c r="AI37" i="11"/>
  <c r="AI38" i="11" s="1"/>
  <c r="N23" i="11"/>
  <c r="R14" i="11"/>
  <c r="N30" i="11"/>
  <c r="R23" i="11"/>
  <c r="V51" i="11"/>
  <c r="V52" i="11"/>
  <c r="U41" i="11"/>
  <c r="X53" i="11"/>
  <c r="X52" i="11"/>
  <c r="T23" i="11"/>
  <c r="P14" i="11"/>
  <c r="G41" i="11"/>
  <c r="W41" i="11"/>
  <c r="I39" i="11"/>
  <c r="H51" i="11" s="1"/>
  <c r="Z37" i="11"/>
  <c r="L30" i="11"/>
  <c r="H52" i="11"/>
  <c r="AB39" i="11"/>
  <c r="AB41" i="11" s="1"/>
  <c r="Z39" i="11"/>
  <c r="AB37" i="11"/>
  <c r="P30" i="11"/>
  <c r="AD37" i="11"/>
  <c r="R30" i="11"/>
  <c r="H53" i="11"/>
  <c r="F14" i="11"/>
  <c r="L14" i="11"/>
  <c r="N14" i="11"/>
  <c r="T14" i="11"/>
  <c r="U40" i="11"/>
  <c r="W40" i="11"/>
  <c r="X51" i="11"/>
  <c r="AD39" i="11"/>
  <c r="V53" i="11"/>
  <c r="E15" i="8"/>
  <c r="E21" i="8"/>
  <c r="E20" i="8"/>
  <c r="E16" i="8"/>
  <c r="S39" i="11" l="1"/>
  <c r="T52" i="11" s="1"/>
  <c r="I37" i="11"/>
  <c r="I38" i="11" s="1"/>
  <c r="I40" i="11" s="1"/>
  <c r="E39" i="11"/>
  <c r="F53" i="11" s="1"/>
  <c r="J51" i="11"/>
  <c r="Z38" i="11"/>
  <c r="M39" i="11"/>
  <c r="N51" i="11" s="1"/>
  <c r="K39" i="11"/>
  <c r="L51" i="11" s="1"/>
  <c r="Z41" i="11"/>
  <c r="Q39" i="11"/>
  <c r="R52" i="11" s="1"/>
  <c r="AB38" i="11"/>
  <c r="O39" i="11"/>
  <c r="P51" i="11" s="1"/>
  <c r="J53" i="11"/>
  <c r="I41" i="11"/>
  <c r="J52" i="11"/>
  <c r="S41" i="11"/>
  <c r="T53" i="11"/>
  <c r="T51" i="11"/>
  <c r="S40" i="11"/>
  <c r="S37" i="11"/>
  <c r="AD41" i="11"/>
  <c r="AD38" i="11"/>
  <c r="AI21" i="8"/>
  <c r="AE21" i="8"/>
  <c r="AC21" i="8"/>
  <c r="AA21" i="8"/>
  <c r="S21" i="8"/>
  <c r="T21" i="8" s="1"/>
  <c r="Q21" i="8"/>
  <c r="R21" i="8" s="1"/>
  <c r="M21" i="8"/>
  <c r="N21" i="8" s="1"/>
  <c r="L21" i="8"/>
  <c r="J21" i="8"/>
  <c r="F21" i="8"/>
  <c r="S15" i="8"/>
  <c r="S20" i="8"/>
  <c r="F52" i="11" l="1"/>
  <c r="E40" i="11"/>
  <c r="E41" i="11"/>
  <c r="F51" i="11"/>
  <c r="F36" i="11"/>
  <c r="O41" i="11"/>
  <c r="P52" i="11"/>
  <c r="P53" i="11"/>
  <c r="M37" i="11"/>
  <c r="N52" i="11"/>
  <c r="L53" i="11"/>
  <c r="K37" i="11"/>
  <c r="K38" i="11" s="1"/>
  <c r="K40" i="11" s="1"/>
  <c r="AG41" i="11"/>
  <c r="K41" i="11"/>
  <c r="L52" i="11"/>
  <c r="O37" i="11"/>
  <c r="N53" i="11"/>
  <c r="M40" i="11"/>
  <c r="M41" i="11"/>
  <c r="O40" i="11"/>
  <c r="Q37" i="11"/>
  <c r="Q40" i="11"/>
  <c r="R51" i="11"/>
  <c r="R53" i="11"/>
  <c r="Q41" i="11"/>
  <c r="J15" i="8"/>
  <c r="J16" i="8"/>
  <c r="J17" i="8"/>
  <c r="J20" i="8"/>
  <c r="J19" i="8"/>
  <c r="M17" i="8" l="1"/>
  <c r="M20" i="8"/>
  <c r="Q17" i="8" l="1"/>
  <c r="R22" i="8"/>
  <c r="R17" i="8"/>
  <c r="I32" i="8"/>
  <c r="I31" i="8"/>
  <c r="K15" i="8"/>
  <c r="K16" i="8"/>
  <c r="K17" i="8"/>
  <c r="AI15" i="8"/>
  <c r="AI20" i="8"/>
  <c r="AE20" i="8"/>
  <c r="AC20" i="8"/>
  <c r="AA20" i="8"/>
  <c r="T20" i="8"/>
  <c r="R20" i="8"/>
  <c r="N20" i="8"/>
  <c r="L20" i="8"/>
  <c r="F20" i="8"/>
  <c r="AI19" i="8"/>
  <c r="AE19" i="8"/>
  <c r="AC19" i="8"/>
  <c r="AA19" i="8"/>
  <c r="T19" i="8"/>
  <c r="R19" i="8"/>
  <c r="P19" i="8"/>
  <c r="N19" i="8"/>
  <c r="L19" i="8"/>
  <c r="F19" i="8"/>
  <c r="R34" i="8"/>
  <c r="R33" i="8"/>
  <c r="R32" i="8"/>
  <c r="R31" i="8"/>
  <c r="R29" i="8"/>
  <c r="R28" i="8"/>
  <c r="R27" i="8"/>
  <c r="R26" i="8"/>
  <c r="R25" i="8"/>
  <c r="R24" i="8"/>
  <c r="R16" i="8"/>
  <c r="R18" i="8"/>
  <c r="R15" i="8"/>
  <c r="R14" i="8" s="1"/>
  <c r="Q37" i="8" s="1"/>
  <c r="N34" i="8"/>
  <c r="N33" i="8"/>
  <c r="N32" i="8"/>
  <c r="N31" i="8"/>
  <c r="N29" i="8"/>
  <c r="N28" i="8"/>
  <c r="N27" i="8"/>
  <c r="N26" i="8"/>
  <c r="N25" i="8"/>
  <c r="N24" i="8"/>
  <c r="N18" i="8"/>
  <c r="N17" i="8"/>
  <c r="N16" i="8"/>
  <c r="N15" i="8"/>
  <c r="R30" i="8" l="1"/>
  <c r="N22" i="8"/>
  <c r="R53" i="8"/>
  <c r="R23" i="8"/>
  <c r="N23" i="8"/>
  <c r="N30" i="8"/>
  <c r="C36" i="8"/>
  <c r="N14" i="8" l="1"/>
  <c r="R51" i="8"/>
  <c r="Q40" i="8"/>
  <c r="Q41" i="8"/>
  <c r="R52" i="8"/>
  <c r="V30" i="8" l="1"/>
  <c r="T34" i="8"/>
  <c r="T33" i="8"/>
  <c r="T32" i="8"/>
  <c r="T31" i="8"/>
  <c r="T29" i="8"/>
  <c r="T28" i="8"/>
  <c r="T27" i="8"/>
  <c r="T26" i="8"/>
  <c r="T25" i="8"/>
  <c r="T24" i="8"/>
  <c r="T22" i="8"/>
  <c r="T14" i="8" s="1"/>
  <c r="T18" i="8"/>
  <c r="T17" i="8"/>
  <c r="T16" i="8"/>
  <c r="T15" i="8"/>
  <c r="AI34" i="8"/>
  <c r="AI33" i="8"/>
  <c r="AI32" i="8"/>
  <c r="AI31" i="8"/>
  <c r="AI29" i="8"/>
  <c r="AI28" i="8"/>
  <c r="AI27" i="8"/>
  <c r="AI26" i="8"/>
  <c r="AI25" i="8"/>
  <c r="AI24" i="8"/>
  <c r="AE34" i="8"/>
  <c r="AE33" i="8"/>
  <c r="AE32" i="8"/>
  <c r="AE31" i="8"/>
  <c r="AE29" i="8"/>
  <c r="AE28" i="8"/>
  <c r="AE27" i="8"/>
  <c r="AE26" i="8"/>
  <c r="AE25" i="8"/>
  <c r="AE24" i="8"/>
  <c r="AC34" i="8"/>
  <c r="AC33" i="8"/>
  <c r="AC32" i="8"/>
  <c r="AC31" i="8"/>
  <c r="AC29" i="8"/>
  <c r="AC28" i="8"/>
  <c r="AC27" i="8"/>
  <c r="AC26" i="8"/>
  <c r="AC25" i="8"/>
  <c r="AC24" i="8"/>
  <c r="AA34" i="8"/>
  <c r="AA33" i="8"/>
  <c r="AA32" i="8"/>
  <c r="AA31" i="8"/>
  <c r="AA29" i="8"/>
  <c r="AA28" i="8"/>
  <c r="AA27" i="8"/>
  <c r="AA26" i="8"/>
  <c r="AA25" i="8"/>
  <c r="P29" i="8"/>
  <c r="P28" i="8"/>
  <c r="P27" i="8"/>
  <c r="P26" i="8"/>
  <c r="P25" i="8"/>
  <c r="P24" i="8"/>
  <c r="L34" i="8"/>
  <c r="L33" i="8"/>
  <c r="L32" i="8"/>
  <c r="L31" i="8"/>
  <c r="J34" i="8"/>
  <c r="J33" i="8"/>
  <c r="J32" i="8"/>
  <c r="J31" i="8"/>
  <c r="F34" i="8"/>
  <c r="F33" i="8"/>
  <c r="F32" i="8"/>
  <c r="F31" i="8"/>
  <c r="L29" i="8"/>
  <c r="L28" i="8"/>
  <c r="L27" i="8"/>
  <c r="L26" i="8"/>
  <c r="L25" i="8"/>
  <c r="L24" i="8"/>
  <c r="J29" i="8"/>
  <c r="J28" i="8"/>
  <c r="J27" i="8"/>
  <c r="F29" i="8"/>
  <c r="F28" i="8"/>
  <c r="F27" i="8"/>
  <c r="F26" i="8"/>
  <c r="F25" i="8"/>
  <c r="F24" i="8"/>
  <c r="P34" i="8"/>
  <c r="P33" i="8"/>
  <c r="P32" i="8"/>
  <c r="P31" i="8"/>
  <c r="P22" i="8"/>
  <c r="P18" i="8"/>
  <c r="P17" i="8"/>
  <c r="P16" i="8"/>
  <c r="P15" i="8"/>
  <c r="AE15" i="8"/>
  <c r="AC15" i="8"/>
  <c r="AA15" i="8"/>
  <c r="L15" i="8"/>
  <c r="F15" i="8"/>
  <c r="G39" i="8" l="1"/>
  <c r="V23" i="8"/>
  <c r="S40" i="8"/>
  <c r="T30" i="8"/>
  <c r="V14" i="8"/>
  <c r="U39" i="8" s="1"/>
  <c r="T23" i="8"/>
  <c r="P30" i="8"/>
  <c r="P53" i="8"/>
  <c r="P23" i="8"/>
  <c r="H53" i="8" l="1"/>
  <c r="G38" i="8"/>
  <c r="G40" i="8" s="1"/>
  <c r="H52" i="8"/>
  <c r="S41" i="8"/>
  <c r="G41" i="8"/>
  <c r="P51" i="8"/>
  <c r="T52" i="8"/>
  <c r="T51" i="8"/>
  <c r="O40" i="8"/>
  <c r="T53" i="8"/>
  <c r="O41" i="8"/>
  <c r="P52" i="8"/>
  <c r="V53" i="8"/>
  <c r="V52" i="8"/>
  <c r="V51" i="8"/>
  <c r="U41" i="8"/>
  <c r="U40" i="8"/>
  <c r="J22" i="8" l="1"/>
  <c r="X30" i="8"/>
  <c r="L30" i="8"/>
  <c r="X23" i="8"/>
  <c r="AI22" i="8"/>
  <c r="AE22" i="8"/>
  <c r="AC22" i="8"/>
  <c r="AA22" i="8"/>
  <c r="L22" i="8"/>
  <c r="F22" i="8"/>
  <c r="AI18" i="8"/>
  <c r="AE18" i="8"/>
  <c r="AC18" i="8"/>
  <c r="AA18" i="8"/>
  <c r="L18" i="8"/>
  <c r="J18" i="8"/>
  <c r="F18" i="8"/>
  <c r="AI17" i="8"/>
  <c r="AE17" i="8"/>
  <c r="AC17" i="8"/>
  <c r="AA17" i="8"/>
  <c r="L17" i="8"/>
  <c r="F17" i="8"/>
  <c r="AI16" i="8"/>
  <c r="AI37" i="8" s="1"/>
  <c r="AE16" i="8"/>
  <c r="AC16" i="8"/>
  <c r="AA16" i="8"/>
  <c r="L16" i="8"/>
  <c r="F16" i="8"/>
  <c r="L14" i="8" l="1"/>
  <c r="Z39" i="8"/>
  <c r="I39" i="8"/>
  <c r="AB39" i="8"/>
  <c r="AB37" i="8"/>
  <c r="AD39" i="8"/>
  <c r="AD37" i="8"/>
  <c r="Z37" i="8"/>
  <c r="AI38" i="8"/>
  <c r="X14" i="8"/>
  <c r="W39" i="8" s="1"/>
  <c r="X51" i="8" s="1"/>
  <c r="I41" i="8" l="1"/>
  <c r="I37" i="8"/>
  <c r="I38" i="8"/>
  <c r="H51" i="8"/>
  <c r="AB41" i="8"/>
  <c r="Z41" i="8"/>
  <c r="Z38" i="8"/>
  <c r="W41" i="8"/>
  <c r="AB38" i="8"/>
  <c r="X53" i="8"/>
  <c r="W40" i="8"/>
  <c r="X52" i="8"/>
  <c r="AD38" i="8"/>
  <c r="AD41" i="8"/>
  <c r="J51" i="8" l="1"/>
  <c r="J53" i="8"/>
  <c r="I40" i="8"/>
  <c r="J52" i="8"/>
  <c r="L23" i="8"/>
  <c r="L53" i="8" l="1"/>
  <c r="K41" i="8"/>
  <c r="L52" i="8"/>
  <c r="L51" i="8"/>
  <c r="AG41" i="8"/>
  <c r="K37" i="8"/>
  <c r="K38" i="8"/>
  <c r="K40" i="8" s="1"/>
  <c r="M41" i="8" l="1"/>
  <c r="M40" i="8"/>
  <c r="N52" i="8"/>
  <c r="N51" i="8"/>
  <c r="M37" i="8"/>
  <c r="N53" i="8"/>
  <c r="E37" i="8"/>
  <c r="F53" i="8" l="1"/>
  <c r="E40" i="8"/>
  <c r="E41" i="8"/>
  <c r="F52" i="8"/>
  <c r="F51" i="8"/>
</calcChain>
</file>

<file path=xl/sharedStrings.xml><?xml version="1.0" encoding="utf-8"?>
<sst xmlns="http://schemas.openxmlformats.org/spreadsheetml/2006/main" count="1838" uniqueCount="290">
  <si>
    <t>Contato</t>
  </si>
  <si>
    <t>Fone</t>
  </si>
  <si>
    <t>E-mail</t>
  </si>
  <si>
    <t>Nº Cadastro</t>
  </si>
  <si>
    <t>QUADRO DE CONCORRÊNCIA</t>
  </si>
  <si>
    <t>Descrição</t>
  </si>
  <si>
    <t>Observações</t>
  </si>
  <si>
    <t>% SOBRE ORÇAMENTO</t>
  </si>
  <si>
    <t>DESCONTO</t>
  </si>
  <si>
    <t>Qtd</t>
  </si>
  <si>
    <t>Frete CIF / FOB</t>
  </si>
  <si>
    <t>ICMS Inter-Estadual</t>
  </si>
  <si>
    <t>Optante pelo Simples</t>
  </si>
  <si>
    <t>Faturamento</t>
  </si>
  <si>
    <t>Mão de Obra</t>
  </si>
  <si>
    <t>Material</t>
  </si>
  <si>
    <t>Equipamentos</t>
  </si>
  <si>
    <t>%</t>
  </si>
  <si>
    <t>Valor</t>
  </si>
  <si>
    <t>Preço da última contratação</t>
  </si>
  <si>
    <t>Mês/Ano</t>
  </si>
  <si>
    <t>Total Baseline</t>
  </si>
  <si>
    <t>Orçamento Executivo</t>
  </si>
  <si>
    <t>Baseline</t>
  </si>
  <si>
    <t>Fechamento</t>
  </si>
  <si>
    <t>Observações Gerais</t>
  </si>
  <si>
    <t>Departamento / Obra</t>
  </si>
  <si>
    <t>Diferença do Reajustado X Contratado</t>
  </si>
  <si>
    <t>Valores</t>
  </si>
  <si>
    <t>Item</t>
  </si>
  <si>
    <t>Unidade</t>
  </si>
  <si>
    <t>Unitário</t>
  </si>
  <si>
    <t>Total</t>
  </si>
  <si>
    <t>Observações do Orçamento</t>
  </si>
  <si>
    <t>Prazo para Início / Entregas</t>
  </si>
  <si>
    <t>Observações da Última Contratação</t>
  </si>
  <si>
    <t>TOTAL NEGOCIADO</t>
  </si>
  <si>
    <t>TOTAL INICIAL</t>
  </si>
  <si>
    <t>Condição de pagamento - serviços</t>
  </si>
  <si>
    <t>Data Fechamento:</t>
  </si>
  <si>
    <t>Fornecedor:</t>
  </si>
  <si>
    <t>Obs.:</t>
  </si>
  <si>
    <t>Homologado?</t>
  </si>
  <si>
    <t>Reajuste</t>
  </si>
  <si>
    <t>ISS (incluso / aliquota)</t>
  </si>
  <si>
    <t>% do desconto</t>
  </si>
  <si>
    <t>Calculado dissídio?</t>
  </si>
  <si>
    <r>
      <t>INCC I</t>
    </r>
    <r>
      <rPr>
        <vertAlign val="sub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-2:</t>
    </r>
  </si>
  <si>
    <r>
      <t>INCC I</t>
    </r>
    <r>
      <rPr>
        <vertAlign val="sub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-2:</t>
    </r>
  </si>
  <si>
    <t>Outras construtoras que está atendendo</t>
  </si>
  <si>
    <t>Condição de pagamento - materiais</t>
  </si>
  <si>
    <t>Total Baseline Reajustado</t>
  </si>
  <si>
    <t>N/A</t>
  </si>
  <si>
    <t>SIM</t>
  </si>
  <si>
    <t xml:space="preserve">CONFORME MEDIÇÃO </t>
  </si>
  <si>
    <t>CIF</t>
  </si>
  <si>
    <t xml:space="preserve">NÃO </t>
  </si>
  <si>
    <t>Sinaihempreiteira@outlook.com</t>
  </si>
  <si>
    <t>SINAIH EMPREITEIRA</t>
  </si>
  <si>
    <t xml:space="preserve">MÃO DE OBRA DE AJUDANTE </t>
  </si>
  <si>
    <t>MÃO DE OBRA DE ENCARREGADO</t>
  </si>
  <si>
    <t>DEMAIS SERVIÇOS</t>
  </si>
  <si>
    <t>JMC CONSTRUCOES</t>
  </si>
  <si>
    <t>enis-antonio@hotmail.com</t>
  </si>
  <si>
    <t xml:space="preserve">MOBILIZAÇÃO </t>
  </si>
  <si>
    <t>OFICIAL DE PEDREIRO</t>
  </si>
  <si>
    <t>M³</t>
  </si>
  <si>
    <t>KG</t>
  </si>
  <si>
    <t>DIA</t>
  </si>
  <si>
    <t>UN</t>
  </si>
  <si>
    <t>VB</t>
  </si>
  <si>
    <t>JOSÉ</t>
  </si>
  <si>
    <t>11 94081.0559</t>
  </si>
  <si>
    <t>11 98445.0303</t>
  </si>
  <si>
    <t>1.00</t>
  </si>
  <si>
    <t>2.00</t>
  </si>
  <si>
    <t>3.00</t>
  </si>
  <si>
    <t>4.00</t>
  </si>
  <si>
    <t>N &amp; OLIVEIRA</t>
  </si>
  <si>
    <t>THIAGO</t>
  </si>
  <si>
    <t>11 97124.3283</t>
  </si>
  <si>
    <t>thiago@novaoliveira.com.br</t>
  </si>
  <si>
    <t>FUZZI ENGENHARIA</t>
  </si>
  <si>
    <t>OBSERVAÇÕES DA SOLICITAÇÃO DE COMPRA:</t>
  </si>
  <si>
    <t>RAFAEL ARAÚJO</t>
  </si>
  <si>
    <t>rafael.araujo@fuzziengenharia.com.br</t>
  </si>
  <si>
    <t>ALAN BUENO PIRES</t>
  </si>
  <si>
    <t>WILSON ALVES</t>
  </si>
  <si>
    <t>wilsonsaopedro@gmail.com</t>
  </si>
  <si>
    <t>FORNECEDOR NOVO</t>
  </si>
  <si>
    <t xml:space="preserve">BREJINHO </t>
  </si>
  <si>
    <t>MÃO DE OBRA DE ESTRUTURA</t>
  </si>
  <si>
    <t xml:space="preserve">FONTE CONSTRUÇÕES </t>
  </si>
  <si>
    <t xml:space="preserve">Ademir </t>
  </si>
  <si>
    <t>11 98331-2748</t>
  </si>
  <si>
    <t>fonte.empreiteira@gmail.com</t>
  </si>
  <si>
    <t>2023 A 2024</t>
  </si>
  <si>
    <t>MÃO DE OBRA POR ADM P/ FUTURAS CONTRATAÇÃO</t>
  </si>
  <si>
    <t>construtorabrejinho@gmail.com</t>
  </si>
  <si>
    <t>INCLUSO</t>
  </si>
  <si>
    <r>
      <t>CENTRO DE CUSTO: OBRA</t>
    </r>
    <r>
      <rPr>
        <b/>
        <sz val="11"/>
        <color theme="1"/>
        <rFont val="Arial"/>
        <family val="2"/>
      </rPr>
      <t xml:space="preserve">   </t>
    </r>
    <r>
      <rPr>
        <sz val="11"/>
        <color theme="1"/>
        <rFont val="Arial"/>
        <family val="2"/>
      </rPr>
      <t>(RESPONSÁVEL: COORD. BENJAMIN)</t>
    </r>
  </si>
  <si>
    <t>RESPONSÁVEL: MURILO ANELLI</t>
  </si>
  <si>
    <t>DATA: 20/06/2024</t>
  </si>
  <si>
    <t xml:space="preserve">SC's: </t>
  </si>
  <si>
    <r>
      <t xml:space="preserve">MÃO DE OBRA PARA EXECUÇÃO DE CORTINA DE CONCRETO  MOLDADA IN LOCO (PILARES/VIGAS/LAJES) </t>
    </r>
    <r>
      <rPr>
        <sz val="11"/>
        <color rgb="FFFF0000"/>
        <rFont val="Arial"/>
        <family val="2"/>
      </rPr>
      <t>(ARMAÇÃO, MONTAGEM DE FORMA E LANÇAMENTO DE CONCRETO) -  CORTINA DE CONCRETO</t>
    </r>
  </si>
  <si>
    <t>CONSTRUTORA GUIMARÃES</t>
  </si>
  <si>
    <t>Lutiellen Veloso</t>
  </si>
  <si>
    <t>11 98334-6078</t>
  </si>
  <si>
    <t>engenharia@construtorarguimaraes.com.br</t>
  </si>
  <si>
    <t>INCLUSO NO VALOR DA FUNDAÇÃO</t>
  </si>
  <si>
    <t>M²</t>
  </si>
  <si>
    <t>ERS-ME</t>
  </si>
  <si>
    <t>Leandro Barbosa</t>
  </si>
  <si>
    <t>19 98356-4266</t>
  </si>
  <si>
    <t>leandrobarbosa291@yahoo.com.br</t>
  </si>
  <si>
    <t>RANGEL</t>
  </si>
  <si>
    <t>Felipe</t>
  </si>
  <si>
    <t>11 98340-0772</t>
  </si>
  <si>
    <t>foliveira@rangelconstrucoes.com.br</t>
  </si>
  <si>
    <t>JRS -CONSTRUÇÕES</t>
  </si>
  <si>
    <t>José Renato</t>
  </si>
  <si>
    <t>11 98133-9219</t>
  </si>
  <si>
    <t>Renatocarvalho456@gmail.com</t>
  </si>
  <si>
    <t>FLORÁ -  ALPHAVILLE</t>
  </si>
  <si>
    <t>MONTAGEM E DESMONTAGEM TELA DE PROTEÇÃO</t>
  </si>
  <si>
    <t>MONTAGEM E DESMONTAGEM POÇO DE ELEVADOR</t>
  </si>
  <si>
    <t>LIMPEZA E ORGANIZAÇÃO DOS AMBIENTES</t>
  </si>
  <si>
    <t>SINALEIRO PARA OBRA</t>
  </si>
  <si>
    <t>1 COLABORADORES</t>
  </si>
  <si>
    <t>2 COLABORADORES</t>
  </si>
  <si>
    <t>LAVA RODAS</t>
  </si>
  <si>
    <t>TÉCNICO DE SEGURANÇA PARA OBRA</t>
  </si>
  <si>
    <t>CORREÇÕES DE IMPERFEIÇÕES NA ESTRUTURA</t>
  </si>
  <si>
    <t>LIMPEZA, ORGANIZAÇÃO E GESTÃO DE PEÇAS LOCADAS</t>
  </si>
  <si>
    <t>ATENDIMENTO À NÃO CONFORMIDADES DA MPD</t>
  </si>
  <si>
    <t>MULTAS POR EXTRAVIOS, QUEBRAS, DANOS EM PEÇAS LOCADAS + EQUIPAMENTOS</t>
  </si>
  <si>
    <t>CHECK LIST DE ESCOPO</t>
  </si>
  <si>
    <t>MPD CENÁRIO SOLICITADO.</t>
  </si>
  <si>
    <t>GUIMARÃES</t>
  </si>
  <si>
    <t>AC&amp;D</t>
  </si>
  <si>
    <t>MEDINA</t>
  </si>
  <si>
    <t>M.O PARA FUNDAÇÕES</t>
  </si>
  <si>
    <t>M.O PARA ESTRUTURA</t>
  </si>
  <si>
    <t>ARRASAMENTO DE ESTACA</t>
  </si>
  <si>
    <t>EXECUÇÃO DE BASE DE GRUA</t>
  </si>
  <si>
    <t>EXECUÇÃO DE BASE DE CREMALHEIRA</t>
  </si>
  <si>
    <t>MONTAGEM E ASCENSÃO SLQA</t>
  </si>
  <si>
    <t>REGULARIZAÇÃO DOS POÇOS DOS ELEVADORES</t>
  </si>
  <si>
    <t>SARRAFEAMENTO DE LAJES</t>
  </si>
  <si>
    <t>EXECUÇÃO DE GABARITOS</t>
  </si>
  <si>
    <t>DISSÍDIO 2024</t>
  </si>
  <si>
    <t>REMOVIDO</t>
  </si>
  <si>
    <t>TAXA DE CONDOMÍNIO + PROJETO TOALHA</t>
  </si>
  <si>
    <t>MONTAGEM E DESMONTAGEM DE BANDEIJAS</t>
  </si>
  <si>
    <t>INCLUSO 2X(BANDEIJA INCIAL E PRIMÁRIA 60% FACHADA</t>
  </si>
  <si>
    <t>MONTAGEM E DESMONTAGEM DE SISTEMA PRÉ E PÓS CONCRETAGEM</t>
  </si>
  <si>
    <t>MONTAGEM E DESMONTAGEM LINHA DE VIDA</t>
  </si>
  <si>
    <t xml:space="preserve">ITEM </t>
  </si>
  <si>
    <t>EMPRESA</t>
  </si>
  <si>
    <t>CONTATO</t>
  </si>
  <si>
    <t>TELEFONE</t>
  </si>
  <si>
    <t>E-MAIL</t>
  </si>
  <si>
    <t>OBS</t>
  </si>
  <si>
    <t>(11) 9-7299-1938</t>
  </si>
  <si>
    <t>rodrigo.lousil@outlook.com</t>
  </si>
  <si>
    <t>(11) 9-8340-0772</t>
  </si>
  <si>
    <t>(11) 9-4902-8723</t>
  </si>
  <si>
    <t>aevmedina@bol.com.br; isartore.medina@outlook.com</t>
  </si>
  <si>
    <t>(11) 9-5708-7784</t>
  </si>
  <si>
    <t>mrgomesgomes78@gmail.com</t>
  </si>
  <si>
    <t>(11) 9-8334-6078</t>
  </si>
  <si>
    <t>(11) 9-4085-8355</t>
  </si>
  <si>
    <t>jorge@matoscarvalho.com</t>
  </si>
  <si>
    <t>R&amp;J</t>
  </si>
  <si>
    <t>(11) 98823-7187</t>
  </si>
  <si>
    <t xml:space="preserve"> ricardo@rennovaempreiteira.com.br</t>
  </si>
  <si>
    <t>(11) 9-8732-9389</t>
  </si>
  <si>
    <t>dfsousa08@hotmail.com</t>
  </si>
  <si>
    <t>GM</t>
  </si>
  <si>
    <t>(17) 98115-1479</t>
  </si>
  <si>
    <t>eng.gilbertomiessa.construtoragm@gmail.com</t>
  </si>
  <si>
    <t>(11) 9-4742-4608</t>
  </si>
  <si>
    <t>marcus@engecapservicos.com.br</t>
  </si>
  <si>
    <t>DMS</t>
  </si>
  <si>
    <t>(11) 9-8528-2625</t>
  </si>
  <si>
    <t>junior_arcconstrucoes@hotmail.com</t>
  </si>
  <si>
    <t>(11) 9-9404-2520</t>
  </si>
  <si>
    <t>dirceu@constata.com.br</t>
  </si>
  <si>
    <r>
      <rPr>
        <sz val="12"/>
        <color theme="1"/>
        <rFont val="Arial"/>
        <family val="2"/>
      </rPr>
      <t>Código: XXXXX</t>
    </r>
    <r>
      <rPr>
        <b/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Doc. Referenciado:</t>
    </r>
    <r>
      <rPr>
        <b/>
        <sz val="12"/>
        <color theme="1"/>
        <rFont val="Arial"/>
        <family val="2"/>
      </rPr>
      <t xml:space="preserve"> XXXXXXX</t>
    </r>
  </si>
  <si>
    <t>(11) 98133-9219</t>
  </si>
  <si>
    <t>J.M.C</t>
  </si>
  <si>
    <t>11 98445-0303</t>
  </si>
  <si>
    <t>NOVA &amp; OLIVEIRA</t>
  </si>
  <si>
    <t xml:space="preserve">(11) 97121-3283 </t>
  </si>
  <si>
    <t>VENDOR LIST - ESTRUTURA</t>
  </si>
  <si>
    <t>MÃO-DE-OBRA DE CIVIL (ESTRUTURA)</t>
  </si>
  <si>
    <t>LOUSIL ESTRUTURA</t>
  </si>
  <si>
    <t>MR CONSTRUÇÕES</t>
  </si>
  <si>
    <t>MATOS DE CARVALHO</t>
  </si>
  <si>
    <t>ENGECAP ENGENHARIA</t>
  </si>
  <si>
    <t>CONSTATA</t>
  </si>
  <si>
    <t>JRS. CONSTRUÇÕES</t>
  </si>
  <si>
    <t>RODRIGO</t>
  </si>
  <si>
    <t>FELIPE</t>
  </si>
  <si>
    <t>VALDINAR</t>
  </si>
  <si>
    <t>FRANCISCO</t>
  </si>
  <si>
    <t>LUTIELEN</t>
  </si>
  <si>
    <t>JORGE </t>
  </si>
  <si>
    <t>RICARDO</t>
  </si>
  <si>
    <t>DOMINGOS</t>
  </si>
  <si>
    <t>GILBERTO</t>
  </si>
  <si>
    <t>MARCUS</t>
  </si>
  <si>
    <t>JUNIOR</t>
  </si>
  <si>
    <t>DIRCEU</t>
  </si>
  <si>
    <t>JOSÉ RENATO</t>
  </si>
  <si>
    <t>JÓSE /ANTONIO</t>
  </si>
  <si>
    <t>Obras que está excutando na MPD</t>
  </si>
  <si>
    <r>
      <t xml:space="preserve">Solicitação gerada a partir da página de Necessidades de Compra.
A) APLICAÇÃO: Mão de obra para execução de fundações e superestrutura.
B) Nº ITEM ORÇAMENTO: Item da planilha orçamentária - Ex.: </t>
    </r>
    <r>
      <rPr>
        <sz val="11"/>
        <color rgb="FFFF0000"/>
        <rFont val="Arial"/>
        <family val="2"/>
      </rPr>
      <t xml:space="preserve">02.003.001 Blocos e Baldrames e 02.005.001 -Estrutura Convencional - Mão de Obra
</t>
    </r>
    <r>
      <rPr>
        <sz val="11"/>
        <color theme="1"/>
        <rFont val="Arial"/>
        <family val="2"/>
      </rPr>
      <t>C) VERBA DE ORÇAMENTO: R$</t>
    </r>
    <r>
      <rPr>
        <sz val="11"/>
        <color rgb="FFFF0000"/>
        <rFont val="Arial"/>
        <family val="2"/>
      </rPr>
      <t xml:space="preserve"> XXXXXXXXXXX</t>
    </r>
    <r>
      <rPr>
        <sz val="11"/>
        <color theme="1"/>
        <rFont val="Arial"/>
        <family val="2"/>
      </rPr>
      <t xml:space="preserve">
D) DESCRIÇÃO: Descrição total do serviço/material que está sendo solicitado: Mâo de obra para execução de fundações e superestrutura
E) PREVISÃO INÍCIO ( data de necessidade): </t>
    </r>
    <r>
      <rPr>
        <sz val="11"/>
        <color rgb="FFFF0000"/>
        <rFont val="Arial"/>
        <family val="2"/>
      </rPr>
      <t>XXXXXXXX</t>
    </r>
    <r>
      <rPr>
        <sz val="11"/>
        <color theme="1"/>
        <rFont val="Arial"/>
        <family val="2"/>
      </rPr>
      <t xml:space="preserve">
F) PROJETOS: Indicar lista de projetos ou anexar lista mestra: em anexo na pasta da rede "anexo SC"
G) ANEXOS: Projetos de Fundações, Estrutura, Carta Convite e Cronograma.
H) QUANTIDADE DA SC: LEVANTAMENTO REALIZADO COM BASE NO ORÇAMENTO
CONTATO OBRA: (11) </t>
    </r>
    <r>
      <rPr>
        <sz val="11"/>
        <color rgb="FFFF0000"/>
        <rFont val="Arial"/>
        <family val="2"/>
      </rPr>
      <t>XXXXXXXXXXXXXXXXXX</t>
    </r>
    <r>
      <rPr>
        <sz val="11"/>
        <color theme="1"/>
        <rFont val="Arial"/>
        <family val="2"/>
      </rPr>
      <t xml:space="preserve">
I) CENTRO DE CUSTO E DESCRIÇÃO:</t>
    </r>
    <r>
      <rPr>
        <sz val="11"/>
        <color rgb="FFFF0000"/>
        <rFont val="Arial"/>
        <family val="2"/>
      </rPr>
      <t xml:space="preserve"> XXXXXXXXXX</t>
    </r>
  </si>
  <si>
    <t>JOSÉ MARIO</t>
  </si>
  <si>
    <t>(11) 99859-7094</t>
  </si>
  <si>
    <t>(11) 93727-1020</t>
  </si>
  <si>
    <t xml:space="preserve">IRMÃOS SÃO PEDRO </t>
  </si>
  <si>
    <t>(11) 94074-3923</t>
  </si>
  <si>
    <t xml:space="preserve">MDS </t>
  </si>
  <si>
    <t xml:space="preserve">ANDRÉ </t>
  </si>
  <si>
    <t>(11) 999554-4066</t>
  </si>
  <si>
    <t>andre@mdsconstrucoes.com.br</t>
  </si>
  <si>
    <t>MDS</t>
  </si>
  <si>
    <t>VALOR TOTAL / QUANTIDADE DE M³</t>
  </si>
  <si>
    <t>DEPARTAMENTO / OBRA: ""REFFUGIO- SPE XX"</t>
  </si>
  <si>
    <t xml:space="preserve">FC LAJES </t>
  </si>
  <si>
    <t>11 98528-2625</t>
  </si>
  <si>
    <t>Rodrigo</t>
  </si>
  <si>
    <t>LOUSIL</t>
  </si>
  <si>
    <r>
      <t xml:space="preserve">MÃO DE OBRA PARA EXECUÇÃO DE FUNDAÇÃO, SAPATAS, BLOCOS E BALDRAMES </t>
    </r>
    <r>
      <rPr>
        <sz val="11"/>
        <color rgb="FFFF0000"/>
        <rFont val="Arial"/>
        <family val="2"/>
      </rPr>
      <t xml:space="preserve"> (ARMAÇÃO, MONTAGEM DE FORMA E LANÇAMENTO DE CONCRETO E E ARMAÇÃO PARA BASE DE GRUA, CREMALHEIRA CONCRETO MAGRO E PINTURA DOS BLOCOS E VIGAS BALDEAMES ))</t>
    </r>
  </si>
  <si>
    <r>
      <t>MÃO DE OBRA</t>
    </r>
    <r>
      <rPr>
        <sz val="11"/>
        <rFont val="Arial"/>
        <family val="2"/>
      </rPr>
      <t xml:space="preserve"> PARA ARMAÇÃO</t>
    </r>
    <r>
      <rPr>
        <sz val="11"/>
        <color rgb="FFFF0000"/>
        <rFont val="Arial"/>
        <family val="2"/>
      </rPr>
      <t xml:space="preserve"> (INSTALAÇÃO, ARMAÇÃO, SOLDA, TRANSPASSES, INSTALAÇÃO DE ESPAÇADORES) - GAIOLAS DE ARMAÇÃO E ARMAÇÃO PARA BASE DE GRUA E CREMALHEIRA)</t>
    </r>
    <r>
      <rPr>
        <sz val="11"/>
        <color theme="1"/>
        <rFont val="Arial"/>
        <family val="2"/>
      </rPr>
      <t xml:space="preserve"> ( NÃO TERA NESSA OBRA)</t>
    </r>
  </si>
  <si>
    <r>
      <t xml:space="preserve">MÃO DE OBRA EXECUÇÃO DE GABARITO / INCLUSO: </t>
    </r>
    <r>
      <rPr>
        <sz val="11"/>
        <color rgb="FFFF0000"/>
        <rFont val="Arial"/>
        <family val="2"/>
      </rPr>
      <t>FIXAÇÃO DE PONTALETE, PINTURA, CHUMBAMENTO COM AREIA E CIMENTO</t>
    </r>
    <r>
      <rPr>
        <sz val="11"/>
        <color theme="1"/>
        <rFont val="Arial"/>
        <family val="2"/>
      </rPr>
      <t xml:space="preserve"> (INCLUSO NA M.O DE ESTRUTURA )</t>
    </r>
  </si>
  <si>
    <r>
      <t xml:space="preserve">MÃO DE OBRA PARA ARRASAMENTO DE ESTACA (XXXX HELICE / RAIZ) </t>
    </r>
    <r>
      <rPr>
        <sz val="11"/>
        <color rgb="FFFF0000"/>
        <rFont val="Arial"/>
        <family val="2"/>
      </rPr>
      <t>(INCLUSO EQUIPAMENTO + DIESEL)</t>
    </r>
    <r>
      <rPr>
        <sz val="11"/>
        <color theme="1"/>
        <rFont val="Arial"/>
        <family val="2"/>
      </rPr>
      <t xml:space="preserve">  ( NÃO TEREMOS PARA ESSA OBRA)</t>
    </r>
  </si>
  <si>
    <r>
      <t xml:space="preserve">REGULARIZAÇÃO DE POÇO DO ELEVADOR  </t>
    </r>
    <r>
      <rPr>
        <sz val="11"/>
        <color rgb="FFFF0000"/>
        <rFont val="Arial"/>
        <family val="2"/>
      </rPr>
      <t>( TEM QUE ESTAR INCLUSO NA ESTRUTURA)</t>
    </r>
  </si>
  <si>
    <r>
      <t xml:space="preserve">EXECUÇÃO DE BANDEJA PRIMÁRIA MONTAGEM E SECUNDARIA  </t>
    </r>
    <r>
      <rPr>
        <sz val="11"/>
        <color rgb="FFFF0000"/>
        <rFont val="Arial"/>
        <family val="2"/>
      </rPr>
      <t xml:space="preserve">( TEM QUE ESTAR INCLUSO NA ESTRUTURA </t>
    </r>
    <r>
      <rPr>
        <sz val="11"/>
        <color theme="1"/>
        <rFont val="Arial"/>
        <family val="2"/>
      </rPr>
      <t>)</t>
    </r>
  </si>
  <si>
    <t>MÃO DE OBRA PARA - ARRASAMENTO DE PAREDE DIAFRAGMA (ARRASAMENTO ATÉ 100 CM) - ESPESSURA DE 40 CM</t>
  </si>
  <si>
    <t>MÃO DE OBRA PARA ARRASAMENTO DE ESTACA BARRETE COM 40 CM DE LARGURA POR 8M DE ALTURA (COTA 775,00 ATÉ 767) - 6 UNIDADES DE ESTACA. OBS: COMPRIMENTO TOTAL AO LADO JÁ CONTEMPLA AS 6 UNID.</t>
  </si>
  <si>
    <r>
      <t xml:space="preserve">MÃO DE OBRA PARA EXECUÇÃO DE SUPERESTRUTURA MOLDADA IN LOCO (PILARES/VIGAS/LAJES) </t>
    </r>
    <r>
      <rPr>
        <sz val="11"/>
        <color rgb="FFFF0000"/>
        <rFont val="Arial"/>
        <family val="2"/>
      </rPr>
      <t xml:space="preserve">(ARMAÇÃO, MONTAGEM DE FORMA, LANÇAMENTO DE CONCRETO E EMPRESA DE SARAFEAMENTO E PISO NIVEL ZERO 2º E 1º SS) - SUPER ESTRUTURA </t>
    </r>
  </si>
  <si>
    <t>m³</t>
  </si>
  <si>
    <t>unidade</t>
  </si>
  <si>
    <t xml:space="preserve">EVEN </t>
  </si>
  <si>
    <t>NESSE MOMENTO ESTÁ COM EQUIPE APENAS PARA CAMPINAS, ONDE SERÁ VIABILIZADO A OBRA UNIMED</t>
  </si>
  <si>
    <t>FORNECEDOR DECLINOU DA OBRA ( MUITAS OBRAS NECESSE MOMENTO)</t>
  </si>
  <si>
    <t>DECLINOU NESSE MOMENTO ESTÁ COM OBRAS PROGRAMADAS ATÉ DEZEMBRO.</t>
  </si>
  <si>
    <t>M.O PRA EXECUÇÃO DE ACABAMENTO NA ESTRUTURA PISO ACABADO (LAJE ZERO) - 1º E
2º SUBSOLO (ÁREA DE VEÍCULOS)</t>
  </si>
  <si>
    <t>NÃO RESPONDEU ATÉ O MOMENTO</t>
  </si>
  <si>
    <t>NÃO EXECUTA</t>
  </si>
  <si>
    <t>VALOR 1º PROPOSTA</t>
  </si>
  <si>
    <t>VALOR TOTAL DO  ORÇAMENTO</t>
  </si>
  <si>
    <t>ESTRUTURA REFFUGIO</t>
  </si>
  <si>
    <t>INVIAVÉL</t>
  </si>
  <si>
    <t>ESTRUTURA M³</t>
  </si>
  <si>
    <t>FUNDAÇÃO M³</t>
  </si>
  <si>
    <t>VALOR TOTAL DE ORÇAMENTO</t>
  </si>
  <si>
    <t>EMPRESAS VIAVÉIS PARA NEGOCIAÇÃO ATÉ CHEGAR NA VERBA DE ORÇAMENTO</t>
  </si>
  <si>
    <t>EMPRESAS COM PREFERÊNCIA DE FECHAMENTO</t>
  </si>
  <si>
    <t>ESTRUTURA REFFUGIO - ( CENARIO PARA FECHAMENTO )</t>
  </si>
  <si>
    <t>% A CIMA EM RELAÇÃO AO ORÇAMENTO</t>
  </si>
  <si>
    <t>VALOR PARA FECHAMENTO IDEAL</t>
  </si>
  <si>
    <t>% IDEAL DE DESCONTO PARA FECHAMENTO</t>
  </si>
  <si>
    <t xml:space="preserve">INCLUSO </t>
  </si>
  <si>
    <t>INCLUSO NO M³ DO CONCRETO</t>
  </si>
  <si>
    <t>NÃO EXECUTA  ( O TERREO ATÉ O FINAL DO EMPRRENDIMENTO ESTÁ INCLUSO)</t>
  </si>
  <si>
    <t xml:space="preserve">EXECUÇÃO DE FORMA PRONTA EM OBRA </t>
  </si>
  <si>
    <t xml:space="preserve">CONSIDERANDO 1 TEC. SEG. FULL TIME, 1 CARPINTEIRO DE SEGURANÇA, LIMPEZA DE ESTRUTURA, CAUÇÃO 
MONTAGEM DA 1º BANDEJA  IREMOS PAGAR E A 2º BANDEJA NÃO PAGAREMOS  </t>
  </si>
  <si>
    <t xml:space="preserve">SINALEIRO </t>
  </si>
  <si>
    <t>CONSIDERANDO 1 TEC. SEG. FULL TIME, 1 CARPINTEIRO DE SEGURANÇA, LIMPEZA DE ESTRUTURA, CAUÇÃO 
MONTAGEM DA 1º BANDEJA  IREMOS PAGAR E A 2º BANDEJA NÃO PAGAREMOS  
SINALEIRO 1  ESTÁ INCLUSO NA ESTRUTURA E 1 MPD PAGARÁ</t>
  </si>
  <si>
    <t>MÊS</t>
  </si>
  <si>
    <t>NÃO TEREMOS MAIS NESSA OBRA</t>
  </si>
  <si>
    <t xml:space="preserve">METRO </t>
  </si>
  <si>
    <t xml:space="preserve">VALOR UNITARIO PARA DOBRAR E CORTAR AÇO </t>
  </si>
  <si>
    <t>CONSIDERANDO 1 TEC. SEG. FULL TIME, 1 CARPINTEIRO DE SEGURANÇA (2) , LIMPEZA DE ESTRUTURA, CAUÇÃO 
MONTAGEM DA 1º BANDEJA  IREMOS PAGAR E A 2º BANDEJA NÃO PAGAREMOS  
SINALEIRO 1  ESTÁ INCLUSO NA ESTRUTURA E 1 MPD PAGARÁ
PISO DO TERREO ATÉ ULTIMO PAVIMENTO SERÁ VASSORADO OU FLOP DEFINIR NA OBRA</t>
  </si>
  <si>
    <t xml:space="preserve">SINGULAR E PATERO (PERIFERIA) </t>
  </si>
  <si>
    <t xml:space="preserve">CONSIDERANDO 1 TEC. SEG. FULL TIME, 1 CARPINTEIRO DE SEGURANÇA (2) E 1 AJUDANTE , LIMPEZA DE ESTRUTURA, CAUÇÃO 
MONTAGEM DA 1º BANDEJA  IREMOS PAGAR E A 2º BANDEJA NÃO PAGAREMOS  
SINALEIRO 1  ESTÁ INCLUSO NA ESTRUTURA E 1 MPD PAGARÁ
PISO DO TERREO ATÉ ULTIMO PAVIMENTO SERÁ VASSORADO OU FLOP DEFINIR NA OBRA  </t>
  </si>
  <si>
    <t>CONSIDERANDO 1 TEC. SEG. FULL TIME, 1 CARPINTEIRO DE SEGURANÇA (2 a 3) , LIMPEZA DE ESTRUTURA, CAUÇÃO 
MONTAGEM DA 1º BANDEJA  IREMOS PAGAR E A 2º BANDEJA NÃO PAGAREMOS  
SINALEIRO 1  ESTÁ INCLUSO NA ESTRUTURA E 1 MPD PAGARÁ
PISO DO TERREO ATÉ ULTIMO PAVIMENTO SERÁ VASSORADO OU FLOP DEFINIR NA OBRA</t>
  </si>
  <si>
    <t>EVEN, LAVI, TRISUL, PORTE, CYRELA</t>
  </si>
  <si>
    <r>
      <t xml:space="preserve">MÃO DE OBRA PARA EXECUÇÃO DE FUNDAÇÃO, SAPATAS, BLOCOS E BALDRAMES </t>
    </r>
    <r>
      <rPr>
        <sz val="11"/>
        <color rgb="FFFF0000"/>
        <rFont val="Arial"/>
        <family val="2"/>
      </rPr>
      <t xml:space="preserve"> (ARMAÇÃO, MONTAGEM DE FORMA E LANÇAMENTO DE CONCRETO E E ARMAÇÃO PARA BASE DE GRUA, CREMALHEIRA CONCRETO MAGRO E PINTURA DOS BLOCOS E VIGAS BALDEAMES )) - INCLUSO NA QUANTIDADE  ARRASAMENTO DE ESTACA BARRETE, CONCRETO MAGRO, BASE DA CREMALHEIRA, VIGAS DE TRAVAMENTO DOS BLOCOS,  PINTURA DOS BLOCOS COM POLIMERICO </t>
    </r>
  </si>
  <si>
    <t>QUANTITADE  DE 8,12 M³ INCLUSA  NO M³ DA ESTRUTURA DE FUNDAÇÃO</t>
  </si>
  <si>
    <t>FORNECEDOR NÃO EXECUTA ESSES SERVIÇOS</t>
  </si>
  <si>
    <t xml:space="preserve">VALOR COBRADO Á PARTE SE NECESSIARIO </t>
  </si>
  <si>
    <t>INCLUSO NA FUNDAÇÃO</t>
  </si>
  <si>
    <t>ESSE SERVIÇOS SERÃO CONTRATADO A PARTE, O SARRAFEAMENTO DA LAJE ESTÁ INCLUSO</t>
  </si>
  <si>
    <t>PROPOSTA FINAL</t>
  </si>
  <si>
    <t>SAVING</t>
  </si>
  <si>
    <t>SINALEIRO  ( SEMPRE TENTAR INCLUSO O 2º SINALEIRO ATÉ INICIO DA ALVENARIA)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</si>
</sst>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#,##0.00_ ;\-#,##0.00\ "/>
    <numFmt numFmtId="166" formatCode="0.000"/>
    <numFmt numFmtId="167" formatCode="&quot;R$&quot;\ #,##0.0000"/>
    <numFmt numFmtId="168" formatCode="_-&quot;R$&quot;\ * #,##0.0000_-;\-&quot;R$&quot;\ * #,##0.0000_-;_-&quot;R$&quot;\ * &quot;-&quot;????_-;_-@_-"/>
  </numFmts>
  <fonts count="2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Century Gothic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  <scheme val="minor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theme="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theme="9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 style="medium">
        <color indexed="64"/>
      </left>
      <right/>
      <top style="thick">
        <color theme="9"/>
      </top>
      <bottom/>
      <diagonal/>
    </border>
    <border>
      <left/>
      <right style="medium">
        <color indexed="64"/>
      </right>
      <top style="thick">
        <color theme="9"/>
      </top>
      <bottom/>
      <diagonal/>
    </border>
    <border>
      <left style="medium">
        <color indexed="64"/>
      </left>
      <right/>
      <top style="thick">
        <color theme="9"/>
      </top>
      <bottom style="medium">
        <color indexed="64"/>
      </bottom>
      <diagonal/>
    </border>
    <border>
      <left/>
      <right/>
      <top style="thick">
        <color theme="9"/>
      </top>
      <bottom style="medium">
        <color indexed="64"/>
      </bottom>
      <diagonal/>
    </border>
    <border>
      <left/>
      <right style="medium">
        <color indexed="64"/>
      </right>
      <top style="thick">
        <color theme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9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5" fillId="0" borderId="0" xfId="4" applyFont="1" applyFill="1" applyBorder="1" applyAlignment="1" applyProtection="1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165" fontId="7" fillId="0" borderId="6" xfId="1" applyNumberFormat="1" applyFont="1" applyFill="1" applyBorder="1" applyAlignment="1">
      <alignment horizontal="right" vertical="center"/>
    </xf>
    <xf numFmtId="0" fontId="7" fillId="0" borderId="9" xfId="0" applyFont="1" applyBorder="1" applyAlignment="1">
      <alignment horizontal="center" vertical="center"/>
    </xf>
    <xf numFmtId="44" fontId="7" fillId="0" borderId="4" xfId="2" applyFont="1" applyBorder="1" applyAlignment="1">
      <alignment horizontal="right" vertical="center"/>
    </xf>
    <xf numFmtId="44" fontId="7" fillId="0" borderId="8" xfId="2" applyFont="1" applyBorder="1" applyAlignment="1">
      <alignment horizontal="right" vertical="center"/>
    </xf>
    <xf numFmtId="44" fontId="7" fillId="0" borderId="0" xfId="2" applyFont="1" applyFill="1" applyBorder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0" fontId="7" fillId="0" borderId="0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1" applyNumberFormat="1" applyFont="1" applyBorder="1" applyAlignment="1">
      <alignment vertical="center" wrapText="1"/>
    </xf>
    <xf numFmtId="14" fontId="4" fillId="0" borderId="0" xfId="0" applyNumberFormat="1" applyFont="1" applyAlignment="1">
      <alignment horizontal="center" vertical="center"/>
    </xf>
    <xf numFmtId="0" fontId="9" fillId="0" borderId="2" xfId="1" applyNumberFormat="1" applyFont="1" applyBorder="1" applyAlignment="1">
      <alignment vertical="center"/>
    </xf>
    <xf numFmtId="0" fontId="9" fillId="0" borderId="5" xfId="1" applyNumberFormat="1" applyFont="1" applyBorder="1" applyAlignment="1">
      <alignment vertical="center"/>
    </xf>
    <xf numFmtId="0" fontId="9" fillId="0" borderId="5" xfId="1" applyNumberFormat="1" applyFont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/>
    </xf>
    <xf numFmtId="44" fontId="7" fillId="0" borderId="6" xfId="2" applyFont="1" applyBorder="1" applyAlignment="1">
      <alignment horizontal="right" vertical="center"/>
    </xf>
    <xf numFmtId="17" fontId="11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center" vertical="center"/>
    </xf>
    <xf numFmtId="165" fontId="7" fillId="0" borderId="6" xfId="2" applyNumberFormat="1" applyFont="1" applyBorder="1" applyAlignment="1">
      <alignment horizontal="right" vertical="center"/>
    </xf>
    <xf numFmtId="44" fontId="7" fillId="0" borderId="6" xfId="2" applyFont="1" applyFill="1" applyBorder="1" applyAlignment="1">
      <alignment horizontal="right" vertical="center"/>
    </xf>
    <xf numFmtId="44" fontId="9" fillId="2" borderId="6" xfId="2" applyFont="1" applyFill="1" applyBorder="1" applyAlignment="1">
      <alignment vertical="center"/>
    </xf>
    <xf numFmtId="14" fontId="11" fillId="0" borderId="18" xfId="0" applyNumberFormat="1" applyFont="1" applyBorder="1" applyAlignment="1">
      <alignment vertical="center" wrapText="1"/>
    </xf>
    <xf numFmtId="14" fontId="11" fillId="0" borderId="19" xfId="0" applyNumberFormat="1" applyFont="1" applyBorder="1" applyAlignment="1">
      <alignment vertical="center" wrapText="1"/>
    </xf>
    <xf numFmtId="14" fontId="4" fillId="0" borderId="22" xfId="0" applyNumberFormat="1" applyFont="1" applyBorder="1" applyAlignment="1">
      <alignment vertical="center" wrapText="1"/>
    </xf>
    <xf numFmtId="14" fontId="11" fillId="0" borderId="23" xfId="0" applyNumberFormat="1" applyFont="1" applyBorder="1" applyAlignment="1">
      <alignment vertical="center" wrapText="1"/>
    </xf>
    <xf numFmtId="0" fontId="7" fillId="0" borderId="22" xfId="0" applyFont="1" applyBorder="1" applyAlignment="1">
      <alignment vertical="center"/>
    </xf>
    <xf numFmtId="14" fontId="13" fillId="0" borderId="22" xfId="0" applyNumberFormat="1" applyFont="1" applyBorder="1" applyAlignment="1">
      <alignment vertical="center" wrapText="1"/>
    </xf>
    <xf numFmtId="14" fontId="11" fillId="0" borderId="22" xfId="0" applyNumberFormat="1" applyFont="1" applyBorder="1" applyAlignment="1">
      <alignment vertical="center" wrapText="1"/>
    </xf>
    <xf numFmtId="14" fontId="11" fillId="0" borderId="20" xfId="0" applyNumberFormat="1" applyFont="1" applyBorder="1" applyAlignment="1">
      <alignment vertical="center" wrapText="1"/>
    </xf>
    <xf numFmtId="14" fontId="11" fillId="0" borderId="21" xfId="0" applyNumberFormat="1" applyFont="1" applyBorder="1" applyAlignment="1">
      <alignment vertical="center" wrapText="1"/>
    </xf>
    <xf numFmtId="44" fontId="7" fillId="0" borderId="4" xfId="2" applyFont="1" applyFill="1" applyBorder="1" applyAlignment="1">
      <alignment horizontal="right" vertical="center"/>
    </xf>
    <xf numFmtId="0" fontId="3" fillId="0" borderId="14" xfId="4" applyBorder="1" applyAlignment="1" applyProtection="1">
      <alignment vertical="center"/>
    </xf>
    <xf numFmtId="0" fontId="7" fillId="0" borderId="9" xfId="0" applyFont="1" applyBorder="1" applyAlignment="1">
      <alignment horizontal="left" vertical="center" wrapText="1"/>
    </xf>
    <xf numFmtId="14" fontId="4" fillId="0" borderId="10" xfId="0" applyNumberFormat="1" applyFont="1" applyBorder="1" applyAlignment="1">
      <alignment vertical="center"/>
    </xf>
    <xf numFmtId="14" fontId="4" fillId="0" borderId="12" xfId="0" applyNumberFormat="1" applyFont="1" applyBorder="1" applyAlignment="1">
      <alignment vertical="center"/>
    </xf>
    <xf numFmtId="14" fontId="4" fillId="0" borderId="13" xfId="0" applyNumberFormat="1" applyFont="1" applyBorder="1" applyAlignment="1">
      <alignment vertical="center"/>
    </xf>
    <xf numFmtId="14" fontId="4" fillId="0" borderId="14" xfId="0" applyNumberFormat="1" applyFont="1" applyBorder="1" applyAlignment="1">
      <alignment vertical="center"/>
    </xf>
    <xf numFmtId="14" fontId="4" fillId="0" borderId="15" xfId="0" applyNumberFormat="1" applyFont="1" applyBorder="1" applyAlignment="1">
      <alignment vertical="center"/>
    </xf>
    <xf numFmtId="14" fontId="4" fillId="0" borderId="17" xfId="0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4" fontId="7" fillId="0" borderId="0" xfId="2" applyFont="1" applyFill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4" applyFill="1" applyBorder="1" applyAlignment="1" applyProtection="1">
      <alignment vertical="center"/>
    </xf>
    <xf numFmtId="9" fontId="9" fillId="0" borderId="0" xfId="3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wrapText="1"/>
    </xf>
    <xf numFmtId="44" fontId="4" fillId="0" borderId="0" xfId="2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44" fontId="10" fillId="2" borderId="6" xfId="2" applyFont="1" applyFill="1" applyBorder="1" applyAlignment="1">
      <alignment vertical="center"/>
    </xf>
    <xf numFmtId="10" fontId="7" fillId="0" borderId="4" xfId="3" applyNumberFormat="1" applyFont="1" applyBorder="1" applyAlignment="1">
      <alignment horizontal="center" vertical="center"/>
    </xf>
    <xf numFmtId="44" fontId="7" fillId="2" borderId="8" xfId="2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14" fontId="7" fillId="0" borderId="5" xfId="0" applyNumberFormat="1" applyFont="1" applyBorder="1" applyAlignment="1">
      <alignment horizontal="right" vertical="center"/>
    </xf>
    <xf numFmtId="14" fontId="7" fillId="0" borderId="3" xfId="0" applyNumberFormat="1" applyFont="1" applyBorder="1" applyAlignment="1">
      <alignment horizontal="right" vertical="center"/>
    </xf>
    <xf numFmtId="0" fontId="11" fillId="0" borderId="5" xfId="1" applyNumberFormat="1" applyFont="1" applyBorder="1" applyAlignment="1">
      <alignment vertical="center" wrapText="1"/>
    </xf>
    <xf numFmtId="0" fontId="11" fillId="0" borderId="5" xfId="1" applyNumberFormat="1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44" fontId="7" fillId="0" borderId="2" xfId="2" applyFont="1" applyFill="1" applyBorder="1" applyAlignment="1">
      <alignment vertical="center"/>
    </xf>
    <xf numFmtId="44" fontId="7" fillId="0" borderId="8" xfId="2" applyFont="1" applyFill="1" applyBorder="1" applyAlignment="1">
      <alignment horizontal="right" vertical="center"/>
    </xf>
    <xf numFmtId="165" fontId="7" fillId="0" borderId="6" xfId="2" applyNumberFormat="1" applyFont="1" applyFill="1" applyBorder="1" applyAlignment="1">
      <alignment horizontal="right" vertical="center"/>
    </xf>
    <xf numFmtId="14" fontId="11" fillId="0" borderId="23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 wrapText="1"/>
    </xf>
    <xf numFmtId="43" fontId="9" fillId="6" borderId="6" xfId="1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44" fontId="9" fillId="6" borderId="8" xfId="2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7" fillId="6" borderId="4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165" fontId="7" fillId="6" borderId="6" xfId="1" applyNumberFormat="1" applyFont="1" applyFill="1" applyBorder="1" applyAlignment="1">
      <alignment horizontal="right" vertical="center"/>
    </xf>
    <xf numFmtId="0" fontId="7" fillId="6" borderId="9" xfId="0" applyFont="1" applyFill="1" applyBorder="1" applyAlignment="1">
      <alignment horizontal="center" vertical="center"/>
    </xf>
    <xf numFmtId="44" fontId="7" fillId="6" borderId="4" xfId="2" applyFont="1" applyFill="1" applyBorder="1" applyAlignment="1">
      <alignment horizontal="right" vertical="center"/>
    </xf>
    <xf numFmtId="44" fontId="7" fillId="6" borderId="8" xfId="2" applyFont="1" applyFill="1" applyBorder="1" applyAlignment="1">
      <alignment horizontal="right" vertical="center"/>
    </xf>
    <xf numFmtId="44" fontId="7" fillId="6" borderId="0" xfId="2" applyFont="1" applyFill="1" applyBorder="1" applyAlignment="1">
      <alignment horizontal="right" vertical="center"/>
    </xf>
    <xf numFmtId="44" fontId="7" fillId="6" borderId="6" xfId="2" applyFont="1" applyFill="1" applyBorder="1" applyAlignment="1">
      <alignment horizontal="right" vertical="center"/>
    </xf>
    <xf numFmtId="165" fontId="7" fillId="6" borderId="6" xfId="2" applyNumberFormat="1" applyFont="1" applyFill="1" applyBorder="1" applyAlignment="1">
      <alignment horizontal="right" vertical="center"/>
    </xf>
    <xf numFmtId="0" fontId="3" fillId="0" borderId="0" xfId="4" applyBorder="1" applyAlignment="1" applyProtection="1">
      <alignment vertical="center"/>
    </xf>
    <xf numFmtId="0" fontId="0" fillId="0" borderId="0" xfId="0" applyAlignment="1">
      <alignment vertical="center"/>
    </xf>
    <xf numFmtId="0" fontId="18" fillId="0" borderId="0" xfId="0" applyFont="1"/>
    <xf numFmtId="0" fontId="4" fillId="0" borderId="6" xfId="0" applyFont="1" applyBorder="1" applyAlignment="1">
      <alignment horizontal="left" vertical="center"/>
    </xf>
    <xf numFmtId="0" fontId="24" fillId="0" borderId="6" xfId="4" applyFont="1" applyFill="1" applyBorder="1" applyAlignment="1" applyProtection="1">
      <alignment horizontal="left" vertical="center"/>
    </xf>
    <xf numFmtId="0" fontId="24" fillId="0" borderId="6" xfId="4" applyFont="1" applyFill="1" applyBorder="1" applyAlignment="1" applyProtection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25" fillId="0" borderId="6" xfId="4" applyFont="1" applyFill="1" applyBorder="1" applyAlignment="1" applyProtection="1">
      <alignment horizontal="left" vertical="center"/>
    </xf>
    <xf numFmtId="0" fontId="24" fillId="0" borderId="6" xfId="4" applyFont="1" applyFill="1" applyBorder="1" applyAlignment="1" applyProtection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8" xfId="4" applyFont="1" applyFill="1" applyBorder="1" applyAlignment="1" applyProtection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4" applyFont="1" applyFill="1" applyBorder="1" applyAlignment="1" applyProtection="1">
      <alignment horizontal="left" vertical="center"/>
    </xf>
    <xf numFmtId="0" fontId="0" fillId="0" borderId="6" xfId="0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23" fillId="0" borderId="6" xfId="0" applyFont="1" applyBorder="1"/>
    <xf numFmtId="0" fontId="23" fillId="0" borderId="0" xfId="0" applyFont="1"/>
    <xf numFmtId="0" fontId="19" fillId="6" borderId="6" xfId="0" applyFont="1" applyFill="1" applyBorder="1" applyAlignment="1">
      <alignment horizontal="center" vertical="center" wrapText="1"/>
    </xf>
    <xf numFmtId="0" fontId="0" fillId="0" borderId="13" xfId="0" applyBorder="1"/>
    <xf numFmtId="0" fontId="13" fillId="6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41" xfId="0" applyBorder="1"/>
    <xf numFmtId="0" fontId="0" fillId="0" borderId="15" xfId="0" applyBorder="1"/>
    <xf numFmtId="0" fontId="0" fillId="0" borderId="16" xfId="0" applyBorder="1" applyAlignment="1">
      <alignment vertical="center"/>
    </xf>
    <xf numFmtId="0" fontId="23" fillId="0" borderId="16" xfId="0" applyFont="1" applyBorder="1"/>
    <xf numFmtId="0" fontId="0" fillId="0" borderId="16" xfId="0" applyBorder="1"/>
    <xf numFmtId="0" fontId="0" fillId="0" borderId="17" xfId="0" applyBorder="1"/>
    <xf numFmtId="0" fontId="21" fillId="0" borderId="44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21" fillId="0" borderId="46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0" borderId="6" xfId="4" applyBorder="1" applyAlignment="1" applyProtection="1">
      <alignment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4" fillId="0" borderId="48" xfId="4" applyFont="1" applyFill="1" applyBorder="1" applyAlignment="1" applyProtection="1">
      <alignment horizontal="left" vertical="center"/>
    </xf>
    <xf numFmtId="0" fontId="4" fillId="0" borderId="49" xfId="4" applyFont="1" applyFill="1" applyBorder="1" applyAlignment="1" applyProtection="1">
      <alignment horizontal="left" vertical="center"/>
    </xf>
    <xf numFmtId="0" fontId="3" fillId="0" borderId="38" xfId="4" applyBorder="1" applyAlignment="1" applyProtection="1">
      <alignment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43" fontId="7" fillId="0" borderId="8" xfId="2" applyNumberFormat="1" applyFont="1" applyFill="1" applyBorder="1" applyAlignment="1">
      <alignment horizontal="right" vertical="center"/>
    </xf>
    <xf numFmtId="0" fontId="3" fillId="0" borderId="48" xfId="4" applyFill="1" applyBorder="1" applyAlignment="1" applyProtection="1">
      <alignment horizontal="left" vertical="center"/>
    </xf>
    <xf numFmtId="44" fontId="0" fillId="0" borderId="0" xfId="2" applyFont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44" fontId="23" fillId="11" borderId="8" xfId="2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44" fontId="23" fillId="7" borderId="8" xfId="2" applyFont="1" applyFill="1" applyBorder="1" applyAlignment="1">
      <alignment horizontal="center" vertical="center"/>
    </xf>
    <xf numFmtId="44" fontId="23" fillId="8" borderId="8" xfId="2" applyFont="1" applyFill="1" applyBorder="1" applyAlignment="1">
      <alignment horizontal="center" vertical="center"/>
    </xf>
    <xf numFmtId="44" fontId="23" fillId="9" borderId="8" xfId="2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44" fontId="23" fillId="7" borderId="63" xfId="2" applyFont="1" applyFill="1" applyBorder="1" applyAlignment="1">
      <alignment horizontal="center" vertical="center"/>
    </xf>
    <xf numFmtId="44" fontId="0" fillId="0" borderId="0" xfId="0" applyNumberFormat="1"/>
    <xf numFmtId="168" fontId="0" fillId="0" borderId="0" xfId="0" applyNumberFormat="1"/>
    <xf numFmtId="44" fontId="23" fillId="11" borderId="9" xfId="2" applyFont="1" applyFill="1" applyBorder="1" applyAlignment="1">
      <alignment horizontal="center" vertical="center"/>
    </xf>
    <xf numFmtId="9" fontId="23" fillId="0" borderId="6" xfId="0" applyNumberFormat="1" applyFont="1" applyBorder="1" applyAlignment="1">
      <alignment horizontal="center" vertical="center"/>
    </xf>
    <xf numFmtId="44" fontId="23" fillId="0" borderId="8" xfId="0" applyNumberFormat="1" applyFont="1" applyBorder="1" applyAlignment="1">
      <alignment horizontal="center" vertical="center"/>
    </xf>
    <xf numFmtId="9" fontId="23" fillId="0" borderId="38" xfId="0" applyNumberFormat="1" applyFont="1" applyBorder="1" applyAlignment="1">
      <alignment horizontal="center" vertical="center"/>
    </xf>
    <xf numFmtId="44" fontId="23" fillId="0" borderId="39" xfId="0" applyNumberFormat="1" applyFont="1" applyBorder="1" applyAlignment="1">
      <alignment horizontal="center" vertical="center"/>
    </xf>
    <xf numFmtId="44" fontId="23" fillId="0" borderId="9" xfId="2" applyFont="1" applyFill="1" applyBorder="1" applyAlignment="1">
      <alignment horizontal="center" vertical="center"/>
    </xf>
    <xf numFmtId="44" fontId="23" fillId="0" borderId="18" xfId="2" applyFont="1" applyFill="1" applyBorder="1" applyAlignment="1">
      <alignment horizontal="center" vertical="center"/>
    </xf>
    <xf numFmtId="0" fontId="23" fillId="11" borderId="47" xfId="0" applyFont="1" applyFill="1" applyBorder="1" applyAlignment="1">
      <alignment horizontal="center" vertical="center"/>
    </xf>
    <xf numFmtId="0" fontId="23" fillId="11" borderId="48" xfId="0" applyFont="1" applyFill="1" applyBorder="1" applyAlignment="1">
      <alignment horizontal="center" vertical="center"/>
    </xf>
    <xf numFmtId="0" fontId="23" fillId="11" borderId="49" xfId="0" applyFont="1" applyFill="1" applyBorder="1" applyAlignment="1">
      <alignment horizontal="center" vertical="center"/>
    </xf>
    <xf numFmtId="9" fontId="26" fillId="0" borderId="4" xfId="3" applyFont="1" applyBorder="1" applyAlignment="1">
      <alignment horizontal="center" vertical="center"/>
    </xf>
    <xf numFmtId="165" fontId="7" fillId="5" borderId="6" xfId="1" applyNumberFormat="1" applyFont="1" applyFill="1" applyBorder="1" applyAlignment="1">
      <alignment horizontal="right" vertical="center"/>
    </xf>
    <xf numFmtId="0" fontId="23" fillId="0" borderId="32" xfId="0" applyFont="1" applyBorder="1" applyAlignment="1">
      <alignment horizontal="center" vertical="center"/>
    </xf>
    <xf numFmtId="44" fontId="23" fillId="0" borderId="53" xfId="0" applyNumberFormat="1" applyFont="1" applyBorder="1" applyAlignment="1">
      <alignment vertical="center" wrapText="1"/>
    </xf>
    <xf numFmtId="0" fontId="23" fillId="0" borderId="53" xfId="0" applyFont="1" applyBorder="1" applyAlignment="1">
      <alignment vertical="center" wrapText="1"/>
    </xf>
    <xf numFmtId="44" fontId="26" fillId="0" borderId="8" xfId="0" applyNumberFormat="1" applyFont="1" applyBorder="1" applyAlignment="1">
      <alignment horizontal="center" vertical="center"/>
    </xf>
    <xf numFmtId="44" fontId="7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center" vertical="center"/>
    </xf>
    <xf numFmtId="0" fontId="23" fillId="11" borderId="7" xfId="0" applyFont="1" applyFill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44" fontId="23" fillId="0" borderId="58" xfId="0" applyNumberFormat="1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10" borderId="56" xfId="0" applyFont="1" applyFill="1" applyBorder="1" applyAlignment="1">
      <alignment horizontal="center"/>
    </xf>
    <xf numFmtId="0" fontId="23" fillId="10" borderId="57" xfId="0" applyFont="1" applyFill="1" applyBorder="1" applyAlignment="1">
      <alignment horizontal="center"/>
    </xf>
    <xf numFmtId="0" fontId="23" fillId="10" borderId="58" xfId="0" applyFont="1" applyFill="1" applyBorder="1" applyAlignment="1">
      <alignment horizontal="center"/>
    </xf>
    <xf numFmtId="0" fontId="23" fillId="0" borderId="56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23" fillId="0" borderId="58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5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44" fontId="23" fillId="0" borderId="53" xfId="0" applyNumberFormat="1" applyFont="1" applyBorder="1" applyAlignment="1">
      <alignment horizontal="center" vertical="center"/>
    </xf>
    <xf numFmtId="44" fontId="23" fillId="0" borderId="29" xfId="0" applyNumberFormat="1" applyFont="1" applyBorder="1" applyAlignment="1">
      <alignment horizontal="center" vertical="center"/>
    </xf>
    <xf numFmtId="44" fontId="23" fillId="0" borderId="32" xfId="0" applyNumberFormat="1" applyFont="1" applyBorder="1" applyAlignment="1">
      <alignment horizontal="center" vertical="center"/>
    </xf>
    <xf numFmtId="0" fontId="23" fillId="10" borderId="47" xfId="0" applyFont="1" applyFill="1" applyBorder="1" applyAlignment="1">
      <alignment horizontal="center"/>
    </xf>
    <xf numFmtId="0" fontId="23" fillId="10" borderId="52" xfId="0" applyFont="1" applyFill="1" applyBorder="1" applyAlignment="1">
      <alignment horizontal="center"/>
    </xf>
    <xf numFmtId="0" fontId="23" fillId="10" borderId="48" xfId="0" applyFont="1" applyFill="1" applyBorder="1" applyAlignment="1">
      <alignment horizontal="center"/>
    </xf>
    <xf numFmtId="0" fontId="23" fillId="10" borderId="54" xfId="0" applyFont="1" applyFill="1" applyBorder="1" applyAlignment="1">
      <alignment horizontal="center"/>
    </xf>
    <xf numFmtId="0" fontId="23" fillId="10" borderId="49" xfId="0" applyFont="1" applyFill="1" applyBorder="1" applyAlignment="1">
      <alignment horizontal="center"/>
    </xf>
    <xf numFmtId="0" fontId="23" fillId="7" borderId="35" xfId="0" applyFont="1" applyFill="1" applyBorder="1" applyAlignment="1">
      <alignment horizontal="center"/>
    </xf>
    <xf numFmtId="0" fontId="23" fillId="7" borderId="59" xfId="0" applyFont="1" applyFill="1" applyBorder="1" applyAlignment="1">
      <alignment horizontal="center"/>
    </xf>
    <xf numFmtId="0" fontId="23" fillId="7" borderId="36" xfId="0" applyFont="1" applyFill="1" applyBorder="1" applyAlignment="1">
      <alignment horizontal="center"/>
    </xf>
    <xf numFmtId="0" fontId="23" fillId="8" borderId="2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23" fillId="9" borderId="60" xfId="0" applyFont="1" applyFill="1" applyBorder="1" applyAlignment="1">
      <alignment horizontal="center" wrapText="1"/>
    </xf>
    <xf numFmtId="0" fontId="23" fillId="9" borderId="61" xfId="0" applyFont="1" applyFill="1" applyBorder="1" applyAlignment="1">
      <alignment horizontal="center" wrapText="1"/>
    </xf>
    <xf numFmtId="0" fontId="23" fillId="9" borderId="62" xfId="0" applyFont="1" applyFill="1" applyBorder="1" applyAlignment="1">
      <alignment horizontal="center" wrapText="1"/>
    </xf>
    <xf numFmtId="0" fontId="23" fillId="0" borderId="64" xfId="0" applyFont="1" applyBorder="1" applyAlignment="1">
      <alignment horizontal="center"/>
    </xf>
    <xf numFmtId="0" fontId="23" fillId="0" borderId="65" xfId="0" applyFont="1" applyBorder="1" applyAlignment="1">
      <alignment horizontal="center"/>
    </xf>
    <xf numFmtId="44" fontId="4" fillId="0" borderId="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4" fontId="4" fillId="0" borderId="4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4" fontId="13" fillId="2" borderId="4" xfId="0" applyNumberFormat="1" applyFont="1" applyFill="1" applyBorder="1" applyAlignment="1">
      <alignment horizontal="center" vertical="center"/>
    </xf>
    <xf numFmtId="14" fontId="13" fillId="2" borderId="8" xfId="0" applyNumberFormat="1" applyFont="1" applyFill="1" applyBorder="1" applyAlignment="1">
      <alignment horizontal="center" vertical="center"/>
    </xf>
    <xf numFmtId="44" fontId="7" fillId="0" borderId="10" xfId="2" applyFont="1" applyFill="1" applyBorder="1" applyAlignment="1">
      <alignment horizontal="center" vertical="center" wrapText="1"/>
    </xf>
    <xf numFmtId="44" fontId="7" fillId="0" borderId="12" xfId="2" applyFont="1" applyFill="1" applyBorder="1" applyAlignment="1">
      <alignment horizontal="center" vertical="center" wrapText="1"/>
    </xf>
    <xf numFmtId="44" fontId="7" fillId="0" borderId="13" xfId="2" applyFont="1" applyFill="1" applyBorder="1" applyAlignment="1">
      <alignment horizontal="center" vertical="center" wrapText="1"/>
    </xf>
    <xf numFmtId="44" fontId="7" fillId="0" borderId="14" xfId="2" applyFont="1" applyFill="1" applyBorder="1" applyAlignment="1">
      <alignment horizontal="center" vertical="center" wrapText="1"/>
    </xf>
    <xf numFmtId="44" fontId="7" fillId="0" borderId="50" xfId="2" applyFont="1" applyFill="1" applyBorder="1" applyAlignment="1">
      <alignment horizontal="center" vertical="center" wrapText="1"/>
    </xf>
    <xf numFmtId="44" fontId="7" fillId="0" borderId="51" xfId="2" applyFont="1" applyFill="1" applyBorder="1" applyAlignment="1">
      <alignment horizontal="center" vertical="center" wrapText="1"/>
    </xf>
    <xf numFmtId="44" fontId="7" fillId="0" borderId="10" xfId="2" applyFont="1" applyBorder="1" applyAlignment="1">
      <alignment horizontal="center" vertical="center" wrapText="1"/>
    </xf>
    <xf numFmtId="44" fontId="7" fillId="0" borderId="12" xfId="2" applyFont="1" applyBorder="1" applyAlignment="1">
      <alignment horizontal="center" vertical="center" wrapText="1"/>
    </xf>
    <xf numFmtId="44" fontId="7" fillId="0" borderId="13" xfId="2" applyFont="1" applyBorder="1" applyAlignment="1">
      <alignment horizontal="center" vertical="center" wrapText="1"/>
    </xf>
    <xf numFmtId="44" fontId="7" fillId="0" borderId="14" xfId="2" applyFont="1" applyBorder="1" applyAlignment="1">
      <alignment horizontal="center" vertical="center" wrapText="1"/>
    </xf>
    <xf numFmtId="44" fontId="7" fillId="0" borderId="50" xfId="2" applyFont="1" applyBorder="1" applyAlignment="1">
      <alignment horizontal="center" vertical="center" wrapText="1"/>
    </xf>
    <xf numFmtId="44" fontId="7" fillId="0" borderId="51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center" vertical="center"/>
    </xf>
    <xf numFmtId="10" fontId="10" fillId="2" borderId="2" xfId="3" applyNumberFormat="1" applyFont="1" applyFill="1" applyBorder="1" applyAlignment="1">
      <alignment horizontal="center" vertical="center"/>
    </xf>
    <xf numFmtId="10" fontId="10" fillId="2" borderId="3" xfId="3" applyNumberFormat="1" applyFont="1" applyFill="1" applyBorder="1" applyAlignment="1">
      <alignment horizontal="center" vertical="center"/>
    </xf>
    <xf numFmtId="10" fontId="7" fillId="2" borderId="4" xfId="3" applyNumberFormat="1" applyFont="1" applyFill="1" applyBorder="1" applyAlignment="1">
      <alignment horizontal="center" vertical="center"/>
    </xf>
    <xf numFmtId="10" fontId="7" fillId="2" borderId="8" xfId="3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14" fontId="9" fillId="2" borderId="28" xfId="0" applyNumberFormat="1" applyFont="1" applyFill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43" fontId="9" fillId="2" borderId="6" xfId="1" applyFont="1" applyFill="1" applyBorder="1" applyAlignment="1">
      <alignment horizontal="center" vertical="center" wrapText="1"/>
    </xf>
    <xf numFmtId="43" fontId="9" fillId="2" borderId="6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44" fontId="7" fillId="0" borderId="9" xfId="2" applyFont="1" applyFill="1" applyBorder="1" applyAlignment="1">
      <alignment horizontal="center" vertical="center"/>
    </xf>
    <xf numFmtId="44" fontId="7" fillId="0" borderId="7" xfId="2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44" fontId="7" fillId="0" borderId="2" xfId="2" applyFont="1" applyFill="1" applyBorder="1" applyAlignment="1">
      <alignment horizontal="center" vertical="center"/>
    </xf>
    <xf numFmtId="44" fontId="7" fillId="0" borderId="3" xfId="2" applyFont="1" applyFill="1" applyBorder="1" applyAlignment="1">
      <alignment horizontal="center" vertical="center"/>
    </xf>
    <xf numFmtId="44" fontId="7" fillId="0" borderId="10" xfId="2" applyFont="1" applyFill="1" applyBorder="1" applyAlignment="1">
      <alignment horizontal="center" vertical="center"/>
    </xf>
    <xf numFmtId="44" fontId="7" fillId="0" borderId="12" xfId="2" applyFont="1" applyFill="1" applyBorder="1" applyAlignment="1">
      <alignment horizontal="center" vertical="center"/>
    </xf>
    <xf numFmtId="44" fontId="7" fillId="0" borderId="13" xfId="2" applyFont="1" applyFill="1" applyBorder="1" applyAlignment="1">
      <alignment horizontal="center" vertical="center"/>
    </xf>
    <xf numFmtId="44" fontId="7" fillId="0" borderId="14" xfId="2" applyFont="1" applyFill="1" applyBorder="1" applyAlignment="1">
      <alignment horizontal="center" vertical="center"/>
    </xf>
    <xf numFmtId="44" fontId="7" fillId="0" borderId="50" xfId="2" applyFont="1" applyFill="1" applyBorder="1" applyAlignment="1">
      <alignment horizontal="center" vertical="center"/>
    </xf>
    <xf numFmtId="44" fontId="7" fillId="0" borderId="51" xfId="2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44" fontId="11" fillId="0" borderId="10" xfId="2" applyFont="1" applyFill="1" applyBorder="1" applyAlignment="1">
      <alignment horizontal="center" vertical="center" wrapText="1"/>
    </xf>
    <xf numFmtId="44" fontId="11" fillId="0" borderId="12" xfId="2" applyFont="1" applyFill="1" applyBorder="1" applyAlignment="1">
      <alignment horizontal="center" vertical="center" wrapText="1"/>
    </xf>
    <xf numFmtId="44" fontId="11" fillId="0" borderId="13" xfId="2" applyFont="1" applyFill="1" applyBorder="1" applyAlignment="1">
      <alignment horizontal="center" vertical="center" wrapText="1"/>
    </xf>
    <xf numFmtId="44" fontId="11" fillId="0" borderId="14" xfId="2" applyFont="1" applyFill="1" applyBorder="1" applyAlignment="1">
      <alignment horizontal="center" vertical="center" wrapText="1"/>
    </xf>
    <xf numFmtId="44" fontId="11" fillId="0" borderId="50" xfId="2" applyFont="1" applyFill="1" applyBorder="1" applyAlignment="1">
      <alignment horizontal="center" vertical="center" wrapText="1"/>
    </xf>
    <xf numFmtId="44" fontId="11" fillId="0" borderId="51" xfId="2" applyFont="1" applyFill="1" applyBorder="1" applyAlignment="1">
      <alignment horizontal="center" vertical="center" wrapText="1"/>
    </xf>
    <xf numFmtId="44" fontId="11" fillId="0" borderId="10" xfId="2" applyFont="1" applyBorder="1" applyAlignment="1">
      <alignment horizontal="center" vertical="center" wrapText="1"/>
    </xf>
    <xf numFmtId="44" fontId="11" fillId="0" borderId="12" xfId="2" applyFont="1" applyBorder="1" applyAlignment="1">
      <alignment horizontal="center" vertical="center" wrapText="1"/>
    </xf>
    <xf numFmtId="44" fontId="11" fillId="0" borderId="13" xfId="2" applyFont="1" applyBorder="1" applyAlignment="1">
      <alignment horizontal="center" vertical="center" wrapText="1"/>
    </xf>
    <xf numFmtId="44" fontId="11" fillId="0" borderId="14" xfId="2" applyFont="1" applyBorder="1" applyAlignment="1">
      <alignment horizontal="center" vertical="center" wrapText="1"/>
    </xf>
    <xf numFmtId="44" fontId="11" fillId="0" borderId="50" xfId="2" applyFont="1" applyBorder="1" applyAlignment="1">
      <alignment horizontal="center" vertical="center" wrapText="1"/>
    </xf>
    <xf numFmtId="44" fontId="11" fillId="0" borderId="51" xfId="2" applyFont="1" applyBorder="1" applyAlignment="1">
      <alignment horizontal="center" vertical="center" wrapText="1"/>
    </xf>
    <xf numFmtId="164" fontId="9" fillId="2" borderId="9" xfId="0" applyNumberFormat="1" applyFont="1" applyFill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0" fontId="7" fillId="2" borderId="6" xfId="3" applyNumberFormat="1" applyFont="1" applyFill="1" applyBorder="1" applyAlignment="1">
      <alignment horizontal="center" vertical="center"/>
    </xf>
    <xf numFmtId="10" fontId="7" fillId="2" borderId="9" xfId="3" applyNumberFormat="1" applyFont="1" applyFill="1" applyBorder="1" applyAlignment="1">
      <alignment horizontal="center" vertical="center"/>
    </xf>
    <xf numFmtId="10" fontId="7" fillId="2" borderId="7" xfId="3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14" fontId="7" fillId="0" borderId="9" xfId="0" applyNumberFormat="1" applyFont="1" applyBorder="1" applyAlignment="1">
      <alignment horizontal="right" vertical="center"/>
    </xf>
    <xf numFmtId="14" fontId="7" fillId="0" borderId="5" xfId="0" applyNumberFormat="1" applyFont="1" applyBorder="1" applyAlignment="1">
      <alignment horizontal="right" vertical="center"/>
    </xf>
    <xf numFmtId="14" fontId="7" fillId="0" borderId="3" xfId="0" applyNumberFormat="1" applyFont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right" vertical="center"/>
    </xf>
    <xf numFmtId="44" fontId="11" fillId="3" borderId="6" xfId="2" applyFont="1" applyFill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 wrapText="1"/>
    </xf>
    <xf numFmtId="167" fontId="4" fillId="0" borderId="8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7" fillId="0" borderId="13" xfId="1" applyNumberFormat="1" applyFont="1" applyBorder="1" applyAlignment="1">
      <alignment horizontal="left" vertical="center" wrapText="1"/>
    </xf>
    <xf numFmtId="0" fontId="7" fillId="0" borderId="0" xfId="1" applyNumberFormat="1" applyFont="1" applyBorder="1" applyAlignment="1">
      <alignment horizontal="left" vertical="center" wrapText="1"/>
    </xf>
    <xf numFmtId="0" fontId="7" fillId="0" borderId="14" xfId="1" applyNumberFormat="1" applyFont="1" applyBorder="1" applyAlignment="1">
      <alignment horizontal="left" vertical="center" wrapText="1"/>
    </xf>
    <xf numFmtId="0" fontId="7" fillId="0" borderId="15" xfId="1" applyNumberFormat="1" applyFont="1" applyBorder="1" applyAlignment="1">
      <alignment horizontal="left" vertical="center" wrapText="1"/>
    </xf>
    <xf numFmtId="0" fontId="7" fillId="0" borderId="16" xfId="1" applyNumberFormat="1" applyFont="1" applyBorder="1" applyAlignment="1">
      <alignment horizontal="left" vertical="center" wrapText="1"/>
    </xf>
    <xf numFmtId="0" fontId="7" fillId="0" borderId="17" xfId="1" applyNumberFormat="1" applyFont="1" applyBorder="1" applyAlignment="1">
      <alignment horizontal="left"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0" fontId="9" fillId="0" borderId="10" xfId="1" applyNumberFormat="1" applyFont="1" applyBorder="1" applyAlignment="1">
      <alignment horizontal="left" vertical="center"/>
    </xf>
    <xf numFmtId="0" fontId="9" fillId="0" borderId="11" xfId="1" applyNumberFormat="1" applyFont="1" applyBorder="1" applyAlignment="1">
      <alignment horizontal="left" vertical="center"/>
    </xf>
    <xf numFmtId="0" fontId="9" fillId="0" borderId="12" xfId="1" applyNumberFormat="1" applyFont="1" applyBorder="1" applyAlignment="1">
      <alignment horizontal="left" vertical="center"/>
    </xf>
    <xf numFmtId="43" fontId="9" fillId="2" borderId="4" xfId="1" applyFont="1" applyFill="1" applyBorder="1" applyAlignment="1">
      <alignment horizontal="center" vertical="center"/>
    </xf>
    <xf numFmtId="43" fontId="9" fillId="2" borderId="9" xfId="1" applyFont="1" applyFill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44" fontId="7" fillId="0" borderId="2" xfId="2" applyFont="1" applyBorder="1" applyAlignment="1">
      <alignment horizontal="center" vertical="center"/>
    </xf>
    <xf numFmtId="44" fontId="7" fillId="0" borderId="3" xfId="2" applyFont="1" applyBorder="1" applyAlignment="1">
      <alignment horizontal="center" vertical="center"/>
    </xf>
    <xf numFmtId="44" fontId="7" fillId="0" borderId="2" xfId="2" applyFont="1" applyBorder="1" applyAlignment="1">
      <alignment horizontal="center" vertical="center" wrapText="1"/>
    </xf>
    <xf numFmtId="44" fontId="7" fillId="0" borderId="3" xfId="2" applyFont="1" applyBorder="1" applyAlignment="1">
      <alignment horizontal="center" vertical="center" wrapText="1"/>
    </xf>
    <xf numFmtId="44" fontId="7" fillId="0" borderId="2" xfId="2" applyFont="1" applyFill="1" applyBorder="1" applyAlignment="1">
      <alignment horizontal="center" vertical="center" wrapText="1"/>
    </xf>
    <xf numFmtId="44" fontId="7" fillId="0" borderId="3" xfId="2" applyFont="1" applyFill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23" fillId="10" borderId="13" xfId="0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0" borderId="53" xfId="0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44" fontId="23" fillId="0" borderId="53" xfId="0" applyNumberFormat="1" applyFont="1" applyBorder="1" applyAlignment="1">
      <alignment horizontal="center" vertical="center" wrapText="1"/>
    </xf>
    <xf numFmtId="44" fontId="23" fillId="0" borderId="66" xfId="0" applyNumberFormat="1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</cellXfs>
  <cellStyles count="11">
    <cellStyle name="Hiperlink" xfId="4" builtinId="8"/>
    <cellStyle name="Moeda" xfId="2" builtinId="4"/>
    <cellStyle name="Moeda 2" xfId="8" xr:uid="{E2591998-1A94-4233-B526-143B01D6BA79}"/>
    <cellStyle name="Moeda 3" xfId="10" xr:uid="{ECF3490E-5405-4317-AA00-D66F06E4AAF4}"/>
    <cellStyle name="Normal" xfId="0" builtinId="0"/>
    <cellStyle name="Normal 2" xfId="6" xr:uid="{3B3ECF46-8555-44EC-BEB6-12A817303466}"/>
    <cellStyle name="Normal 5" xfId="5" xr:uid="{54478FC1-389F-422B-9A6F-866DEB70491E}"/>
    <cellStyle name="Porcentagem" xfId="3" builtinId="5"/>
    <cellStyle name="Vírgula" xfId="1" builtinId="3"/>
    <cellStyle name="Vírgula 2" xfId="7" xr:uid="{19F9D14F-1D44-41E1-9CEE-7731D71A783D}"/>
    <cellStyle name="Vírgula 3" xfId="9" xr:uid="{3417313A-A123-42F9-A629-3B9780646665}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E1491F"/>
      <color rgb="FFCCFFCC"/>
      <color rgb="FF99FF33"/>
      <color rgb="FFFFFFFF"/>
      <color rgb="FF99FF99"/>
      <color rgb="FF66FF66"/>
      <color rgb="FFFFBDBD"/>
      <color rgb="FFFFC5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111760</xdr:colOff>
      <xdr:row>0</xdr:row>
      <xdr:rowOff>182880</xdr:rowOff>
    </xdr:from>
    <xdr:to>
      <xdr:col>1</xdr:col>
      <xdr:colOff>2154348</xdr:colOff>
      <xdr:row>3</xdr:row>
      <xdr:rowOff>358140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7AB977F-69CD-4D8B-8DA3-E0FEB60CFD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656"/>
        <a:stretch/>
      </xdr:blipFill>
      <xdr:spPr>
        <a:xfrm>
          <a:off x="111760" y="182880"/>
          <a:ext cx="2522648" cy="782320"/>
        </a:xfrm>
        <a:prstGeom prst="rect">
          <a:avLst/>
        </a:prstGeom>
      </xdr:spPr>
    </xdr:pic>
    <xdr:clientData/>
  </xdr:twoCellAnchor>
  <xdr:twoCellAnchor>
    <xdr:from>
      <xdr:col>4</xdr:col>
      <xdr:colOff>93516</xdr:colOff>
      <xdr:row>35</xdr:row>
      <xdr:rowOff>155865</xdr:rowOff>
    </xdr:from>
    <xdr:to>
      <xdr:col>5</xdr:col>
      <xdr:colOff>2078181</xdr:colOff>
      <xdr:row>39</xdr:row>
      <xdr:rowOff>123133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87FFADF-4A22-40C6-980D-C7D2EBB06B35}"/>
            </a:ext>
          </a:extLst>
        </xdr:cNvPr>
        <xdr:cNvSpPr/>
      </xdr:nvSpPr>
      <xdr:spPr>
        <a:xfrm flipH="1">
          <a:off x="6674425" y="13871865"/>
          <a:ext cx="3144983" cy="93708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13855</xdr:colOff>
      <xdr:row>19</xdr:row>
      <xdr:rowOff>166253</xdr:rowOff>
    </xdr:from>
    <xdr:to>
      <xdr:col>10</xdr:col>
      <xdr:colOff>13854</xdr:colOff>
      <xdr:row>20</xdr:row>
      <xdr:rowOff>637308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EA03348-2626-76D1-7EEB-F6A6F8D2C998}"/>
            </a:ext>
          </a:extLst>
        </xdr:cNvPr>
        <xdr:cNvSpPr/>
      </xdr:nvSpPr>
      <xdr:spPr>
        <a:xfrm>
          <a:off x="9892146" y="7495308"/>
          <a:ext cx="3075708" cy="11360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111760</xdr:colOff>
      <xdr:row>0</xdr:row>
      <xdr:rowOff>182880</xdr:rowOff>
    </xdr:from>
    <xdr:to>
      <xdr:col>1</xdr:col>
      <xdr:colOff>2150538</xdr:colOff>
      <xdr:row>3</xdr:row>
      <xdr:rowOff>361950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0FD961-CFA3-4153-8654-750A9509F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656"/>
        <a:stretch/>
      </xdr:blipFill>
      <xdr:spPr>
        <a:xfrm>
          <a:off x="111760" y="180975"/>
          <a:ext cx="2524553" cy="781050"/>
        </a:xfrm>
        <a:prstGeom prst="rect">
          <a:avLst/>
        </a:prstGeom>
      </xdr:spPr>
    </xdr:pic>
    <xdr:clientData/>
  </xdr:twoCellAnchor>
  <xdr:twoCellAnchor>
    <xdr:from>
      <xdr:col>18</xdr:col>
      <xdr:colOff>197424</xdr:colOff>
      <xdr:row>35</xdr:row>
      <xdr:rowOff>173183</xdr:rowOff>
    </xdr:from>
    <xdr:to>
      <xdr:col>19</xdr:col>
      <xdr:colOff>1801089</xdr:colOff>
      <xdr:row>39</xdr:row>
      <xdr:rowOff>144261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94FD96A-1D41-44C0-AD66-BFEB1A27FFBE}"/>
            </a:ext>
          </a:extLst>
        </xdr:cNvPr>
        <xdr:cNvSpPr/>
      </xdr:nvSpPr>
      <xdr:spPr>
        <a:xfrm flipH="1">
          <a:off x="23784788" y="13889183"/>
          <a:ext cx="3144983" cy="94089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13855</xdr:colOff>
      <xdr:row>19</xdr:row>
      <xdr:rowOff>166253</xdr:rowOff>
    </xdr:from>
    <xdr:to>
      <xdr:col>10</xdr:col>
      <xdr:colOff>13854</xdr:colOff>
      <xdr:row>20</xdr:row>
      <xdr:rowOff>637308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FDFBCB5-3E19-40C4-AE50-056A9755F8CB}"/>
            </a:ext>
          </a:extLst>
        </xdr:cNvPr>
        <xdr:cNvSpPr/>
      </xdr:nvSpPr>
      <xdr:spPr>
        <a:xfrm>
          <a:off x="9820275" y="7532888"/>
          <a:ext cx="17664" cy="1132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111760</xdr:colOff>
      <xdr:row>0</xdr:row>
      <xdr:rowOff>182880</xdr:rowOff>
    </xdr:from>
    <xdr:to>
      <xdr:col>1</xdr:col>
      <xdr:colOff>2154348</xdr:colOff>
      <xdr:row>3</xdr:row>
      <xdr:rowOff>358140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8D2F62-4B80-4B61-8B94-6F3DD2EA97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656"/>
        <a:stretch/>
      </xdr:blipFill>
      <xdr:spPr>
        <a:xfrm>
          <a:off x="111760" y="182880"/>
          <a:ext cx="2530268" cy="769620"/>
        </a:xfrm>
        <a:prstGeom prst="rect">
          <a:avLst/>
        </a:prstGeom>
      </xdr:spPr>
    </xdr:pic>
    <xdr:clientData/>
  </xdr:twoCellAnchor>
  <xdr:twoCellAnchor>
    <xdr:from>
      <xdr:col>8</xdr:col>
      <xdr:colOff>51954</xdr:colOff>
      <xdr:row>35</xdr:row>
      <xdr:rowOff>228947</xdr:rowOff>
    </xdr:from>
    <xdr:to>
      <xdr:col>9</xdr:col>
      <xdr:colOff>2235951</xdr:colOff>
      <xdr:row>39</xdr:row>
      <xdr:rowOff>44162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51BB611-0FB8-4BEC-A1F8-B4546EA7D993}"/>
            </a:ext>
          </a:extLst>
        </xdr:cNvPr>
        <xdr:cNvSpPr/>
      </xdr:nvSpPr>
      <xdr:spPr>
        <a:xfrm flipH="1">
          <a:off x="7360227" y="14325947"/>
          <a:ext cx="3725315" cy="300124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19</xdr:row>
      <xdr:rowOff>166253</xdr:rowOff>
    </xdr:from>
    <xdr:to>
      <xdr:col>6</xdr:col>
      <xdr:colOff>13854</xdr:colOff>
      <xdr:row>20</xdr:row>
      <xdr:rowOff>637308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5D27FDB-0123-43F6-80F7-9360A0F7F099}"/>
            </a:ext>
          </a:extLst>
        </xdr:cNvPr>
        <xdr:cNvSpPr/>
      </xdr:nvSpPr>
      <xdr:spPr>
        <a:xfrm>
          <a:off x="9829800" y="7496693"/>
          <a:ext cx="0" cy="114161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  <xdr:twoCellAnchor>
    <xdr:from>
      <xdr:col>8</xdr:col>
      <xdr:colOff>0</xdr:colOff>
      <xdr:row>19</xdr:row>
      <xdr:rowOff>166253</xdr:rowOff>
    </xdr:from>
    <xdr:to>
      <xdr:col>8</xdr:col>
      <xdr:colOff>13854</xdr:colOff>
      <xdr:row>20</xdr:row>
      <xdr:rowOff>637308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8CA9292-0DB1-4859-AD89-A750F523C82E}"/>
            </a:ext>
          </a:extLst>
        </xdr:cNvPr>
        <xdr:cNvSpPr/>
      </xdr:nvSpPr>
      <xdr:spPr>
        <a:xfrm>
          <a:off x="10557164" y="7883235"/>
          <a:ext cx="13854" cy="11360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  <xdr:twoCellAnchor>
    <xdr:from>
      <xdr:col>12</xdr:col>
      <xdr:colOff>0</xdr:colOff>
      <xdr:row>19</xdr:row>
      <xdr:rowOff>166253</xdr:rowOff>
    </xdr:from>
    <xdr:to>
      <xdr:col>12</xdr:col>
      <xdr:colOff>13854</xdr:colOff>
      <xdr:row>20</xdr:row>
      <xdr:rowOff>637308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58F48A4-E519-40EA-9E56-F369F8CC5732}"/>
            </a:ext>
          </a:extLst>
        </xdr:cNvPr>
        <xdr:cNvSpPr/>
      </xdr:nvSpPr>
      <xdr:spPr>
        <a:xfrm>
          <a:off x="10557164" y="7883235"/>
          <a:ext cx="13854" cy="11360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111760</xdr:colOff>
      <xdr:row>0</xdr:row>
      <xdr:rowOff>182880</xdr:rowOff>
    </xdr:from>
    <xdr:to>
      <xdr:col>1</xdr:col>
      <xdr:colOff>2150538</xdr:colOff>
      <xdr:row>3</xdr:row>
      <xdr:rowOff>361950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45D6E7-0669-4A57-BDF1-EDD7F9392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656"/>
        <a:stretch/>
      </xdr:blipFill>
      <xdr:spPr>
        <a:xfrm>
          <a:off x="111760" y="180975"/>
          <a:ext cx="2524553" cy="781050"/>
        </a:xfrm>
        <a:prstGeom prst="rect">
          <a:avLst/>
        </a:prstGeom>
      </xdr:spPr>
    </xdr:pic>
    <xdr:clientData/>
  </xdr:twoCellAnchor>
  <xdr:twoCellAnchor>
    <xdr:from>
      <xdr:col>8</xdr:col>
      <xdr:colOff>51954</xdr:colOff>
      <xdr:row>35</xdr:row>
      <xdr:rowOff>228947</xdr:rowOff>
    </xdr:from>
    <xdr:to>
      <xdr:col>9</xdr:col>
      <xdr:colOff>2235951</xdr:colOff>
      <xdr:row>39</xdr:row>
      <xdr:rowOff>44162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3327033-847B-420F-828A-BFAF2D888952}"/>
            </a:ext>
          </a:extLst>
        </xdr:cNvPr>
        <xdr:cNvSpPr/>
      </xdr:nvSpPr>
      <xdr:spPr>
        <a:xfrm flipH="1">
          <a:off x="13952739" y="14278322"/>
          <a:ext cx="3709902" cy="80772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19</xdr:row>
      <xdr:rowOff>166253</xdr:rowOff>
    </xdr:from>
    <xdr:to>
      <xdr:col>6</xdr:col>
      <xdr:colOff>13854</xdr:colOff>
      <xdr:row>20</xdr:row>
      <xdr:rowOff>637308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208DE88-F444-4883-A8D2-FACA33B0727A}"/>
            </a:ext>
          </a:extLst>
        </xdr:cNvPr>
        <xdr:cNvSpPr/>
      </xdr:nvSpPr>
      <xdr:spPr>
        <a:xfrm>
          <a:off x="10553700" y="7923413"/>
          <a:ext cx="17664" cy="1132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  <xdr:twoCellAnchor>
    <xdr:from>
      <xdr:col>8</xdr:col>
      <xdr:colOff>0</xdr:colOff>
      <xdr:row>19</xdr:row>
      <xdr:rowOff>166253</xdr:rowOff>
    </xdr:from>
    <xdr:to>
      <xdr:col>8</xdr:col>
      <xdr:colOff>13854</xdr:colOff>
      <xdr:row>20</xdr:row>
      <xdr:rowOff>637308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3E8E726-19EA-44FF-AC88-81A75C6197DF}"/>
            </a:ext>
          </a:extLst>
        </xdr:cNvPr>
        <xdr:cNvSpPr/>
      </xdr:nvSpPr>
      <xdr:spPr>
        <a:xfrm>
          <a:off x="13896975" y="7923413"/>
          <a:ext cx="17664" cy="1132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  <xdr:twoCellAnchor>
    <xdr:from>
      <xdr:col>12</xdr:col>
      <xdr:colOff>0</xdr:colOff>
      <xdr:row>19</xdr:row>
      <xdr:rowOff>166253</xdr:rowOff>
    </xdr:from>
    <xdr:to>
      <xdr:col>12</xdr:col>
      <xdr:colOff>13854</xdr:colOff>
      <xdr:row>20</xdr:row>
      <xdr:rowOff>637308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A0230F33-B218-47C2-B799-A3F25DFD7D8C}"/>
            </a:ext>
          </a:extLst>
        </xdr:cNvPr>
        <xdr:cNvSpPr/>
      </xdr:nvSpPr>
      <xdr:spPr>
        <a:xfrm>
          <a:off x="21012150" y="7923413"/>
          <a:ext cx="17664" cy="1132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111760</xdr:colOff>
      <xdr:row>0</xdr:row>
      <xdr:rowOff>182880</xdr:rowOff>
    </xdr:from>
    <xdr:to>
      <xdr:col>1</xdr:col>
      <xdr:colOff>2154348</xdr:colOff>
      <xdr:row>3</xdr:row>
      <xdr:rowOff>358140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8F0322-1139-401F-B77F-9FDEDD1AF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656"/>
        <a:stretch/>
      </xdr:blipFill>
      <xdr:spPr>
        <a:xfrm>
          <a:off x="111760" y="180975"/>
          <a:ext cx="2528363" cy="777240"/>
        </a:xfrm>
        <a:prstGeom prst="rect">
          <a:avLst/>
        </a:prstGeom>
      </xdr:spPr>
    </xdr:pic>
    <xdr:clientData/>
  </xdr:twoCellAnchor>
  <xdr:twoCellAnchor>
    <xdr:from>
      <xdr:col>3</xdr:col>
      <xdr:colOff>651162</xdr:colOff>
      <xdr:row>38</xdr:row>
      <xdr:rowOff>31172</xdr:rowOff>
    </xdr:from>
    <xdr:to>
      <xdr:col>9</xdr:col>
      <xdr:colOff>2211356</xdr:colOff>
      <xdr:row>39</xdr:row>
      <xdr:rowOff>65808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9626D1F-233D-4815-91E2-8487975DF792}"/>
            </a:ext>
          </a:extLst>
        </xdr:cNvPr>
        <xdr:cNvSpPr/>
      </xdr:nvSpPr>
      <xdr:spPr>
        <a:xfrm flipH="1">
          <a:off x="7110844" y="15340445"/>
          <a:ext cx="3707648" cy="27709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19</xdr:row>
      <xdr:rowOff>166253</xdr:rowOff>
    </xdr:from>
    <xdr:to>
      <xdr:col>6</xdr:col>
      <xdr:colOff>13854</xdr:colOff>
      <xdr:row>20</xdr:row>
      <xdr:rowOff>637308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40770C7-B8ED-4288-BAF8-4924ED101526}"/>
            </a:ext>
          </a:extLst>
        </xdr:cNvPr>
        <xdr:cNvSpPr/>
      </xdr:nvSpPr>
      <xdr:spPr>
        <a:xfrm>
          <a:off x="10553700" y="7923413"/>
          <a:ext cx="17664" cy="1132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  <xdr:twoCellAnchor>
    <xdr:from>
      <xdr:col>8</xdr:col>
      <xdr:colOff>0</xdr:colOff>
      <xdr:row>19</xdr:row>
      <xdr:rowOff>166253</xdr:rowOff>
    </xdr:from>
    <xdr:to>
      <xdr:col>8</xdr:col>
      <xdr:colOff>13854</xdr:colOff>
      <xdr:row>20</xdr:row>
      <xdr:rowOff>637308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4A902F0-FD0B-4405-8EFC-CC133171C0A4}"/>
            </a:ext>
          </a:extLst>
        </xdr:cNvPr>
        <xdr:cNvSpPr/>
      </xdr:nvSpPr>
      <xdr:spPr>
        <a:xfrm>
          <a:off x="13896975" y="7923413"/>
          <a:ext cx="17664" cy="1132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  <xdr:twoCellAnchor>
    <xdr:from>
      <xdr:col>12</xdr:col>
      <xdr:colOff>0</xdr:colOff>
      <xdr:row>19</xdr:row>
      <xdr:rowOff>166253</xdr:rowOff>
    </xdr:from>
    <xdr:to>
      <xdr:col>12</xdr:col>
      <xdr:colOff>13854</xdr:colOff>
      <xdr:row>20</xdr:row>
      <xdr:rowOff>637308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C0B236C-D53A-41D6-BF15-503D0F4BA4ED}"/>
            </a:ext>
          </a:extLst>
        </xdr:cNvPr>
        <xdr:cNvSpPr/>
      </xdr:nvSpPr>
      <xdr:spPr>
        <a:xfrm>
          <a:off x="21012150" y="7923413"/>
          <a:ext cx="17664" cy="1132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  <xdr:twoCellAnchor>
    <xdr:from>
      <xdr:col>12</xdr:col>
      <xdr:colOff>0</xdr:colOff>
      <xdr:row>20</xdr:row>
      <xdr:rowOff>166253</xdr:rowOff>
    </xdr:from>
    <xdr:to>
      <xdr:col>12</xdr:col>
      <xdr:colOff>13854</xdr:colOff>
      <xdr:row>21</xdr:row>
      <xdr:rowOff>637308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656C0FC-4082-422E-9108-659D6AED9958}"/>
            </a:ext>
          </a:extLst>
        </xdr:cNvPr>
        <xdr:cNvSpPr/>
      </xdr:nvSpPr>
      <xdr:spPr>
        <a:xfrm>
          <a:off x="14422582" y="7883235"/>
          <a:ext cx="13854" cy="11360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ysClr val="windowText" lastClr="000000"/>
              </a:solidFill>
            </a:rPr>
            <a:t>NESSE MOMENTO ESTÁ COM EQUIPE APENAS PARA CAMPINAS, ONDE TENTAREMOS</a:t>
          </a:r>
          <a:r>
            <a:rPr lang="pt-BR" sz="1400" baseline="0">
              <a:solidFill>
                <a:sysClr val="windowText" lastClr="000000"/>
              </a:solidFill>
            </a:rPr>
            <a:t> VIABILIZAR </a:t>
          </a:r>
          <a:r>
            <a:rPr lang="pt-BR" sz="1400">
              <a:solidFill>
                <a:sysClr val="windowText" lastClr="000000"/>
              </a:solidFill>
            </a:rPr>
            <a:t>A OBRA UNIMED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</xdr:colOff>
      <xdr:row>1</xdr:row>
      <xdr:rowOff>110265</xdr:rowOff>
    </xdr:from>
    <xdr:to>
      <xdr:col>2</xdr:col>
      <xdr:colOff>1714500</xdr:colOff>
      <xdr:row>1</xdr:row>
      <xdr:rowOff>667257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6BAF35-0CF8-4209-AF72-59E3B637A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279810"/>
          <a:ext cx="1628775" cy="5512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</xdr:colOff>
      <xdr:row>1</xdr:row>
      <xdr:rowOff>110265</xdr:rowOff>
    </xdr:from>
    <xdr:to>
      <xdr:col>2</xdr:col>
      <xdr:colOff>1714500</xdr:colOff>
      <xdr:row>1</xdr:row>
      <xdr:rowOff>657732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AB92E6-3301-4C7C-B913-347EEC2D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277905"/>
          <a:ext cx="1630680" cy="5474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1</xdr:row>
      <xdr:rowOff>91440</xdr:rowOff>
    </xdr:from>
    <xdr:to>
      <xdr:col>1</xdr:col>
      <xdr:colOff>1952582</xdr:colOff>
      <xdr:row>1</xdr:row>
      <xdr:rowOff>716280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A17931-EB73-46D4-BF6B-24BCFB448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" y="266700"/>
          <a:ext cx="1861142" cy="62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unior_arcconstrucoes@hotmail.com" TargetMode="External"/><Relationship Id="rId3" Type="http://schemas.openxmlformats.org/officeDocument/2006/relationships/hyperlink" Target="mailto:thiago@novaoliveira.com.br" TargetMode="External"/><Relationship Id="rId7" Type="http://schemas.openxmlformats.org/officeDocument/2006/relationships/hyperlink" Target="mailto:foliveira@rangelconstrucoes.com.br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enis-antonio@hotmail.com" TargetMode="External"/><Relationship Id="rId1" Type="http://schemas.openxmlformats.org/officeDocument/2006/relationships/hyperlink" Target="mailto:Sinaihempreiteira@outlook.com" TargetMode="External"/><Relationship Id="rId6" Type="http://schemas.openxmlformats.org/officeDocument/2006/relationships/hyperlink" Target="mailto:leandrobarbosa291@yahoo.com.b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ngenharia@construtorarguimaraes.com.br" TargetMode="External"/><Relationship Id="rId10" Type="http://schemas.openxmlformats.org/officeDocument/2006/relationships/hyperlink" Target="mailto:Renatocarvalho456@gmail.com" TargetMode="External"/><Relationship Id="rId4" Type="http://schemas.openxmlformats.org/officeDocument/2006/relationships/hyperlink" Target="mailto:fonte.empreiteira@gmail.com" TargetMode="External"/><Relationship Id="rId9" Type="http://schemas.openxmlformats.org/officeDocument/2006/relationships/hyperlink" Target="mailto:rodrigo.lousil@outlook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unior_arcconstrucoes@hotmail.com" TargetMode="External"/><Relationship Id="rId3" Type="http://schemas.openxmlformats.org/officeDocument/2006/relationships/hyperlink" Target="mailto:thiago@novaoliveira.com.br" TargetMode="External"/><Relationship Id="rId7" Type="http://schemas.openxmlformats.org/officeDocument/2006/relationships/hyperlink" Target="mailto:foliveira@rangelconstrucoes.com.br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enis-antonio@hotmail.com" TargetMode="External"/><Relationship Id="rId1" Type="http://schemas.openxmlformats.org/officeDocument/2006/relationships/hyperlink" Target="mailto:Sinaihempreiteira@outlook.com" TargetMode="External"/><Relationship Id="rId6" Type="http://schemas.openxmlformats.org/officeDocument/2006/relationships/hyperlink" Target="mailto:leandrobarbosa291@yahoo.com.br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engenharia@construtorarguimaraes.com.br" TargetMode="External"/><Relationship Id="rId10" Type="http://schemas.openxmlformats.org/officeDocument/2006/relationships/hyperlink" Target="mailto:Renatocarvalho456@gmail.com" TargetMode="External"/><Relationship Id="rId4" Type="http://schemas.openxmlformats.org/officeDocument/2006/relationships/hyperlink" Target="mailto:fonte.empreiteira@gmail.com" TargetMode="External"/><Relationship Id="rId9" Type="http://schemas.openxmlformats.org/officeDocument/2006/relationships/hyperlink" Target="mailto:rodrigo.lousil@outlook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ngenharia@construtorarguimaraes.com.br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thiago@novaoliveira.com.br" TargetMode="External"/><Relationship Id="rId1" Type="http://schemas.openxmlformats.org/officeDocument/2006/relationships/hyperlink" Target="mailto:Sinaihempreiteira@outlook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junior_arcconstrucoes@hotmail.com" TargetMode="External"/><Relationship Id="rId4" Type="http://schemas.openxmlformats.org/officeDocument/2006/relationships/hyperlink" Target="mailto:leandrobarbosa291@yahoo.com.b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engenharia@construtorarguimaraes.com.br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mailto:thiago@novaoliveira.com.br" TargetMode="External"/><Relationship Id="rId1" Type="http://schemas.openxmlformats.org/officeDocument/2006/relationships/hyperlink" Target="mailto:Sinaihempreiteira@outlook.co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junior_arcconstrucoes@hotmail.com" TargetMode="External"/><Relationship Id="rId4" Type="http://schemas.openxmlformats.org/officeDocument/2006/relationships/hyperlink" Target="mailto:leandrobarbosa291@yahoo.com.b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engenharia@construtorarguimaraes.com.br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mailto:thiago@novaoliveira.com.br" TargetMode="External"/><Relationship Id="rId1" Type="http://schemas.openxmlformats.org/officeDocument/2006/relationships/hyperlink" Target="mailto:Sinaihempreiteira@outlook.com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junior_arcconstrucoes@hotmail.com" TargetMode="External"/><Relationship Id="rId4" Type="http://schemas.openxmlformats.org/officeDocument/2006/relationships/hyperlink" Target="mailto:leandrobarbosa291@yahoo.com.b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junior_arcconstrucoes@hotmail.com" TargetMode="External"/><Relationship Id="rId13" Type="http://schemas.openxmlformats.org/officeDocument/2006/relationships/hyperlink" Target="mailto:enis-antonio@hotmail.com" TargetMode="External"/><Relationship Id="rId18" Type="http://schemas.openxmlformats.org/officeDocument/2006/relationships/hyperlink" Target="mailto:wilsonsaopedro@gmail.com" TargetMode="External"/><Relationship Id="rId3" Type="http://schemas.openxmlformats.org/officeDocument/2006/relationships/hyperlink" Target="mailto:rodrigo.lousil@outlook.com" TargetMode="External"/><Relationship Id="rId7" Type="http://schemas.openxmlformats.org/officeDocument/2006/relationships/hyperlink" Target="mailto:dfsousa08@hotmail.com" TargetMode="External"/><Relationship Id="rId12" Type="http://schemas.openxmlformats.org/officeDocument/2006/relationships/hyperlink" Target="mailto:Renatocarvalho456@gmail.com" TargetMode="External"/><Relationship Id="rId17" Type="http://schemas.openxmlformats.org/officeDocument/2006/relationships/hyperlink" Target="mailto:andre@mdsconstrucoes.com.br" TargetMode="External"/><Relationship Id="rId2" Type="http://schemas.openxmlformats.org/officeDocument/2006/relationships/hyperlink" Target="mailto:jorge@matoscarvalho.com" TargetMode="External"/><Relationship Id="rId16" Type="http://schemas.openxmlformats.org/officeDocument/2006/relationships/hyperlink" Target="mailto:rafael.araujo@fuzziengenharia.com.br" TargetMode="External"/><Relationship Id="rId1" Type="http://schemas.openxmlformats.org/officeDocument/2006/relationships/hyperlink" Target="mailto:marcus@engecapservicos.com.br" TargetMode="External"/><Relationship Id="rId6" Type="http://schemas.openxmlformats.org/officeDocument/2006/relationships/hyperlink" Target="mailto:aevmedina@bol.com.br" TargetMode="External"/><Relationship Id="rId11" Type="http://schemas.openxmlformats.org/officeDocument/2006/relationships/hyperlink" Target="mailto:dirceu@constata.com.br" TargetMode="External"/><Relationship Id="rId5" Type="http://schemas.openxmlformats.org/officeDocument/2006/relationships/hyperlink" Target="mailto:eng.gilbertomiessa.construtoragm@gmail.com" TargetMode="External"/><Relationship Id="rId15" Type="http://schemas.openxmlformats.org/officeDocument/2006/relationships/hyperlink" Target="mailto:construtorabrejinho@gmail.com" TargetMode="External"/><Relationship Id="rId10" Type="http://schemas.openxmlformats.org/officeDocument/2006/relationships/hyperlink" Target="mailto:engenharia@construtorarguimaraes.com.br" TargetMode="External"/><Relationship Id="rId19" Type="http://schemas.openxmlformats.org/officeDocument/2006/relationships/drawing" Target="../drawings/drawing8.xml"/><Relationship Id="rId4" Type="http://schemas.openxmlformats.org/officeDocument/2006/relationships/hyperlink" Target="mailto:foliveira@rangelconstrucoes.com.br" TargetMode="External"/><Relationship Id="rId9" Type="http://schemas.openxmlformats.org/officeDocument/2006/relationships/hyperlink" Target="mailto:mrgomesgomes78@gmail.com" TargetMode="External"/><Relationship Id="rId14" Type="http://schemas.openxmlformats.org/officeDocument/2006/relationships/hyperlink" Target="mailto:thiago@novaoliveir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096F-6100-41CE-9022-9821BD88600E}">
  <dimension ref="B2:J38"/>
  <sheetViews>
    <sheetView topLeftCell="B1" workbookViewId="0">
      <selection activeCell="H17" sqref="H16:H17"/>
    </sheetView>
  </sheetViews>
  <sheetFormatPr defaultRowHeight="12.75" x14ac:dyDescent="0.2"/>
  <cols>
    <col min="2" max="2" width="26.5703125" customWidth="1"/>
    <col min="3" max="3" width="15" bestFit="1" customWidth="1"/>
    <col min="4" max="4" width="11.140625" customWidth="1"/>
    <col min="5" max="5" width="10.85546875" bestFit="1" customWidth="1"/>
    <col min="6" max="6" width="16" bestFit="1" customWidth="1"/>
    <col min="7" max="7" width="22.85546875" style="164" customWidth="1"/>
    <col min="8" max="8" width="38.5703125" bestFit="1" customWidth="1"/>
    <col min="9" max="9" width="42.5703125" bestFit="1" customWidth="1"/>
    <col min="10" max="10" width="32.5703125" bestFit="1" customWidth="1"/>
  </cols>
  <sheetData>
    <row r="2" spans="2:7" ht="13.5" thickBot="1" x14ac:dyDescent="0.25"/>
    <row r="3" spans="2:7" x14ac:dyDescent="0.2">
      <c r="B3" s="217" t="s">
        <v>254</v>
      </c>
      <c r="C3" s="218"/>
      <c r="D3" s="218"/>
      <c r="E3" s="219"/>
      <c r="F3" s="220"/>
      <c r="G3" s="221"/>
    </row>
    <row r="4" spans="2:7" x14ac:dyDescent="0.2">
      <c r="B4" s="165" t="s">
        <v>158</v>
      </c>
      <c r="C4" s="193" t="s">
        <v>253</v>
      </c>
      <c r="D4" s="194"/>
      <c r="E4" s="194"/>
      <c r="F4" s="195"/>
      <c r="G4" s="166" t="s">
        <v>252</v>
      </c>
    </row>
    <row r="5" spans="2:7" x14ac:dyDescent="0.2">
      <c r="B5" s="167" t="s">
        <v>58</v>
      </c>
      <c r="C5" s="211" t="s">
        <v>256</v>
      </c>
      <c r="D5" s="211">
        <v>6010</v>
      </c>
      <c r="E5" s="214">
        <v>843.7</v>
      </c>
      <c r="F5" s="214">
        <f>E5*D5</f>
        <v>5070637</v>
      </c>
      <c r="G5" s="168">
        <v>6245968.8200000003</v>
      </c>
    </row>
    <row r="6" spans="2:7" x14ac:dyDescent="0.2">
      <c r="B6" s="167" t="s">
        <v>78</v>
      </c>
      <c r="C6" s="212"/>
      <c r="D6" s="212"/>
      <c r="E6" s="215"/>
      <c r="F6" s="215"/>
      <c r="G6" s="168">
        <v>6267705.4500000011</v>
      </c>
    </row>
    <row r="7" spans="2:7" x14ac:dyDescent="0.2">
      <c r="B7" s="167" t="s">
        <v>230</v>
      </c>
      <c r="C7" s="213"/>
      <c r="D7" s="213"/>
      <c r="E7" s="216"/>
      <c r="F7" s="216"/>
      <c r="G7" s="169">
        <v>6673932.5999999996</v>
      </c>
    </row>
    <row r="8" spans="2:7" x14ac:dyDescent="0.2">
      <c r="B8" s="167" t="s">
        <v>105</v>
      </c>
      <c r="C8" s="211" t="s">
        <v>257</v>
      </c>
      <c r="D8" s="211">
        <v>1007</v>
      </c>
      <c r="E8" s="214">
        <v>712.5</v>
      </c>
      <c r="F8" s="214">
        <f>E8*D8</f>
        <v>717487.5</v>
      </c>
      <c r="G8" s="169">
        <v>6752419.2999999998</v>
      </c>
    </row>
    <row r="9" spans="2:7" x14ac:dyDescent="0.2">
      <c r="B9" s="167" t="s">
        <v>233</v>
      </c>
      <c r="C9" s="212"/>
      <c r="D9" s="212"/>
      <c r="E9" s="215"/>
      <c r="F9" s="215"/>
      <c r="G9" s="170">
        <v>8022542.0900000008</v>
      </c>
    </row>
    <row r="10" spans="2:7" ht="13.5" thickBot="1" x14ac:dyDescent="0.25">
      <c r="B10" s="171" t="s">
        <v>111</v>
      </c>
      <c r="C10" s="212"/>
      <c r="D10" s="212"/>
      <c r="E10" s="215"/>
      <c r="F10" s="215"/>
      <c r="G10" s="172">
        <v>6087166.3082999997</v>
      </c>
    </row>
    <row r="11" spans="2:7" x14ac:dyDescent="0.2">
      <c r="B11" s="196" t="s">
        <v>258</v>
      </c>
      <c r="C11" s="197"/>
      <c r="D11" s="197"/>
      <c r="E11" s="197"/>
      <c r="F11" s="200">
        <f>SUM(F5:F10)</f>
        <v>5788124.5</v>
      </c>
      <c r="G11" s="231"/>
    </row>
    <row r="12" spans="2:7" ht="13.5" thickBot="1" x14ac:dyDescent="0.25">
      <c r="B12" s="198"/>
      <c r="C12" s="199"/>
      <c r="D12" s="199"/>
      <c r="E12" s="199"/>
      <c r="F12" s="201"/>
      <c r="G12" s="232"/>
    </row>
    <row r="13" spans="2:7" ht="7.35" customHeight="1" thickBot="1" x14ac:dyDescent="0.25">
      <c r="B13" s="192"/>
      <c r="C13" s="192"/>
      <c r="D13" s="192"/>
      <c r="E13" s="192"/>
      <c r="F13" s="192"/>
      <c r="G13" s="192"/>
    </row>
    <row r="14" spans="2:7" x14ac:dyDescent="0.2">
      <c r="B14" s="222" t="s">
        <v>259</v>
      </c>
      <c r="C14" s="223"/>
      <c r="D14" s="223"/>
      <c r="E14" s="223"/>
      <c r="F14" s="223"/>
      <c r="G14" s="224"/>
    </row>
    <row r="15" spans="2:7" x14ac:dyDescent="0.2">
      <c r="B15" s="225" t="s">
        <v>260</v>
      </c>
      <c r="C15" s="226"/>
      <c r="D15" s="226"/>
      <c r="E15" s="226"/>
      <c r="F15" s="226"/>
      <c r="G15" s="227"/>
    </row>
    <row r="16" spans="2:7" ht="13.5" thickBot="1" x14ac:dyDescent="0.25">
      <c r="B16" s="228" t="s">
        <v>255</v>
      </c>
      <c r="C16" s="229"/>
      <c r="D16" s="229"/>
      <c r="E16" s="229"/>
      <c r="F16" s="229"/>
      <c r="G16" s="230"/>
    </row>
    <row r="18" spans="2:10" ht="13.5" thickBot="1" x14ac:dyDescent="0.25"/>
    <row r="19" spans="2:10" ht="13.5" thickBot="1" x14ac:dyDescent="0.25">
      <c r="B19" s="202" t="s">
        <v>261</v>
      </c>
      <c r="C19" s="203"/>
      <c r="D19" s="203"/>
      <c r="E19" s="203"/>
      <c r="F19" s="203"/>
      <c r="G19" s="203"/>
      <c r="H19" s="203"/>
      <c r="I19" s="203"/>
      <c r="J19" s="204"/>
    </row>
    <row r="20" spans="2:10" x14ac:dyDescent="0.2">
      <c r="B20" s="165" t="s">
        <v>158</v>
      </c>
      <c r="C20" s="193" t="s">
        <v>253</v>
      </c>
      <c r="D20" s="194"/>
      <c r="E20" s="194"/>
      <c r="F20" s="195"/>
      <c r="G20" s="175" t="s">
        <v>252</v>
      </c>
      <c r="H20" s="182" t="s">
        <v>262</v>
      </c>
      <c r="I20" s="183" t="s">
        <v>264</v>
      </c>
      <c r="J20" s="184" t="s">
        <v>263</v>
      </c>
    </row>
    <row r="21" spans="2:10" x14ac:dyDescent="0.2">
      <c r="B21" s="167" t="s">
        <v>58</v>
      </c>
      <c r="C21" s="211" t="s">
        <v>256</v>
      </c>
      <c r="D21" s="211">
        <v>6010</v>
      </c>
      <c r="E21" s="214">
        <v>843.7</v>
      </c>
      <c r="F21" s="214">
        <f>E21*D21</f>
        <v>5070637</v>
      </c>
      <c r="G21" s="180">
        <v>6245968.8200000003</v>
      </c>
      <c r="H21" s="185">
        <f>$F$27/G21-1</f>
        <v>-7.3302370407926642E-2</v>
      </c>
      <c r="I21" s="176">
        <v>0.09</v>
      </c>
      <c r="J21" s="177">
        <f>-1*(G21*I21)+(G21)</f>
        <v>5683831.6261999998</v>
      </c>
    </row>
    <row r="22" spans="2:10" x14ac:dyDescent="0.2">
      <c r="B22" s="167" t="s">
        <v>78</v>
      </c>
      <c r="C22" s="212"/>
      <c r="D22" s="212"/>
      <c r="E22" s="215"/>
      <c r="F22" s="215"/>
      <c r="G22" s="180">
        <v>6267705.4500000011</v>
      </c>
      <c r="H22" s="185">
        <f t="shared" ref="H22:H26" si="0">$F$27/G22-1</f>
        <v>-7.6516191423769087E-2</v>
      </c>
      <c r="I22" s="176">
        <v>0.1</v>
      </c>
      <c r="J22" s="177">
        <f t="shared" ref="J22:J24" si="1">-1*(G22*I22)+(G22)</f>
        <v>5640934.9050000012</v>
      </c>
    </row>
    <row r="23" spans="2:10" x14ac:dyDescent="0.2">
      <c r="B23" s="167" t="s">
        <v>230</v>
      </c>
      <c r="C23" s="213"/>
      <c r="D23" s="213"/>
      <c r="E23" s="216"/>
      <c r="F23" s="216"/>
      <c r="G23" s="180">
        <v>6673932.5999999996</v>
      </c>
      <c r="H23" s="185">
        <f t="shared" si="0"/>
        <v>-0.13272655765208052</v>
      </c>
      <c r="I23" s="176">
        <v>0.16</v>
      </c>
      <c r="J23" s="177">
        <f t="shared" si="1"/>
        <v>5606103.3839999996</v>
      </c>
    </row>
    <row r="24" spans="2:10" x14ac:dyDescent="0.2">
      <c r="B24" s="167" t="s">
        <v>105</v>
      </c>
      <c r="C24" s="211" t="s">
        <v>257</v>
      </c>
      <c r="D24" s="211">
        <v>1007</v>
      </c>
      <c r="E24" s="214">
        <v>712.5</v>
      </c>
      <c r="F24" s="214">
        <f>E24*D24</f>
        <v>717487.5</v>
      </c>
      <c r="G24" s="180">
        <v>6752419.2999999998</v>
      </c>
      <c r="H24" s="185">
        <f t="shared" si="0"/>
        <v>-0.14280730463524383</v>
      </c>
      <c r="I24" s="176">
        <v>0.16</v>
      </c>
      <c r="J24" s="177">
        <f t="shared" si="1"/>
        <v>5672032.2119999994</v>
      </c>
    </row>
    <row r="25" spans="2:10" x14ac:dyDescent="0.2">
      <c r="B25" s="167" t="s">
        <v>233</v>
      </c>
      <c r="C25" s="212"/>
      <c r="D25" s="212"/>
      <c r="E25" s="215"/>
      <c r="F25" s="215"/>
      <c r="G25" s="180">
        <v>8022542.0899999999</v>
      </c>
      <c r="H25" s="185">
        <f t="shared" si="0"/>
        <v>-0.27851740320380169</v>
      </c>
      <c r="I25" s="176">
        <v>0.3</v>
      </c>
      <c r="J25" s="177">
        <f>-1*(G25*I25)+(G25)</f>
        <v>5615779.4629999995</v>
      </c>
    </row>
    <row r="26" spans="2:10" ht="13.5" thickBot="1" x14ac:dyDescent="0.25">
      <c r="B26" s="171" t="s">
        <v>111</v>
      </c>
      <c r="C26" s="212"/>
      <c r="D26" s="212"/>
      <c r="E26" s="215"/>
      <c r="F26" s="215"/>
      <c r="G26" s="181">
        <v>6087166.3082999997</v>
      </c>
      <c r="H26" s="185">
        <f t="shared" si="0"/>
        <v>-4.9126603932645785E-2</v>
      </c>
      <c r="I26" s="178">
        <v>7.0000000000000007E-2</v>
      </c>
      <c r="J26" s="179">
        <f>-1*(G26*I26)+(G26)</f>
        <v>5661064.6667189999</v>
      </c>
    </row>
    <row r="27" spans="2:10" x14ac:dyDescent="0.2">
      <c r="B27" s="196" t="s">
        <v>258</v>
      </c>
      <c r="C27" s="197"/>
      <c r="D27" s="197"/>
      <c r="E27" s="197"/>
      <c r="F27" s="200">
        <f>SUM(F21:F26)</f>
        <v>5788124.5</v>
      </c>
      <c r="G27" s="205"/>
      <c r="H27" s="206"/>
      <c r="I27" s="206"/>
      <c r="J27" s="207"/>
    </row>
    <row r="28" spans="2:10" ht="13.5" thickBot="1" x14ac:dyDescent="0.25">
      <c r="B28" s="198"/>
      <c r="C28" s="199"/>
      <c r="D28" s="199"/>
      <c r="E28" s="199"/>
      <c r="F28" s="201"/>
      <c r="G28" s="208"/>
      <c r="H28" s="209"/>
      <c r="I28" s="209"/>
      <c r="J28" s="210"/>
    </row>
    <row r="29" spans="2:10" x14ac:dyDescent="0.2">
      <c r="I29" s="173"/>
    </row>
    <row r="30" spans="2:10" x14ac:dyDescent="0.2">
      <c r="H30" s="174"/>
    </row>
    <row r="31" spans="2:10" x14ac:dyDescent="0.2">
      <c r="H31" s="173"/>
    </row>
    <row r="36" spans="9:10" x14ac:dyDescent="0.2">
      <c r="I36" s="174"/>
      <c r="J36" s="174"/>
    </row>
    <row r="38" spans="9:10" x14ac:dyDescent="0.2">
      <c r="I38" s="174"/>
    </row>
  </sheetData>
  <mergeCells count="30">
    <mergeCell ref="C4:F4"/>
    <mergeCell ref="B3:G3"/>
    <mergeCell ref="B14:G14"/>
    <mergeCell ref="B15:G15"/>
    <mergeCell ref="B16:G16"/>
    <mergeCell ref="C5:C7"/>
    <mergeCell ref="C8:C10"/>
    <mergeCell ref="D5:D7"/>
    <mergeCell ref="D8:D10"/>
    <mergeCell ref="E5:E7"/>
    <mergeCell ref="E8:E10"/>
    <mergeCell ref="F5:F7"/>
    <mergeCell ref="F8:F10"/>
    <mergeCell ref="F11:F12"/>
    <mergeCell ref="B11:E12"/>
    <mergeCell ref="G11:G12"/>
    <mergeCell ref="B13:G13"/>
    <mergeCell ref="C20:F20"/>
    <mergeCell ref="B27:E28"/>
    <mergeCell ref="F27:F28"/>
    <mergeCell ref="B19:J19"/>
    <mergeCell ref="G27:J28"/>
    <mergeCell ref="C21:C23"/>
    <mergeCell ref="D21:D23"/>
    <mergeCell ref="E21:E23"/>
    <mergeCell ref="F21:F23"/>
    <mergeCell ref="C24:C26"/>
    <mergeCell ref="D24:D26"/>
    <mergeCell ref="E24:E26"/>
    <mergeCell ref="F24:F2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C138-34E8-4F89-BD96-13165D4898C7}">
  <sheetPr>
    <tabColor rgb="FF00B050"/>
    <pageSetUpPr fitToPage="1"/>
  </sheetPr>
  <dimension ref="A1:AI113"/>
  <sheetViews>
    <sheetView showGridLines="0" topLeftCell="E5" zoomScale="55" zoomScaleNormal="55" workbookViewId="0">
      <selection activeCell="U15" sqref="U15:V36"/>
    </sheetView>
  </sheetViews>
  <sheetFormatPr defaultColWidth="9.140625" defaultRowHeight="14.25" x14ac:dyDescent="0.2"/>
  <cols>
    <col min="1" max="1" width="7.140625" style="2" customWidth="1"/>
    <col min="2" max="2" width="65.5703125" style="2" customWidth="1"/>
    <col min="3" max="3" width="13.42578125" style="2" bestFit="1" customWidth="1"/>
    <col min="4" max="4" width="9.85546875" style="2" customWidth="1"/>
    <col min="5" max="5" width="17" style="2" customWidth="1"/>
    <col min="6" max="6" width="30.42578125" style="2" customWidth="1"/>
    <col min="7" max="7" width="14.5703125" style="2" hidden="1" customWidth="1"/>
    <col min="8" max="8" width="28.85546875" style="2" hidden="1" customWidth="1"/>
    <col min="9" max="9" width="14.5703125" style="2" hidden="1" customWidth="1"/>
    <col min="10" max="10" width="24.42578125" style="2" hidden="1" customWidth="1"/>
    <col min="11" max="11" width="22.42578125" style="2" customWidth="1"/>
    <col min="12" max="12" width="26.42578125" style="2" bestFit="1" customWidth="1"/>
    <col min="13" max="13" width="22.42578125" style="2" customWidth="1"/>
    <col min="14" max="14" width="33.140625" style="2" bestFit="1" customWidth="1"/>
    <col min="15" max="15" width="22.42578125" style="2" customWidth="1"/>
    <col min="16" max="16" width="25.85546875" style="2" customWidth="1"/>
    <col min="17" max="17" width="22.42578125" style="2" customWidth="1"/>
    <col min="18" max="18" width="25.42578125" style="2" bestFit="1" customWidth="1"/>
    <col min="19" max="19" width="22.42578125" style="2" customWidth="1"/>
    <col min="20" max="20" width="26.42578125" style="2" customWidth="1"/>
    <col min="21" max="21" width="14.5703125" style="2" customWidth="1"/>
    <col min="22" max="22" width="32.85546875" style="2" customWidth="1"/>
    <col min="23" max="23" width="22.42578125" style="2" customWidth="1"/>
    <col min="24" max="26" width="24.85546875" style="2" customWidth="1"/>
    <col min="27" max="27" width="19.5703125" style="2" customWidth="1"/>
    <col min="28" max="31" width="19.5703125" style="2" hidden="1" customWidth="1"/>
    <col min="32" max="32" width="0.85546875" style="2" customWidth="1"/>
    <col min="33" max="34" width="19.5703125" style="2" customWidth="1"/>
    <col min="35" max="35" width="26.140625" style="2" customWidth="1"/>
    <col min="36" max="36" width="1.5703125" style="2" customWidth="1"/>
    <col min="37" max="16384" width="9.140625" style="2"/>
  </cols>
  <sheetData>
    <row r="1" spans="1:35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 x14ac:dyDescent="0.2">
      <c r="A2" s="1"/>
      <c r="B2" s="1"/>
      <c r="C2" s="289" t="s">
        <v>4</v>
      </c>
      <c r="D2" s="289"/>
      <c r="E2" s="289"/>
      <c r="F2" s="289"/>
      <c r="G2" s="289"/>
      <c r="H2" s="289"/>
      <c r="I2" s="289"/>
      <c r="J2" s="28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290" t="s">
        <v>188</v>
      </c>
      <c r="AH2" s="290"/>
      <c r="AI2" s="290"/>
    </row>
    <row r="3" spans="1:35" ht="16.5" customHeight="1" x14ac:dyDescent="0.2">
      <c r="A3" s="1"/>
      <c r="B3" s="1"/>
      <c r="C3" s="289"/>
      <c r="D3" s="289"/>
      <c r="E3" s="289"/>
      <c r="F3" s="289"/>
      <c r="G3" s="289"/>
      <c r="H3" s="289"/>
      <c r="I3" s="289"/>
      <c r="J3" s="28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91"/>
      <c r="AH3" s="291"/>
      <c r="AI3" s="291"/>
    </row>
    <row r="4" spans="1:35" ht="41.25" customHeight="1" x14ac:dyDescent="0.2">
      <c r="A4" s="1"/>
      <c r="B4" s="1"/>
      <c r="C4" s="289"/>
      <c r="D4" s="289"/>
      <c r="E4" s="289"/>
      <c r="F4" s="289"/>
      <c r="G4" s="289"/>
      <c r="H4" s="289"/>
      <c r="I4" s="289"/>
      <c r="J4" s="28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291"/>
      <c r="AH4" s="291"/>
      <c r="AI4" s="291"/>
    </row>
    <row r="5" spans="1:35" ht="20.45" customHeight="1" thickBot="1" x14ac:dyDescent="0.25">
      <c r="A5" s="91"/>
      <c r="B5" s="91"/>
      <c r="C5" s="92"/>
      <c r="D5" s="92"/>
      <c r="E5" s="92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 thickBot="1" x14ac:dyDescent="0.25">
      <c r="A6" s="1"/>
      <c r="B6" s="1"/>
      <c r="C6" s="1"/>
      <c r="D6" s="1"/>
      <c r="E6" s="1"/>
      <c r="F6" s="1"/>
      <c r="G6" s="292" t="s">
        <v>89</v>
      </c>
      <c r="H6" s="292"/>
      <c r="I6" s="292" t="s">
        <v>89</v>
      </c>
      <c r="J6" s="292"/>
      <c r="K6" s="292" t="s">
        <v>89</v>
      </c>
      <c r="L6" s="292"/>
      <c r="M6" s="292" t="s">
        <v>89</v>
      </c>
      <c r="N6" s="292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1"/>
      <c r="AE6" s="1"/>
      <c r="AF6" s="1"/>
      <c r="AG6" s="1"/>
      <c r="AH6" s="1"/>
      <c r="AI6" s="1"/>
    </row>
    <row r="7" spans="1:35" ht="16.5" customHeight="1" x14ac:dyDescent="0.2">
      <c r="A7" s="302" t="s">
        <v>229</v>
      </c>
      <c r="B7" s="303"/>
      <c r="C7" s="303"/>
      <c r="D7" s="304"/>
      <c r="E7" s="280" t="s">
        <v>58</v>
      </c>
      <c r="F7" s="280"/>
      <c r="G7" s="281" t="s">
        <v>119</v>
      </c>
      <c r="H7" s="281"/>
      <c r="I7" s="281" t="s">
        <v>62</v>
      </c>
      <c r="J7" s="281"/>
      <c r="K7" s="280" t="s">
        <v>78</v>
      </c>
      <c r="L7" s="280"/>
      <c r="M7" s="278" t="s">
        <v>230</v>
      </c>
      <c r="N7" s="279"/>
      <c r="O7" s="278" t="s">
        <v>105</v>
      </c>
      <c r="P7" s="279"/>
      <c r="Q7" s="280" t="s">
        <v>233</v>
      </c>
      <c r="R7" s="280"/>
      <c r="S7" s="280" t="s">
        <v>111</v>
      </c>
      <c r="T7" s="280"/>
      <c r="U7" s="280" t="s">
        <v>115</v>
      </c>
      <c r="V7" s="280"/>
      <c r="W7" s="280" t="s">
        <v>92</v>
      </c>
      <c r="X7" s="280"/>
      <c r="Y7" s="62"/>
      <c r="Z7" s="299" t="s">
        <v>19</v>
      </c>
      <c r="AA7" s="299"/>
      <c r="AB7" s="299" t="s">
        <v>19</v>
      </c>
      <c r="AC7" s="299"/>
      <c r="AD7" s="300" t="s">
        <v>19</v>
      </c>
      <c r="AE7" s="301"/>
      <c r="AF7" s="4"/>
      <c r="AG7" s="269" t="s">
        <v>22</v>
      </c>
      <c r="AH7" s="269"/>
      <c r="AI7" s="269"/>
    </row>
    <row r="8" spans="1:35" ht="16.5" customHeight="1" x14ac:dyDescent="0.2">
      <c r="A8" s="293" t="s">
        <v>100</v>
      </c>
      <c r="B8" s="294"/>
      <c r="C8" s="294"/>
      <c r="D8" s="295"/>
      <c r="E8" s="6" t="s">
        <v>3</v>
      </c>
      <c r="F8" s="5"/>
      <c r="G8" s="6" t="s">
        <v>3</v>
      </c>
      <c r="H8" s="5"/>
      <c r="I8" s="6" t="s">
        <v>3</v>
      </c>
      <c r="J8" s="5"/>
      <c r="K8" s="6" t="s">
        <v>3</v>
      </c>
      <c r="L8" s="5"/>
      <c r="M8" s="6" t="s">
        <v>3</v>
      </c>
      <c r="N8" s="5"/>
      <c r="O8" s="6" t="s">
        <v>3</v>
      </c>
      <c r="P8" s="5"/>
      <c r="Q8" s="6" t="s">
        <v>3</v>
      </c>
      <c r="R8" s="5"/>
      <c r="S8" s="6" t="s">
        <v>3</v>
      </c>
      <c r="T8" s="5"/>
      <c r="U8" s="6" t="s">
        <v>3</v>
      </c>
      <c r="V8" s="5"/>
      <c r="W8" s="6" t="s">
        <v>3</v>
      </c>
      <c r="X8" s="5"/>
      <c r="Y8" s="63"/>
      <c r="Z8" s="264" t="s">
        <v>26</v>
      </c>
      <c r="AA8" s="264"/>
      <c r="AB8" s="264" t="s">
        <v>26</v>
      </c>
      <c r="AC8" s="264"/>
      <c r="AD8" s="296" t="s">
        <v>26</v>
      </c>
      <c r="AE8" s="297"/>
      <c r="AF8" s="7"/>
      <c r="AG8" s="264" t="s">
        <v>23</v>
      </c>
      <c r="AH8" s="8" t="s">
        <v>20</v>
      </c>
      <c r="AI8" s="35">
        <v>44958</v>
      </c>
    </row>
    <row r="9" spans="1:35" ht="16.5" customHeight="1" thickBot="1" x14ac:dyDescent="0.25">
      <c r="A9" s="293" t="s">
        <v>101</v>
      </c>
      <c r="B9" s="285"/>
      <c r="C9" s="285"/>
      <c r="D9" s="286"/>
      <c r="E9" s="6" t="s">
        <v>0</v>
      </c>
      <c r="F9" s="58" t="s">
        <v>86</v>
      </c>
      <c r="G9" s="6" t="s">
        <v>0</v>
      </c>
      <c r="H9" s="86" t="s">
        <v>120</v>
      </c>
      <c r="I9" s="6" t="s">
        <v>0</v>
      </c>
      <c r="J9" s="86" t="s">
        <v>71</v>
      </c>
      <c r="K9" s="6" t="s">
        <v>0</v>
      </c>
      <c r="L9" s="5" t="s">
        <v>79</v>
      </c>
      <c r="M9" s="6" t="s">
        <v>0</v>
      </c>
      <c r="N9" s="5" t="s">
        <v>212</v>
      </c>
      <c r="O9" s="6" t="s">
        <v>0</v>
      </c>
      <c r="P9" s="5" t="s">
        <v>106</v>
      </c>
      <c r="Q9" s="6" t="s">
        <v>0</v>
      </c>
      <c r="R9" s="5" t="s">
        <v>232</v>
      </c>
      <c r="S9" s="6" t="s">
        <v>0</v>
      </c>
      <c r="T9" s="5" t="s">
        <v>112</v>
      </c>
      <c r="U9" s="6" t="s">
        <v>0</v>
      </c>
      <c r="V9" s="5" t="s">
        <v>116</v>
      </c>
      <c r="W9" s="6" t="s">
        <v>0</v>
      </c>
      <c r="X9" s="5" t="s">
        <v>93</v>
      </c>
      <c r="Y9" s="63"/>
      <c r="Z9" s="298" t="s">
        <v>123</v>
      </c>
      <c r="AA9" s="298"/>
      <c r="AB9" s="298"/>
      <c r="AC9" s="298"/>
      <c r="AD9" s="272"/>
      <c r="AE9" s="273"/>
      <c r="AF9" s="7"/>
      <c r="AG9" s="264"/>
      <c r="AH9" s="8" t="s">
        <v>47</v>
      </c>
      <c r="AI9" s="36">
        <v>1056.896</v>
      </c>
    </row>
    <row r="10" spans="1:35" ht="16.5" customHeight="1" thickBot="1" x14ac:dyDescent="0.25">
      <c r="A10" s="284" t="s">
        <v>102</v>
      </c>
      <c r="B10" s="285"/>
      <c r="C10" s="285"/>
      <c r="D10" s="286"/>
      <c r="E10" s="6" t="s">
        <v>1</v>
      </c>
      <c r="F10" s="5" t="s">
        <v>72</v>
      </c>
      <c r="G10" s="6" t="s">
        <v>1</v>
      </c>
      <c r="H10" s="5" t="s">
        <v>121</v>
      </c>
      <c r="I10" s="6" t="s">
        <v>1</v>
      </c>
      <c r="J10" s="5" t="s">
        <v>73</v>
      </c>
      <c r="K10" s="6" t="s">
        <v>1</v>
      </c>
      <c r="L10" s="5" t="s">
        <v>80</v>
      </c>
      <c r="M10" s="6" t="s">
        <v>1</v>
      </c>
      <c r="N10" s="5" t="s">
        <v>231</v>
      </c>
      <c r="O10" s="6" t="s">
        <v>1</v>
      </c>
      <c r="P10" s="5" t="s">
        <v>107</v>
      </c>
      <c r="Q10" s="6" t="s">
        <v>1</v>
      </c>
      <c r="R10" s="155" t="s">
        <v>163</v>
      </c>
      <c r="S10" s="6" t="s">
        <v>1</v>
      </c>
      <c r="T10" s="5" t="s">
        <v>113</v>
      </c>
      <c r="U10" s="6" t="s">
        <v>1</v>
      </c>
      <c r="V10" s="5" t="s">
        <v>117</v>
      </c>
      <c r="W10" s="6" t="s">
        <v>1</v>
      </c>
      <c r="X10" s="5" t="s">
        <v>94</v>
      </c>
      <c r="Y10" s="63"/>
      <c r="Z10" s="298"/>
      <c r="AA10" s="298"/>
      <c r="AB10" s="298"/>
      <c r="AC10" s="298"/>
      <c r="AD10" s="274"/>
      <c r="AE10" s="275"/>
      <c r="AF10" s="7"/>
      <c r="AG10" s="264" t="s">
        <v>24</v>
      </c>
      <c r="AH10" s="8" t="s">
        <v>20</v>
      </c>
      <c r="AI10" s="35">
        <v>45413</v>
      </c>
    </row>
    <row r="11" spans="1:35" ht="16.5" customHeight="1" x14ac:dyDescent="0.2">
      <c r="A11" s="265" t="s">
        <v>103</v>
      </c>
      <c r="B11" s="266"/>
      <c r="C11" s="266"/>
      <c r="D11" s="267"/>
      <c r="E11" s="6" t="s">
        <v>2</v>
      </c>
      <c r="F11" s="50" t="s">
        <v>57</v>
      </c>
      <c r="G11" s="6" t="s">
        <v>2</v>
      </c>
      <c r="H11" s="50" t="s">
        <v>122</v>
      </c>
      <c r="I11" s="6" t="s">
        <v>2</v>
      </c>
      <c r="J11" s="50" t="s">
        <v>63</v>
      </c>
      <c r="K11" s="6" t="s">
        <v>2</v>
      </c>
      <c r="L11" s="50" t="s">
        <v>81</v>
      </c>
      <c r="M11" s="6" t="s">
        <v>2</v>
      </c>
      <c r="N11" s="50" t="s">
        <v>185</v>
      </c>
      <c r="O11" s="6" t="s">
        <v>2</v>
      </c>
      <c r="P11" s="50" t="s">
        <v>108</v>
      </c>
      <c r="Q11" s="6" t="s">
        <v>2</v>
      </c>
      <c r="R11" s="163" t="s">
        <v>164</v>
      </c>
      <c r="S11" s="6" t="s">
        <v>2</v>
      </c>
      <c r="T11" s="50" t="s">
        <v>114</v>
      </c>
      <c r="U11" s="6" t="s">
        <v>2</v>
      </c>
      <c r="V11" s="50" t="s">
        <v>118</v>
      </c>
      <c r="W11" s="6" t="s">
        <v>2</v>
      </c>
      <c r="X11" s="50" t="s">
        <v>95</v>
      </c>
      <c r="Y11" s="64"/>
      <c r="Z11" s="298"/>
      <c r="AA11" s="298"/>
      <c r="AB11" s="298"/>
      <c r="AC11" s="298"/>
      <c r="AD11" s="276"/>
      <c r="AE11" s="277"/>
      <c r="AF11" s="9"/>
      <c r="AG11" s="264"/>
      <c r="AH11" s="8" t="s">
        <v>48</v>
      </c>
      <c r="AI11" s="36">
        <v>1110.8869999999999</v>
      </c>
    </row>
    <row r="12" spans="1:35" ht="15.75" x14ac:dyDescent="0.2">
      <c r="A12" s="268" t="s">
        <v>29</v>
      </c>
      <c r="B12" s="282" t="s">
        <v>5</v>
      </c>
      <c r="C12" s="287" t="s">
        <v>9</v>
      </c>
      <c r="D12" s="270" t="s">
        <v>30</v>
      </c>
      <c r="E12" s="268" t="s">
        <v>28</v>
      </c>
      <c r="F12" s="258"/>
      <c r="G12" s="268" t="s">
        <v>28</v>
      </c>
      <c r="H12" s="258"/>
      <c r="I12" s="268" t="s">
        <v>28</v>
      </c>
      <c r="J12" s="258"/>
      <c r="K12" s="268" t="s">
        <v>28</v>
      </c>
      <c r="L12" s="258"/>
      <c r="M12" s="268" t="s">
        <v>28</v>
      </c>
      <c r="N12" s="258"/>
      <c r="O12" s="268" t="s">
        <v>28</v>
      </c>
      <c r="P12" s="258"/>
      <c r="Q12" s="268" t="s">
        <v>28</v>
      </c>
      <c r="R12" s="258"/>
      <c r="S12" s="268" t="s">
        <v>28</v>
      </c>
      <c r="T12" s="258"/>
      <c r="U12" s="268" t="s">
        <v>28</v>
      </c>
      <c r="V12" s="258"/>
      <c r="W12" s="268" t="s">
        <v>28</v>
      </c>
      <c r="X12" s="258"/>
      <c r="Y12" s="4"/>
      <c r="Z12" s="269" t="s">
        <v>28</v>
      </c>
      <c r="AA12" s="269"/>
      <c r="AB12" s="269" t="s">
        <v>28</v>
      </c>
      <c r="AC12" s="269"/>
      <c r="AD12" s="270" t="s">
        <v>28</v>
      </c>
      <c r="AE12" s="271"/>
      <c r="AF12" s="4"/>
      <c r="AG12" s="269" t="s">
        <v>28</v>
      </c>
      <c r="AH12" s="269"/>
      <c r="AI12" s="269"/>
    </row>
    <row r="13" spans="1:35" ht="15.75" x14ac:dyDescent="0.2">
      <c r="A13" s="268"/>
      <c r="B13" s="283"/>
      <c r="C13" s="288"/>
      <c r="D13" s="270"/>
      <c r="E13" s="10" t="s">
        <v>31</v>
      </c>
      <c r="F13" s="11" t="s">
        <v>32</v>
      </c>
      <c r="G13" s="10" t="s">
        <v>31</v>
      </c>
      <c r="H13" s="11" t="s">
        <v>32</v>
      </c>
      <c r="I13" s="10" t="s">
        <v>31</v>
      </c>
      <c r="J13" s="11" t="s">
        <v>32</v>
      </c>
      <c r="K13" s="10" t="s">
        <v>31</v>
      </c>
      <c r="L13" s="11" t="s">
        <v>32</v>
      </c>
      <c r="M13" s="10" t="s">
        <v>31</v>
      </c>
      <c r="N13" s="11" t="s">
        <v>32</v>
      </c>
      <c r="O13" s="10" t="s">
        <v>31</v>
      </c>
      <c r="P13" s="11" t="s">
        <v>32</v>
      </c>
      <c r="Q13" s="10" t="s">
        <v>31</v>
      </c>
      <c r="R13" s="11" t="s">
        <v>32</v>
      </c>
      <c r="S13" s="10" t="s">
        <v>31</v>
      </c>
      <c r="T13" s="11" t="s">
        <v>32</v>
      </c>
      <c r="U13" s="10" t="s">
        <v>31</v>
      </c>
      <c r="V13" s="11" t="s">
        <v>32</v>
      </c>
      <c r="W13" s="10" t="s">
        <v>31</v>
      </c>
      <c r="X13" s="11" t="s">
        <v>32</v>
      </c>
      <c r="Y13" s="4"/>
      <c r="Z13" s="33" t="s">
        <v>31</v>
      </c>
      <c r="AA13" s="33" t="s">
        <v>32</v>
      </c>
      <c r="AB13" s="33" t="s">
        <v>31</v>
      </c>
      <c r="AC13" s="33" t="s">
        <v>32</v>
      </c>
      <c r="AD13" s="33" t="s">
        <v>31</v>
      </c>
      <c r="AE13" s="33" t="s">
        <v>32</v>
      </c>
      <c r="AF13" s="4"/>
      <c r="AG13" s="33" t="s">
        <v>9</v>
      </c>
      <c r="AH13" s="33" t="s">
        <v>31</v>
      </c>
      <c r="AI13" s="33" t="s">
        <v>32</v>
      </c>
    </row>
    <row r="14" spans="1:35" s="101" customFormat="1" ht="18.75" customHeight="1" x14ac:dyDescent="0.2">
      <c r="A14" s="93"/>
      <c r="B14" s="94" t="s">
        <v>91</v>
      </c>
      <c r="C14" s="95"/>
      <c r="D14" s="96"/>
      <c r="E14" s="93"/>
      <c r="F14" s="98">
        <f>SUM(F15:F22)</f>
        <v>6245968.8200000003</v>
      </c>
      <c r="G14" s="93"/>
      <c r="H14" s="97"/>
      <c r="I14" s="93"/>
      <c r="J14" s="97"/>
      <c r="K14" s="93"/>
      <c r="L14" s="98">
        <f>SUM(L15:L22)</f>
        <v>6267705.4500000011</v>
      </c>
      <c r="M14" s="93"/>
      <c r="N14" s="98">
        <f>SUM(N15:N22)</f>
        <v>6673932.5999999996</v>
      </c>
      <c r="O14" s="93"/>
      <c r="P14" s="98">
        <f>SUM(P15:P22)</f>
        <v>6752419.2999999998</v>
      </c>
      <c r="Q14" s="93"/>
      <c r="R14" s="98">
        <f>SUM(R15:R22)</f>
        <v>8022542.0900000008</v>
      </c>
      <c r="S14" s="93"/>
      <c r="T14" s="98">
        <f>SUM(T15:T22)</f>
        <v>6087166.3082999997</v>
      </c>
      <c r="U14" s="93"/>
      <c r="V14" s="98">
        <f>SUM(V16:V22)</f>
        <v>0</v>
      </c>
      <c r="W14" s="93"/>
      <c r="X14" s="98">
        <f>SUM(X16:X22)</f>
        <v>0</v>
      </c>
      <c r="Y14" s="99"/>
      <c r="Z14" s="100"/>
      <c r="AA14" s="100"/>
      <c r="AB14" s="100"/>
      <c r="AC14" s="100"/>
      <c r="AD14" s="100"/>
      <c r="AE14" s="100"/>
      <c r="AF14" s="99"/>
      <c r="AG14" s="100"/>
      <c r="AH14" s="100"/>
      <c r="AI14" s="100"/>
    </row>
    <row r="15" spans="1:35" ht="69" customHeight="1" x14ac:dyDescent="0.2">
      <c r="A15" s="12" t="s">
        <v>74</v>
      </c>
      <c r="B15" s="51" t="s">
        <v>242</v>
      </c>
      <c r="C15" s="14">
        <v>5833.75</v>
      </c>
      <c r="D15" s="15" t="s">
        <v>66</v>
      </c>
      <c r="E15" s="16">
        <f>(61599.14+3616.65+980746.18+1543104+2624089.43+28082.01+19430)/C15</f>
        <v>901.76428712234838</v>
      </c>
      <c r="F15" s="17">
        <f>E15*C15</f>
        <v>5260667.41</v>
      </c>
      <c r="G15" s="319" t="s">
        <v>248</v>
      </c>
      <c r="H15" s="320"/>
      <c r="I15" s="49">
        <v>838</v>
      </c>
      <c r="J15" s="88">
        <f>I15*C15</f>
        <v>4888682.5</v>
      </c>
      <c r="K15" s="49">
        <f>(37968+955486.2+1503360+2556503.7+37896+9475)/C15</f>
        <v>874.34135847439472</v>
      </c>
      <c r="L15" s="17">
        <f t="shared" ref="L15:L22" si="0">K15*C15</f>
        <v>5100688.9000000004</v>
      </c>
      <c r="M15" s="49">
        <v>930</v>
      </c>
      <c r="N15" s="17">
        <f>M15*C15</f>
        <v>5425387.5</v>
      </c>
      <c r="O15" s="49">
        <v>990</v>
      </c>
      <c r="P15" s="17">
        <f t="shared" ref="P15:P22" si="1">O15*C15</f>
        <v>5775412.5</v>
      </c>
      <c r="Q15" s="49">
        <v>985</v>
      </c>
      <c r="R15" s="17">
        <f t="shared" ref="R15:R22" si="2">Q15*C15</f>
        <v>5746243.75</v>
      </c>
      <c r="S15" s="49">
        <f>5093423.7/C15</f>
        <v>873.0959845725306</v>
      </c>
      <c r="T15" s="17">
        <f t="shared" ref="T15:T22" si="3">S15*C15</f>
        <v>5093423.7</v>
      </c>
      <c r="U15" s="310" t="s">
        <v>250</v>
      </c>
      <c r="V15" s="311"/>
      <c r="W15" s="240" t="s">
        <v>247</v>
      </c>
      <c r="X15" s="241"/>
      <c r="Y15" s="18"/>
      <c r="Z15" s="34">
        <v>838.2</v>
      </c>
      <c r="AA15" s="34">
        <f t="shared" ref="AA15:AA22" si="4">Z15*C15</f>
        <v>4889849.25</v>
      </c>
      <c r="AB15" s="34">
        <v>0</v>
      </c>
      <c r="AC15" s="34">
        <f t="shared" ref="AC15:AC22" si="5">AB15*C15</f>
        <v>0</v>
      </c>
      <c r="AD15" s="34">
        <v>0</v>
      </c>
      <c r="AE15" s="34">
        <f t="shared" ref="AE15:AE22" si="6">AD15*C15</f>
        <v>0</v>
      </c>
      <c r="AF15" s="18"/>
      <c r="AG15" s="37">
        <v>6010</v>
      </c>
      <c r="AH15" s="34">
        <v>843.7</v>
      </c>
      <c r="AI15" s="34">
        <f>AH15*AG15</f>
        <v>5070637</v>
      </c>
    </row>
    <row r="16" spans="1:35" ht="57" x14ac:dyDescent="0.2">
      <c r="A16" s="12" t="s">
        <v>74</v>
      </c>
      <c r="B16" s="51" t="s">
        <v>104</v>
      </c>
      <c r="C16" s="14">
        <v>69.540000000000006</v>
      </c>
      <c r="D16" s="15" t="s">
        <v>66</v>
      </c>
      <c r="E16" s="16">
        <f>61831.32/C16</f>
        <v>889.14754098360652</v>
      </c>
      <c r="F16" s="17">
        <f>E16*C16</f>
        <v>61831.32</v>
      </c>
      <c r="G16" s="321"/>
      <c r="H16" s="322"/>
      <c r="I16" s="49">
        <v>838</v>
      </c>
      <c r="J16" s="88">
        <f>I16*C16</f>
        <v>58274.520000000004</v>
      </c>
      <c r="K16" s="49">
        <f>(60238.8+60012.6+3523.5)/C16</f>
        <v>1779.9094046591888</v>
      </c>
      <c r="L16" s="17">
        <f t="shared" si="0"/>
        <v>123774.9</v>
      </c>
      <c r="M16" s="49">
        <v>930</v>
      </c>
      <c r="N16" s="17">
        <f t="shared" ref="N16:N34" si="7">M16*C16</f>
        <v>64672.200000000004</v>
      </c>
      <c r="O16" s="49">
        <v>990</v>
      </c>
      <c r="P16" s="17">
        <f t="shared" si="1"/>
        <v>68844.600000000006</v>
      </c>
      <c r="Q16" s="49">
        <v>985</v>
      </c>
      <c r="R16" s="17">
        <f t="shared" si="2"/>
        <v>68496.900000000009</v>
      </c>
      <c r="S16" s="49">
        <v>870</v>
      </c>
      <c r="T16" s="17">
        <f t="shared" si="3"/>
        <v>60499.8</v>
      </c>
      <c r="U16" s="312"/>
      <c r="V16" s="313"/>
      <c r="W16" s="242"/>
      <c r="X16" s="243"/>
      <c r="Y16" s="18"/>
      <c r="Z16" s="34">
        <v>838.2</v>
      </c>
      <c r="AA16" s="34">
        <f t="shared" si="4"/>
        <v>58288.428000000007</v>
      </c>
      <c r="AB16" s="34">
        <v>0</v>
      </c>
      <c r="AC16" s="34">
        <f t="shared" si="5"/>
        <v>0</v>
      </c>
      <c r="AD16" s="34">
        <v>0</v>
      </c>
      <c r="AE16" s="34">
        <f t="shared" si="6"/>
        <v>0</v>
      </c>
      <c r="AF16" s="18"/>
      <c r="AG16" s="37">
        <v>0</v>
      </c>
      <c r="AH16" s="34">
        <v>0</v>
      </c>
      <c r="AI16" s="34">
        <f>AH16*AG16</f>
        <v>0</v>
      </c>
    </row>
    <row r="17" spans="1:35" ht="73.349999999999994" customHeight="1" x14ac:dyDescent="0.2">
      <c r="A17" s="12" t="s">
        <v>75</v>
      </c>
      <c r="B17" s="51" t="s">
        <v>234</v>
      </c>
      <c r="C17" s="14">
        <v>966.13</v>
      </c>
      <c r="D17" s="15" t="s">
        <v>66</v>
      </c>
      <c r="E17" s="16">
        <v>893</v>
      </c>
      <c r="F17" s="17">
        <f t="shared" ref="F17" si="8">E17*C17</f>
        <v>862754.09</v>
      </c>
      <c r="G17" s="321"/>
      <c r="H17" s="322"/>
      <c r="I17" s="49">
        <v>885</v>
      </c>
      <c r="J17" s="88">
        <f>I17*C17</f>
        <v>855025.05</v>
      </c>
      <c r="K17" s="49">
        <f>(28408.55+840533.1)/C17</f>
        <v>899.40447972840093</v>
      </c>
      <c r="L17" s="17">
        <f t="shared" si="0"/>
        <v>868941.65</v>
      </c>
      <c r="M17" s="49">
        <f>(898500.9+13560+65307+80400)/C17</f>
        <v>1094.8504859594464</v>
      </c>
      <c r="N17" s="17">
        <f t="shared" si="7"/>
        <v>1057767.8999999999</v>
      </c>
      <c r="O17" s="49">
        <v>940</v>
      </c>
      <c r="P17" s="17">
        <f t="shared" si="1"/>
        <v>908162.2</v>
      </c>
      <c r="Q17" s="49">
        <f>(17561.05+25764+9990+61562.5+951638.05+123500+71700+353923.9+102044.25+159836.6+159836.6)/C17</f>
        <v>2108.7813751772537</v>
      </c>
      <c r="R17" s="17">
        <f t="shared" si="2"/>
        <v>2037356.9500000002</v>
      </c>
      <c r="S17" s="49">
        <v>751.91</v>
      </c>
      <c r="T17" s="17">
        <f t="shared" si="3"/>
        <v>726442.80829999992</v>
      </c>
      <c r="U17" s="312"/>
      <c r="V17" s="313"/>
      <c r="W17" s="242"/>
      <c r="X17" s="243"/>
      <c r="Y17" s="18"/>
      <c r="Z17" s="34">
        <v>700</v>
      </c>
      <c r="AA17" s="34">
        <f t="shared" si="4"/>
        <v>676291</v>
      </c>
      <c r="AB17" s="34">
        <v>0</v>
      </c>
      <c r="AC17" s="34">
        <f t="shared" si="5"/>
        <v>0</v>
      </c>
      <c r="AD17" s="34">
        <v>0</v>
      </c>
      <c r="AE17" s="34">
        <f t="shared" si="6"/>
        <v>0</v>
      </c>
      <c r="AF17" s="18"/>
      <c r="AG17" s="37">
        <v>1007</v>
      </c>
      <c r="AH17" s="34">
        <v>712.5</v>
      </c>
      <c r="AI17" s="34">
        <f t="shared" ref="AI17" si="9">AG17*AH17</f>
        <v>717487.5</v>
      </c>
    </row>
    <row r="18" spans="1:35" ht="72.599999999999994" customHeight="1" x14ac:dyDescent="0.2">
      <c r="A18" s="12" t="s">
        <v>76</v>
      </c>
      <c r="B18" s="51" t="s">
        <v>235</v>
      </c>
      <c r="C18" s="14">
        <v>0</v>
      </c>
      <c r="D18" s="15" t="s">
        <v>67</v>
      </c>
      <c r="E18" s="16">
        <v>0</v>
      </c>
      <c r="F18" s="17">
        <f>E18*C18</f>
        <v>0</v>
      </c>
      <c r="G18" s="321"/>
      <c r="H18" s="322"/>
      <c r="I18" s="49">
        <v>2.75</v>
      </c>
      <c r="J18" s="88">
        <f t="shared" ref="J18:J22" si="10">I18*C18</f>
        <v>0</v>
      </c>
      <c r="K18" s="49">
        <v>0</v>
      </c>
      <c r="L18" s="17">
        <f t="shared" si="0"/>
        <v>0</v>
      </c>
      <c r="M18" s="49"/>
      <c r="N18" s="17">
        <f t="shared" si="7"/>
        <v>0</v>
      </c>
      <c r="O18" s="49"/>
      <c r="P18" s="17">
        <f t="shared" si="1"/>
        <v>0</v>
      </c>
      <c r="Q18" s="49">
        <v>0</v>
      </c>
      <c r="R18" s="17">
        <f t="shared" si="2"/>
        <v>0</v>
      </c>
      <c r="S18" s="49">
        <v>0</v>
      </c>
      <c r="T18" s="17">
        <f t="shared" si="3"/>
        <v>0</v>
      </c>
      <c r="U18" s="312"/>
      <c r="V18" s="313"/>
      <c r="W18" s="242"/>
      <c r="X18" s="243"/>
      <c r="Y18" s="18"/>
      <c r="Z18" s="34">
        <v>0</v>
      </c>
      <c r="AA18" s="34">
        <f t="shared" si="4"/>
        <v>0</v>
      </c>
      <c r="AB18" s="34">
        <v>0</v>
      </c>
      <c r="AC18" s="34">
        <f t="shared" si="5"/>
        <v>0</v>
      </c>
      <c r="AD18" s="34">
        <v>0</v>
      </c>
      <c r="AE18" s="34">
        <f t="shared" si="6"/>
        <v>0</v>
      </c>
      <c r="AF18" s="18"/>
      <c r="AG18" s="37">
        <v>0</v>
      </c>
      <c r="AH18" s="34">
        <v>0</v>
      </c>
      <c r="AI18" s="34">
        <f>AH18*AG18</f>
        <v>0</v>
      </c>
    </row>
    <row r="19" spans="1:35" ht="52.7" customHeight="1" x14ac:dyDescent="0.2">
      <c r="A19" s="12" t="s">
        <v>77</v>
      </c>
      <c r="B19" s="51" t="s">
        <v>236</v>
      </c>
      <c r="C19" s="14">
        <v>1</v>
      </c>
      <c r="D19" s="15" t="s">
        <v>244</v>
      </c>
      <c r="E19" s="16">
        <v>0</v>
      </c>
      <c r="F19" s="17">
        <f>E19*C19</f>
        <v>0</v>
      </c>
      <c r="G19" s="321"/>
      <c r="H19" s="322"/>
      <c r="I19" s="49">
        <v>21.88</v>
      </c>
      <c r="J19" s="88">
        <f>I19*C19</f>
        <v>21.88</v>
      </c>
      <c r="K19" s="49">
        <v>0</v>
      </c>
      <c r="L19" s="17">
        <f t="shared" si="0"/>
        <v>0</v>
      </c>
      <c r="M19" s="49"/>
      <c r="N19" s="17">
        <f t="shared" ref="N19:N21" si="11">M19*C19</f>
        <v>0</v>
      </c>
      <c r="O19" s="49"/>
      <c r="P19" s="17">
        <f t="shared" si="1"/>
        <v>0</v>
      </c>
      <c r="Q19" s="49">
        <v>28500</v>
      </c>
      <c r="R19" s="17">
        <f t="shared" si="2"/>
        <v>28500</v>
      </c>
      <c r="S19" s="49">
        <v>0</v>
      </c>
      <c r="T19" s="17">
        <f t="shared" si="3"/>
        <v>0</v>
      </c>
      <c r="U19" s="312"/>
      <c r="V19" s="313"/>
      <c r="W19" s="242"/>
      <c r="X19" s="243"/>
      <c r="Y19" s="18"/>
      <c r="Z19" s="34">
        <v>0</v>
      </c>
      <c r="AA19" s="34">
        <f t="shared" si="4"/>
        <v>0</v>
      </c>
      <c r="AB19" s="34">
        <v>0</v>
      </c>
      <c r="AC19" s="34">
        <f t="shared" si="5"/>
        <v>0</v>
      </c>
      <c r="AD19" s="34">
        <v>0</v>
      </c>
      <c r="AE19" s="34">
        <f t="shared" si="6"/>
        <v>0</v>
      </c>
      <c r="AF19" s="18"/>
      <c r="AG19" s="37">
        <v>0</v>
      </c>
      <c r="AH19" s="34">
        <v>0</v>
      </c>
      <c r="AI19" s="34">
        <f t="shared" ref="AI19:AI21" si="12">AG19*AH19</f>
        <v>0</v>
      </c>
    </row>
    <row r="20" spans="1:35" ht="52.7" customHeight="1" x14ac:dyDescent="0.2">
      <c r="A20" s="12">
        <v>5</v>
      </c>
      <c r="B20" s="51" t="s">
        <v>240</v>
      </c>
      <c r="C20" s="14">
        <v>68.2</v>
      </c>
      <c r="D20" s="15" t="s">
        <v>243</v>
      </c>
      <c r="E20" s="16">
        <f>55421/C20</f>
        <v>812.62463343108504</v>
      </c>
      <c r="F20" s="17">
        <f>E20*C20</f>
        <v>55421</v>
      </c>
      <c r="G20" s="321"/>
      <c r="H20" s="322"/>
      <c r="I20" s="49">
        <v>0</v>
      </c>
      <c r="J20" s="88">
        <f>I20*C20</f>
        <v>0</v>
      </c>
      <c r="K20" s="49">
        <v>1500</v>
      </c>
      <c r="L20" s="17">
        <f t="shared" si="0"/>
        <v>102300</v>
      </c>
      <c r="M20" s="49">
        <f>120105/C20</f>
        <v>1761.0703812316715</v>
      </c>
      <c r="N20" s="17">
        <f t="shared" si="11"/>
        <v>120105</v>
      </c>
      <c r="O20" s="308" t="s">
        <v>251</v>
      </c>
      <c r="P20" s="309"/>
      <c r="Q20" s="49">
        <v>985</v>
      </c>
      <c r="R20" s="17">
        <f t="shared" si="2"/>
        <v>67177</v>
      </c>
      <c r="S20" s="49">
        <f>180550/C20</f>
        <v>2647.3607038123164</v>
      </c>
      <c r="T20" s="17">
        <f t="shared" si="3"/>
        <v>180549.99999999997</v>
      </c>
      <c r="U20" s="312"/>
      <c r="V20" s="313"/>
      <c r="W20" s="242"/>
      <c r="X20" s="243"/>
      <c r="Y20" s="18"/>
      <c r="Z20" s="34">
        <v>0</v>
      </c>
      <c r="AA20" s="34">
        <f t="shared" si="4"/>
        <v>0</v>
      </c>
      <c r="AB20" s="34">
        <v>0</v>
      </c>
      <c r="AC20" s="34">
        <f t="shared" si="5"/>
        <v>0</v>
      </c>
      <c r="AD20" s="34">
        <v>0</v>
      </c>
      <c r="AE20" s="34">
        <f t="shared" si="6"/>
        <v>0</v>
      </c>
      <c r="AF20" s="18"/>
      <c r="AG20" s="37">
        <v>0</v>
      </c>
      <c r="AH20" s="34">
        <v>0</v>
      </c>
      <c r="AI20" s="34">
        <f t="shared" si="12"/>
        <v>0</v>
      </c>
    </row>
    <row r="21" spans="1:35" ht="70.349999999999994" customHeight="1" x14ac:dyDescent="0.2">
      <c r="A21" s="12">
        <v>6</v>
      </c>
      <c r="B21" s="51" t="s">
        <v>241</v>
      </c>
      <c r="C21" s="14">
        <v>48</v>
      </c>
      <c r="D21" s="15" t="s">
        <v>243</v>
      </c>
      <c r="E21" s="16">
        <f>5295/C21</f>
        <v>110.3125</v>
      </c>
      <c r="F21" s="17">
        <f>E21*C21</f>
        <v>5295</v>
      </c>
      <c r="G21" s="321"/>
      <c r="H21" s="322"/>
      <c r="I21" s="49">
        <v>0</v>
      </c>
      <c r="J21" s="88">
        <f t="shared" ref="J21" si="13">I21*C21</f>
        <v>0</v>
      </c>
      <c r="K21" s="49">
        <v>1500</v>
      </c>
      <c r="L21" s="17">
        <f t="shared" ref="L21" si="14">K21*C21</f>
        <v>72000</v>
      </c>
      <c r="M21" s="49">
        <f>6000/C21</f>
        <v>125</v>
      </c>
      <c r="N21" s="17">
        <f t="shared" si="11"/>
        <v>6000</v>
      </c>
      <c r="O21" s="308" t="s">
        <v>251</v>
      </c>
      <c r="P21" s="309"/>
      <c r="Q21" s="49">
        <f>(40650.94+34116.55)/C21</f>
        <v>1557.6560416666669</v>
      </c>
      <c r="R21" s="17">
        <f t="shared" ref="R21" si="15">Q21*C21</f>
        <v>74767.490000000005</v>
      </c>
      <c r="S21" s="49">
        <f>26250/C21</f>
        <v>546.875</v>
      </c>
      <c r="T21" s="17">
        <f t="shared" ref="T21" si="16">S21*C21</f>
        <v>26250</v>
      </c>
      <c r="U21" s="312"/>
      <c r="V21" s="313"/>
      <c r="W21" s="242"/>
      <c r="X21" s="243"/>
      <c r="Y21" s="18"/>
      <c r="Z21" s="34">
        <v>0</v>
      </c>
      <c r="AA21" s="34">
        <f t="shared" ref="AA21" si="17">Z21*C21</f>
        <v>0</v>
      </c>
      <c r="AB21" s="34">
        <v>0</v>
      </c>
      <c r="AC21" s="34">
        <f t="shared" ref="AC21" si="18">AB21*C21</f>
        <v>0</v>
      </c>
      <c r="AD21" s="34">
        <v>0</v>
      </c>
      <c r="AE21" s="34">
        <f t="shared" ref="AE21" si="19">AD21*C21</f>
        <v>0</v>
      </c>
      <c r="AF21" s="18"/>
      <c r="AG21" s="37">
        <v>0</v>
      </c>
      <c r="AH21" s="34">
        <v>0</v>
      </c>
      <c r="AI21" s="34">
        <f t="shared" si="12"/>
        <v>0</v>
      </c>
    </row>
    <row r="22" spans="1:35" ht="70.349999999999994" customHeight="1" x14ac:dyDescent="0.2">
      <c r="A22" s="12">
        <v>6</v>
      </c>
      <c r="B22" s="51" t="s">
        <v>249</v>
      </c>
      <c r="C22" s="14">
        <v>2526.4</v>
      </c>
      <c r="D22" s="15" t="s">
        <v>243</v>
      </c>
      <c r="E22" s="16">
        <v>0</v>
      </c>
      <c r="F22" s="17">
        <f>E22*C22</f>
        <v>0</v>
      </c>
      <c r="G22" s="323"/>
      <c r="H22" s="324"/>
      <c r="I22" s="49">
        <v>0</v>
      </c>
      <c r="J22" s="88">
        <f t="shared" si="10"/>
        <v>0</v>
      </c>
      <c r="K22" s="49">
        <v>0</v>
      </c>
      <c r="L22" s="17">
        <f t="shared" si="0"/>
        <v>0</v>
      </c>
      <c r="M22" s="49">
        <v>0</v>
      </c>
      <c r="N22" s="17">
        <f t="shared" si="7"/>
        <v>0</v>
      </c>
      <c r="O22" s="49"/>
      <c r="P22" s="17">
        <f t="shared" si="1"/>
        <v>0</v>
      </c>
      <c r="Q22" s="49">
        <v>0</v>
      </c>
      <c r="R22" s="17">
        <f t="shared" si="2"/>
        <v>0</v>
      </c>
      <c r="S22" s="49">
        <v>0</v>
      </c>
      <c r="T22" s="17">
        <f t="shared" si="3"/>
        <v>0</v>
      </c>
      <c r="U22" s="314"/>
      <c r="V22" s="315"/>
      <c r="W22" s="244"/>
      <c r="X22" s="245"/>
      <c r="Y22" s="18"/>
      <c r="Z22" s="34">
        <v>0</v>
      </c>
      <c r="AA22" s="34">
        <f t="shared" si="4"/>
        <v>0</v>
      </c>
      <c r="AB22" s="34">
        <v>0</v>
      </c>
      <c r="AC22" s="34">
        <f t="shared" si="5"/>
        <v>0</v>
      </c>
      <c r="AD22" s="34">
        <v>0</v>
      </c>
      <c r="AE22" s="34">
        <f t="shared" si="6"/>
        <v>0</v>
      </c>
      <c r="AF22" s="18"/>
      <c r="AG22" s="37">
        <v>0</v>
      </c>
      <c r="AH22" s="34">
        <v>0</v>
      </c>
      <c r="AI22" s="34">
        <f t="shared" ref="AI22:AI34" si="20">AG22*AH22</f>
        <v>0</v>
      </c>
    </row>
    <row r="23" spans="1:35" s="101" customFormat="1" ht="21" customHeight="1" x14ac:dyDescent="0.2">
      <c r="A23" s="102"/>
      <c r="B23" s="103" t="s">
        <v>61</v>
      </c>
      <c r="C23" s="104"/>
      <c r="D23" s="105"/>
      <c r="E23" s="106"/>
      <c r="F23" s="107">
        <f>SUM(F24:F29)</f>
        <v>0</v>
      </c>
      <c r="G23" s="106"/>
      <c r="H23" s="107"/>
      <c r="I23" s="106"/>
      <c r="J23" s="107"/>
      <c r="K23" s="106"/>
      <c r="L23" s="107">
        <f>SUM(L24:L29)</f>
        <v>0</v>
      </c>
      <c r="M23" s="106"/>
      <c r="N23" s="107">
        <f>SUM(N24:N29)</f>
        <v>0</v>
      </c>
      <c r="O23" s="106"/>
      <c r="P23" s="107">
        <f>SUM(P24:P29)</f>
        <v>0</v>
      </c>
      <c r="Q23" s="106"/>
      <c r="R23" s="107">
        <f>SUM(R24:R29)</f>
        <v>0</v>
      </c>
      <c r="S23" s="106"/>
      <c r="T23" s="107">
        <f>SUM(T24:T29)</f>
        <v>0</v>
      </c>
      <c r="U23" s="106"/>
      <c r="V23" s="107">
        <f>SUM(V24:V29)</f>
        <v>0</v>
      </c>
      <c r="W23" s="106"/>
      <c r="X23" s="107">
        <f>SUM(X24:X29)</f>
        <v>0</v>
      </c>
      <c r="Y23" s="108"/>
      <c r="Z23" s="109"/>
      <c r="AA23" s="109"/>
      <c r="AB23" s="109"/>
      <c r="AC23" s="109"/>
      <c r="AD23" s="109"/>
      <c r="AE23" s="109"/>
      <c r="AF23" s="108"/>
      <c r="AG23" s="110"/>
      <c r="AH23" s="109"/>
      <c r="AI23" s="109"/>
    </row>
    <row r="24" spans="1:35" ht="41.45" customHeight="1" x14ac:dyDescent="0.2">
      <c r="A24" s="12"/>
      <c r="B24" s="51" t="s">
        <v>237</v>
      </c>
      <c r="C24" s="14">
        <v>0</v>
      </c>
      <c r="D24" s="15" t="s">
        <v>69</v>
      </c>
      <c r="E24" s="49">
        <v>0</v>
      </c>
      <c r="F24" s="88">
        <f>E24*C24</f>
        <v>0</v>
      </c>
      <c r="G24" s="319" t="s">
        <v>248</v>
      </c>
      <c r="H24" s="320"/>
      <c r="I24" s="308" t="s">
        <v>99</v>
      </c>
      <c r="J24" s="309"/>
      <c r="K24" s="49">
        <v>0</v>
      </c>
      <c r="L24" s="88">
        <f>K24*C24</f>
        <v>0</v>
      </c>
      <c r="M24" s="87">
        <v>0</v>
      </c>
      <c r="N24" s="17">
        <f t="shared" si="7"/>
        <v>0</v>
      </c>
      <c r="O24" s="87">
        <v>0</v>
      </c>
      <c r="P24" s="17">
        <f t="shared" ref="P24:P29" si="21">O24*C24</f>
        <v>0</v>
      </c>
      <c r="Q24" s="49">
        <v>0</v>
      </c>
      <c r="R24" s="17">
        <f t="shared" ref="R24:R29" si="22">Q24*C24</f>
        <v>0</v>
      </c>
      <c r="S24" s="49">
        <v>0</v>
      </c>
      <c r="T24" s="17">
        <f t="shared" ref="T24:T29" si="23">S24*C24</f>
        <v>0</v>
      </c>
      <c r="U24" s="240" t="s">
        <v>250</v>
      </c>
      <c r="V24" s="241"/>
      <c r="W24" s="240" t="s">
        <v>247</v>
      </c>
      <c r="X24" s="241"/>
      <c r="Y24" s="59"/>
      <c r="Z24" s="305" t="s">
        <v>109</v>
      </c>
      <c r="AA24" s="306"/>
      <c r="AB24" s="38">
        <v>0</v>
      </c>
      <c r="AC24" s="34">
        <f t="shared" ref="AC24:AC29" si="24">AB24*C24</f>
        <v>0</v>
      </c>
      <c r="AD24" s="38">
        <v>0</v>
      </c>
      <c r="AE24" s="34">
        <f t="shared" ref="AE24:AE29" si="25">AD24*C24</f>
        <v>0</v>
      </c>
      <c r="AF24" s="18"/>
      <c r="AG24" s="89">
        <v>0</v>
      </c>
      <c r="AH24" s="38">
        <v>0</v>
      </c>
      <c r="AI24" s="34">
        <f t="shared" si="20"/>
        <v>0</v>
      </c>
    </row>
    <row r="25" spans="1:35" ht="34.35" customHeight="1" x14ac:dyDescent="0.2">
      <c r="A25" s="12"/>
      <c r="B25" s="51" t="s">
        <v>239</v>
      </c>
      <c r="C25" s="14">
        <v>0</v>
      </c>
      <c r="D25" s="15" t="s">
        <v>69</v>
      </c>
      <c r="E25" s="49">
        <v>0</v>
      </c>
      <c r="F25" s="88">
        <f t="shared" ref="F25:F34" si="26">E25*C25</f>
        <v>0</v>
      </c>
      <c r="G25" s="321"/>
      <c r="H25" s="322"/>
      <c r="I25" s="308" t="s">
        <v>99</v>
      </c>
      <c r="J25" s="309"/>
      <c r="K25" s="49">
        <v>0</v>
      </c>
      <c r="L25" s="88">
        <f t="shared" ref="L25:L34" si="27">K25*C25</f>
        <v>0</v>
      </c>
      <c r="M25" s="49">
        <v>0</v>
      </c>
      <c r="N25" s="17">
        <f t="shared" si="7"/>
        <v>0</v>
      </c>
      <c r="O25" s="49">
        <v>0</v>
      </c>
      <c r="P25" s="17">
        <f t="shared" si="21"/>
        <v>0</v>
      </c>
      <c r="Q25" s="49">
        <v>0</v>
      </c>
      <c r="R25" s="17">
        <f t="shared" si="22"/>
        <v>0</v>
      </c>
      <c r="S25" s="49">
        <v>0</v>
      </c>
      <c r="T25" s="17">
        <f t="shared" si="23"/>
        <v>0</v>
      </c>
      <c r="U25" s="242"/>
      <c r="V25" s="243"/>
      <c r="W25" s="242"/>
      <c r="X25" s="243"/>
      <c r="Y25" s="59"/>
      <c r="Z25" s="38">
        <v>0</v>
      </c>
      <c r="AA25" s="34">
        <f>Z25*C25</f>
        <v>0</v>
      </c>
      <c r="AB25" s="38">
        <v>0</v>
      </c>
      <c r="AC25" s="34">
        <f t="shared" si="24"/>
        <v>0</v>
      </c>
      <c r="AD25" s="38">
        <v>0</v>
      </c>
      <c r="AE25" s="34">
        <f t="shared" si="25"/>
        <v>0</v>
      </c>
      <c r="AF25" s="18"/>
      <c r="AG25" s="89">
        <v>0</v>
      </c>
      <c r="AH25" s="38">
        <v>0</v>
      </c>
      <c r="AI25" s="34">
        <f t="shared" si="20"/>
        <v>0</v>
      </c>
    </row>
    <row r="26" spans="1:35" ht="34.700000000000003" customHeight="1" x14ac:dyDescent="0.2">
      <c r="A26" s="12"/>
      <c r="B26" s="51" t="s">
        <v>238</v>
      </c>
      <c r="C26" s="14">
        <v>0</v>
      </c>
      <c r="D26" s="15" t="s">
        <v>110</v>
      </c>
      <c r="E26" s="49">
        <v>0</v>
      </c>
      <c r="F26" s="88">
        <f t="shared" si="26"/>
        <v>0</v>
      </c>
      <c r="G26" s="321"/>
      <c r="H26" s="322"/>
      <c r="I26" s="308" t="s">
        <v>99</v>
      </c>
      <c r="J26" s="309"/>
      <c r="K26" s="49">
        <v>0</v>
      </c>
      <c r="L26" s="88">
        <f t="shared" si="27"/>
        <v>0</v>
      </c>
      <c r="M26" s="49">
        <v>0</v>
      </c>
      <c r="N26" s="17">
        <f t="shared" si="7"/>
        <v>0</v>
      </c>
      <c r="O26" s="49">
        <v>0</v>
      </c>
      <c r="P26" s="17">
        <f t="shared" si="21"/>
        <v>0</v>
      </c>
      <c r="Q26" s="49"/>
      <c r="R26" s="17">
        <f t="shared" si="22"/>
        <v>0</v>
      </c>
      <c r="S26" s="49"/>
      <c r="T26" s="17">
        <f t="shared" si="23"/>
        <v>0</v>
      </c>
      <c r="U26" s="242"/>
      <c r="V26" s="243"/>
      <c r="W26" s="242"/>
      <c r="X26" s="243"/>
      <c r="Y26" s="59"/>
      <c r="Z26" s="38">
        <v>30</v>
      </c>
      <c r="AA26" s="34">
        <f>Z26*C26</f>
        <v>0</v>
      </c>
      <c r="AB26" s="38">
        <v>0</v>
      </c>
      <c r="AC26" s="34">
        <f t="shared" si="24"/>
        <v>0</v>
      </c>
      <c r="AD26" s="38">
        <v>0</v>
      </c>
      <c r="AE26" s="34">
        <f t="shared" si="25"/>
        <v>0</v>
      </c>
      <c r="AF26" s="18"/>
      <c r="AG26" s="89">
        <v>0</v>
      </c>
      <c r="AH26" s="38">
        <v>0</v>
      </c>
      <c r="AI26" s="34">
        <f t="shared" si="20"/>
        <v>0</v>
      </c>
    </row>
    <row r="27" spans="1:35" ht="18.75" customHeight="1" x14ac:dyDescent="0.2">
      <c r="A27" s="12"/>
      <c r="B27" s="51"/>
      <c r="C27" s="14"/>
      <c r="D27" s="15"/>
      <c r="E27" s="49">
        <v>0</v>
      </c>
      <c r="F27" s="88">
        <f t="shared" si="26"/>
        <v>0</v>
      </c>
      <c r="G27" s="321"/>
      <c r="H27" s="322"/>
      <c r="I27" s="49">
        <v>0</v>
      </c>
      <c r="J27" s="88">
        <f t="shared" ref="J27:J34" si="28">I27*C27</f>
        <v>0</v>
      </c>
      <c r="K27" s="49">
        <v>0</v>
      </c>
      <c r="L27" s="88">
        <f t="shared" si="27"/>
        <v>0</v>
      </c>
      <c r="M27" s="49">
        <v>0</v>
      </c>
      <c r="N27" s="17">
        <f t="shared" si="7"/>
        <v>0</v>
      </c>
      <c r="O27" s="49">
        <v>0</v>
      </c>
      <c r="P27" s="17">
        <f t="shared" si="21"/>
        <v>0</v>
      </c>
      <c r="Q27" s="49">
        <v>0</v>
      </c>
      <c r="R27" s="17">
        <f t="shared" si="22"/>
        <v>0</v>
      </c>
      <c r="S27" s="49">
        <v>0</v>
      </c>
      <c r="T27" s="17">
        <f t="shared" si="23"/>
        <v>0</v>
      </c>
      <c r="U27" s="242"/>
      <c r="V27" s="243"/>
      <c r="W27" s="242"/>
      <c r="X27" s="243"/>
      <c r="Y27" s="59"/>
      <c r="Z27" s="38">
        <v>0</v>
      </c>
      <c r="AA27" s="34">
        <f>Z27*C27</f>
        <v>0</v>
      </c>
      <c r="AB27" s="38">
        <v>0</v>
      </c>
      <c r="AC27" s="34">
        <f t="shared" si="24"/>
        <v>0</v>
      </c>
      <c r="AD27" s="38">
        <v>0</v>
      </c>
      <c r="AE27" s="34">
        <f t="shared" si="25"/>
        <v>0</v>
      </c>
      <c r="AF27" s="18"/>
      <c r="AG27" s="89">
        <v>0</v>
      </c>
      <c r="AH27" s="38">
        <v>0</v>
      </c>
      <c r="AI27" s="34">
        <f t="shared" si="20"/>
        <v>0</v>
      </c>
    </row>
    <row r="28" spans="1:35" ht="18.75" customHeight="1" x14ac:dyDescent="0.2">
      <c r="A28" s="12"/>
      <c r="B28" s="51"/>
      <c r="C28" s="14"/>
      <c r="D28" s="15"/>
      <c r="E28" s="49">
        <v>0</v>
      </c>
      <c r="F28" s="88">
        <f t="shared" si="26"/>
        <v>0</v>
      </c>
      <c r="G28" s="321"/>
      <c r="H28" s="322"/>
      <c r="I28" s="49">
        <v>0</v>
      </c>
      <c r="J28" s="88">
        <f t="shared" si="28"/>
        <v>0</v>
      </c>
      <c r="K28" s="49">
        <v>0</v>
      </c>
      <c r="L28" s="88">
        <f t="shared" si="27"/>
        <v>0</v>
      </c>
      <c r="M28" s="49">
        <v>0</v>
      </c>
      <c r="N28" s="17">
        <f t="shared" si="7"/>
        <v>0</v>
      </c>
      <c r="O28" s="49">
        <v>0</v>
      </c>
      <c r="P28" s="17">
        <f t="shared" si="21"/>
        <v>0</v>
      </c>
      <c r="Q28" s="49">
        <v>0</v>
      </c>
      <c r="R28" s="17">
        <f t="shared" si="22"/>
        <v>0</v>
      </c>
      <c r="S28" s="49">
        <v>0</v>
      </c>
      <c r="T28" s="17">
        <f t="shared" si="23"/>
        <v>0</v>
      </c>
      <c r="U28" s="242"/>
      <c r="V28" s="243"/>
      <c r="W28" s="242"/>
      <c r="X28" s="243"/>
      <c r="Y28" s="59"/>
      <c r="Z28" s="38">
        <v>0</v>
      </c>
      <c r="AA28" s="34">
        <f>Z28*C28</f>
        <v>0</v>
      </c>
      <c r="AB28" s="38">
        <v>0</v>
      </c>
      <c r="AC28" s="34">
        <f t="shared" si="24"/>
        <v>0</v>
      </c>
      <c r="AD28" s="38">
        <v>0</v>
      </c>
      <c r="AE28" s="34">
        <f t="shared" si="25"/>
        <v>0</v>
      </c>
      <c r="AF28" s="18"/>
      <c r="AG28" s="89">
        <v>0</v>
      </c>
      <c r="AH28" s="38">
        <v>0</v>
      </c>
      <c r="AI28" s="34">
        <f t="shared" si="20"/>
        <v>0</v>
      </c>
    </row>
    <row r="29" spans="1:35" ht="18.75" customHeight="1" x14ac:dyDescent="0.2">
      <c r="A29" s="12"/>
      <c r="B29" s="51"/>
      <c r="C29" s="14"/>
      <c r="D29" s="15"/>
      <c r="E29" s="49">
        <v>0</v>
      </c>
      <c r="F29" s="88">
        <f t="shared" si="26"/>
        <v>0</v>
      </c>
      <c r="G29" s="323"/>
      <c r="H29" s="324"/>
      <c r="I29" s="49">
        <v>0</v>
      </c>
      <c r="J29" s="88">
        <f t="shared" si="28"/>
        <v>0</v>
      </c>
      <c r="K29" s="49">
        <v>0</v>
      </c>
      <c r="L29" s="88">
        <f t="shared" si="27"/>
        <v>0</v>
      </c>
      <c r="M29" s="49">
        <v>0</v>
      </c>
      <c r="N29" s="17">
        <f t="shared" si="7"/>
        <v>0</v>
      </c>
      <c r="O29" s="49">
        <v>0</v>
      </c>
      <c r="P29" s="17">
        <f t="shared" si="21"/>
        <v>0</v>
      </c>
      <c r="Q29" s="49">
        <v>0</v>
      </c>
      <c r="R29" s="17">
        <f t="shared" si="22"/>
        <v>0</v>
      </c>
      <c r="S29" s="49">
        <v>0</v>
      </c>
      <c r="T29" s="17">
        <f t="shared" si="23"/>
        <v>0</v>
      </c>
      <c r="U29" s="244"/>
      <c r="V29" s="245"/>
      <c r="W29" s="244"/>
      <c r="X29" s="245"/>
      <c r="Y29" s="59"/>
      <c r="Z29" s="38">
        <v>0</v>
      </c>
      <c r="AA29" s="34">
        <f>Z29*C29</f>
        <v>0</v>
      </c>
      <c r="AB29" s="38">
        <v>0</v>
      </c>
      <c r="AC29" s="34">
        <f t="shared" si="24"/>
        <v>0</v>
      </c>
      <c r="AD29" s="38">
        <v>0</v>
      </c>
      <c r="AE29" s="34">
        <f t="shared" si="25"/>
        <v>0</v>
      </c>
      <c r="AF29" s="18"/>
      <c r="AG29" s="89">
        <v>0</v>
      </c>
      <c r="AH29" s="38">
        <v>0</v>
      </c>
      <c r="AI29" s="34">
        <f t="shared" si="20"/>
        <v>0</v>
      </c>
    </row>
    <row r="30" spans="1:35" s="101" customFormat="1" ht="18.75" customHeight="1" x14ac:dyDescent="0.2">
      <c r="A30" s="102"/>
      <c r="B30" s="103" t="s">
        <v>97</v>
      </c>
      <c r="C30" s="104"/>
      <c r="D30" s="105"/>
      <c r="E30" s="106"/>
      <c r="F30" s="107">
        <f>SUM(F31:F34)</f>
        <v>0</v>
      </c>
      <c r="G30" s="106"/>
      <c r="H30" s="107"/>
      <c r="I30" s="106"/>
      <c r="J30" s="107"/>
      <c r="K30" s="106"/>
      <c r="L30" s="107">
        <f>SUM(L31:L36)</f>
        <v>0</v>
      </c>
      <c r="M30" s="106"/>
      <c r="N30" s="107">
        <f>SUM(N31:N36)</f>
        <v>0</v>
      </c>
      <c r="O30" s="106"/>
      <c r="P30" s="107">
        <f>SUM(P31:P36)</f>
        <v>0</v>
      </c>
      <c r="Q30" s="106"/>
      <c r="R30" s="107">
        <f>SUM(R31:R36)</f>
        <v>0</v>
      </c>
      <c r="S30" s="106"/>
      <c r="T30" s="107">
        <f>SUM(T31:T36)</f>
        <v>0</v>
      </c>
      <c r="U30" s="106"/>
      <c r="V30" s="107">
        <f>SUM(V31:V36)</f>
        <v>0</v>
      </c>
      <c r="W30" s="106"/>
      <c r="X30" s="107">
        <f>SUM(X31:X36)</f>
        <v>0</v>
      </c>
      <c r="Y30" s="108"/>
      <c r="Z30" s="109"/>
      <c r="AA30" s="109"/>
      <c r="AB30" s="109"/>
      <c r="AC30" s="109"/>
      <c r="AD30" s="109"/>
      <c r="AE30" s="109"/>
      <c r="AF30" s="108"/>
      <c r="AG30" s="110"/>
      <c r="AH30" s="109"/>
      <c r="AI30" s="109"/>
    </row>
    <row r="31" spans="1:35" ht="18.75" customHeight="1" x14ac:dyDescent="0.2">
      <c r="A31" s="12"/>
      <c r="B31" s="51" t="s">
        <v>59</v>
      </c>
      <c r="C31" s="14">
        <v>0</v>
      </c>
      <c r="D31" s="15" t="s">
        <v>68</v>
      </c>
      <c r="E31" s="16">
        <v>0</v>
      </c>
      <c r="F31" s="88">
        <f t="shared" si="26"/>
        <v>0</v>
      </c>
      <c r="G31" s="325" t="s">
        <v>248</v>
      </c>
      <c r="H31" s="326"/>
      <c r="I31" s="16">
        <f>34*9</f>
        <v>306</v>
      </c>
      <c r="J31" s="88">
        <f t="shared" si="28"/>
        <v>0</v>
      </c>
      <c r="K31" s="49">
        <v>0</v>
      </c>
      <c r="L31" s="88">
        <f t="shared" si="27"/>
        <v>0</v>
      </c>
      <c r="M31" s="49">
        <v>0</v>
      </c>
      <c r="N31" s="17">
        <f t="shared" si="7"/>
        <v>0</v>
      </c>
      <c r="O31" s="49">
        <v>0</v>
      </c>
      <c r="P31" s="17">
        <f>O31*C31</f>
        <v>0</v>
      </c>
      <c r="Q31" s="49">
        <v>0</v>
      </c>
      <c r="R31" s="17">
        <f>Q31*C31</f>
        <v>0</v>
      </c>
      <c r="S31" s="49">
        <v>0</v>
      </c>
      <c r="T31" s="17">
        <f>S31*C31</f>
        <v>0</v>
      </c>
      <c r="U31" s="240" t="s">
        <v>250</v>
      </c>
      <c r="V31" s="241"/>
      <c r="W31" s="246" t="s">
        <v>247</v>
      </c>
      <c r="X31" s="247"/>
      <c r="Y31" s="18"/>
      <c r="Z31" s="34">
        <v>0</v>
      </c>
      <c r="AA31" s="34">
        <f>Z31*C31</f>
        <v>0</v>
      </c>
      <c r="AB31" s="34">
        <v>0</v>
      </c>
      <c r="AC31" s="34">
        <f>AB31*C31</f>
        <v>0</v>
      </c>
      <c r="AD31" s="34">
        <v>0</v>
      </c>
      <c r="AE31" s="34">
        <f>AD31*C31</f>
        <v>0</v>
      </c>
      <c r="AF31" s="18"/>
      <c r="AG31" s="37">
        <v>0</v>
      </c>
      <c r="AH31" s="34">
        <v>0</v>
      </c>
      <c r="AI31" s="34">
        <f t="shared" si="20"/>
        <v>0</v>
      </c>
    </row>
    <row r="32" spans="1:35" ht="18.75" customHeight="1" x14ac:dyDescent="0.2">
      <c r="A32" s="12"/>
      <c r="B32" s="51" t="s">
        <v>65</v>
      </c>
      <c r="C32" s="14">
        <v>0</v>
      </c>
      <c r="D32" s="15" t="s">
        <v>68</v>
      </c>
      <c r="E32" s="16">
        <v>0</v>
      </c>
      <c r="F32" s="88">
        <f t="shared" si="26"/>
        <v>0</v>
      </c>
      <c r="G32" s="327"/>
      <c r="H32" s="328"/>
      <c r="I32" s="16">
        <f>41.52*9</f>
        <v>373.68</v>
      </c>
      <c r="J32" s="88">
        <f t="shared" si="28"/>
        <v>0</v>
      </c>
      <c r="K32" s="49">
        <v>0</v>
      </c>
      <c r="L32" s="88">
        <f t="shared" si="27"/>
        <v>0</v>
      </c>
      <c r="M32" s="49">
        <v>0</v>
      </c>
      <c r="N32" s="17">
        <f t="shared" si="7"/>
        <v>0</v>
      </c>
      <c r="O32" s="49">
        <v>0</v>
      </c>
      <c r="P32" s="17">
        <f>O32*C32</f>
        <v>0</v>
      </c>
      <c r="Q32" s="49">
        <v>0</v>
      </c>
      <c r="R32" s="17">
        <f>Q32*C32</f>
        <v>0</v>
      </c>
      <c r="S32" s="49">
        <v>0</v>
      </c>
      <c r="T32" s="17">
        <f>S32*C32</f>
        <v>0</v>
      </c>
      <c r="U32" s="242"/>
      <c r="V32" s="243"/>
      <c r="W32" s="248"/>
      <c r="X32" s="249"/>
      <c r="Y32" s="18"/>
      <c r="Z32" s="34">
        <v>0</v>
      </c>
      <c r="AA32" s="34">
        <f>Z32*C32</f>
        <v>0</v>
      </c>
      <c r="AB32" s="34">
        <v>0</v>
      </c>
      <c r="AC32" s="34">
        <f>AB32*C32</f>
        <v>0</v>
      </c>
      <c r="AD32" s="34">
        <v>0</v>
      </c>
      <c r="AE32" s="34">
        <f>AD32*C32</f>
        <v>0</v>
      </c>
      <c r="AF32" s="18"/>
      <c r="AG32" s="37">
        <v>0</v>
      </c>
      <c r="AH32" s="34">
        <v>0</v>
      </c>
      <c r="AI32" s="34">
        <f t="shared" si="20"/>
        <v>0</v>
      </c>
    </row>
    <row r="33" spans="1:35" ht="20.25" customHeight="1" x14ac:dyDescent="0.2">
      <c r="A33" s="12"/>
      <c r="B33" s="13" t="s">
        <v>60</v>
      </c>
      <c r="C33" s="14">
        <v>0</v>
      </c>
      <c r="D33" s="15" t="s">
        <v>68</v>
      </c>
      <c r="E33" s="16">
        <v>0</v>
      </c>
      <c r="F33" s="88">
        <f t="shared" si="26"/>
        <v>0</v>
      </c>
      <c r="G33" s="327"/>
      <c r="H33" s="328"/>
      <c r="I33" s="16">
        <v>0</v>
      </c>
      <c r="J33" s="88">
        <f t="shared" si="28"/>
        <v>0</v>
      </c>
      <c r="K33" s="49">
        <v>0</v>
      </c>
      <c r="L33" s="88">
        <f t="shared" si="27"/>
        <v>0</v>
      </c>
      <c r="M33" s="49">
        <v>0</v>
      </c>
      <c r="N33" s="17">
        <f t="shared" si="7"/>
        <v>0</v>
      </c>
      <c r="O33" s="49">
        <v>0</v>
      </c>
      <c r="P33" s="17">
        <f>O33*C33</f>
        <v>0</v>
      </c>
      <c r="Q33" s="49">
        <v>0</v>
      </c>
      <c r="R33" s="17">
        <f>Q33*C33</f>
        <v>0</v>
      </c>
      <c r="S33" s="49">
        <v>0</v>
      </c>
      <c r="T33" s="17">
        <f>S33*C33</f>
        <v>0</v>
      </c>
      <c r="U33" s="242"/>
      <c r="V33" s="243"/>
      <c r="W33" s="248"/>
      <c r="X33" s="249"/>
      <c r="Y33" s="18"/>
      <c r="Z33" s="34">
        <v>0</v>
      </c>
      <c r="AA33" s="34">
        <f>Z33*C33</f>
        <v>0</v>
      </c>
      <c r="AB33" s="34">
        <v>0</v>
      </c>
      <c r="AC33" s="34">
        <f>AB33*C33</f>
        <v>0</v>
      </c>
      <c r="AD33" s="34">
        <v>0</v>
      </c>
      <c r="AE33" s="34">
        <f>AD33*C33</f>
        <v>0</v>
      </c>
      <c r="AF33" s="18"/>
      <c r="AG33" s="37">
        <v>0</v>
      </c>
      <c r="AH33" s="38">
        <v>0</v>
      </c>
      <c r="AI33" s="34">
        <f t="shared" si="20"/>
        <v>0</v>
      </c>
    </row>
    <row r="34" spans="1:35" ht="20.25" customHeight="1" x14ac:dyDescent="0.2">
      <c r="A34" s="12"/>
      <c r="B34" s="13" t="s">
        <v>64</v>
      </c>
      <c r="C34" s="14">
        <v>0</v>
      </c>
      <c r="D34" s="15" t="s">
        <v>70</v>
      </c>
      <c r="E34" s="16">
        <v>0</v>
      </c>
      <c r="F34" s="88">
        <f t="shared" si="26"/>
        <v>0</v>
      </c>
      <c r="G34" s="327"/>
      <c r="H34" s="328"/>
      <c r="I34" s="16">
        <v>0</v>
      </c>
      <c r="J34" s="88">
        <f t="shared" si="28"/>
        <v>0</v>
      </c>
      <c r="K34" s="16">
        <v>0</v>
      </c>
      <c r="L34" s="88">
        <f t="shared" si="27"/>
        <v>0</v>
      </c>
      <c r="M34" s="16">
        <v>0</v>
      </c>
      <c r="N34" s="17">
        <f t="shared" si="7"/>
        <v>0</v>
      </c>
      <c r="O34" s="16">
        <v>0</v>
      </c>
      <c r="P34" s="17">
        <f>O34*C34</f>
        <v>0</v>
      </c>
      <c r="Q34" s="16">
        <v>0</v>
      </c>
      <c r="R34" s="17">
        <f>Q34*C34</f>
        <v>0</v>
      </c>
      <c r="S34" s="16">
        <v>0</v>
      </c>
      <c r="T34" s="17">
        <f>S34*C34</f>
        <v>0</v>
      </c>
      <c r="U34" s="242"/>
      <c r="V34" s="243"/>
      <c r="W34" s="248"/>
      <c r="X34" s="249"/>
      <c r="Y34" s="18"/>
      <c r="Z34" s="34">
        <v>0</v>
      </c>
      <c r="AA34" s="34">
        <f>Z34*C34</f>
        <v>0</v>
      </c>
      <c r="AB34" s="34">
        <v>0</v>
      </c>
      <c r="AC34" s="34">
        <f>AB34*C34</f>
        <v>0</v>
      </c>
      <c r="AD34" s="34">
        <v>0</v>
      </c>
      <c r="AE34" s="34">
        <f>AD34*C34</f>
        <v>0</v>
      </c>
      <c r="AF34" s="18"/>
      <c r="AG34" s="37">
        <v>0</v>
      </c>
      <c r="AH34" s="38">
        <v>0</v>
      </c>
      <c r="AI34" s="34">
        <f t="shared" si="20"/>
        <v>0</v>
      </c>
    </row>
    <row r="35" spans="1:35" ht="20.25" customHeight="1" x14ac:dyDescent="0.2">
      <c r="A35" s="12"/>
      <c r="B35" s="13"/>
      <c r="C35" s="14"/>
      <c r="D35" s="15"/>
      <c r="E35" s="16"/>
      <c r="F35" s="88"/>
      <c r="G35" s="329"/>
      <c r="H35" s="330"/>
      <c r="I35" s="16"/>
      <c r="J35" s="88"/>
      <c r="K35" s="16"/>
      <c r="L35" s="88"/>
      <c r="M35" s="16"/>
      <c r="N35" s="17"/>
      <c r="O35" s="16"/>
      <c r="P35" s="17"/>
      <c r="Q35" s="16"/>
      <c r="R35" s="17"/>
      <c r="S35" s="16"/>
      <c r="T35" s="17"/>
      <c r="U35" s="242"/>
      <c r="V35" s="243"/>
      <c r="W35" s="248"/>
      <c r="X35" s="249"/>
      <c r="Y35" s="18"/>
      <c r="Z35" s="34"/>
      <c r="AA35" s="34"/>
      <c r="AB35" s="34"/>
      <c r="AC35" s="34"/>
      <c r="AD35" s="34"/>
      <c r="AE35" s="34"/>
      <c r="AF35" s="18"/>
      <c r="AG35" s="37"/>
      <c r="AH35" s="38"/>
      <c r="AI35" s="34"/>
    </row>
    <row r="36" spans="1:35" ht="19.350000000000001" customHeight="1" x14ac:dyDescent="0.2">
      <c r="A36" s="12"/>
      <c r="B36" s="13" t="s">
        <v>228</v>
      </c>
      <c r="C36" s="14">
        <f>C15+C16+C17</f>
        <v>6869.42</v>
      </c>
      <c r="D36" s="15"/>
      <c r="E36" s="16"/>
      <c r="F36" s="162">
        <f>+E39/$C$36</f>
        <v>909.24252993702532</v>
      </c>
      <c r="G36" s="16"/>
      <c r="H36" s="88"/>
      <c r="I36" s="16"/>
      <c r="J36" s="88"/>
      <c r="K36" s="16"/>
      <c r="L36" s="17"/>
      <c r="M36" s="16"/>
      <c r="N36" s="17"/>
      <c r="O36" s="16"/>
      <c r="P36" s="17"/>
      <c r="Q36" s="16"/>
      <c r="R36" s="17"/>
      <c r="S36" s="16"/>
      <c r="T36" s="17"/>
      <c r="U36" s="244"/>
      <c r="V36" s="245"/>
      <c r="W36" s="250"/>
      <c r="X36" s="251"/>
      <c r="Y36" s="18"/>
      <c r="Z36" s="34"/>
      <c r="AA36" s="34"/>
      <c r="AB36" s="34"/>
      <c r="AC36" s="34"/>
      <c r="AD36" s="34"/>
      <c r="AE36" s="34"/>
      <c r="AF36" s="18"/>
      <c r="AG36" s="37"/>
      <c r="AH36" s="38"/>
      <c r="AI36" s="34"/>
    </row>
    <row r="37" spans="1:35" ht="20.100000000000001" customHeight="1" x14ac:dyDescent="0.2">
      <c r="A37" s="316" t="s">
        <v>37</v>
      </c>
      <c r="B37" s="317"/>
      <c r="C37" s="317"/>
      <c r="D37" s="318"/>
      <c r="E37" s="254">
        <f>SUM(F15:F34)</f>
        <v>6245968.8200000003</v>
      </c>
      <c r="F37" s="255"/>
      <c r="G37" s="254">
        <v>0</v>
      </c>
      <c r="H37" s="255"/>
      <c r="I37" s="254">
        <f>I39</f>
        <v>5802003.9499999993</v>
      </c>
      <c r="J37" s="255"/>
      <c r="K37" s="254">
        <f>K39</f>
        <v>6267705.4500000011</v>
      </c>
      <c r="L37" s="255"/>
      <c r="M37" s="254">
        <f>M39</f>
        <v>6673932.5999999996</v>
      </c>
      <c r="N37" s="255"/>
      <c r="O37" s="254">
        <f>O39</f>
        <v>6752419.2999999998</v>
      </c>
      <c r="P37" s="255"/>
      <c r="Q37" s="254">
        <f>Q39</f>
        <v>8022542.0900000008</v>
      </c>
      <c r="R37" s="255"/>
      <c r="S37" s="254">
        <f>S39</f>
        <v>6087166.3082999997</v>
      </c>
      <c r="T37" s="255"/>
      <c r="U37" s="254">
        <v>0</v>
      </c>
      <c r="V37" s="255"/>
      <c r="W37" s="254">
        <v>0</v>
      </c>
      <c r="X37" s="255"/>
      <c r="Y37" s="19"/>
      <c r="Z37" s="307">
        <f>SUM(AA15:AA34)</f>
        <v>5624428.6780000003</v>
      </c>
      <c r="AA37" s="307"/>
      <c r="AB37" s="307">
        <f>SUM(AC15:AC34)</f>
        <v>0</v>
      </c>
      <c r="AC37" s="307"/>
      <c r="AD37" s="307">
        <f>SUM(AE15:AE34)</f>
        <v>0</v>
      </c>
      <c r="AE37" s="307"/>
      <c r="AF37" s="19"/>
      <c r="AG37" s="333" t="s">
        <v>21</v>
      </c>
      <c r="AH37" s="333"/>
      <c r="AI37" s="70">
        <f>SUM(AI15:AI34)</f>
        <v>5788124.5</v>
      </c>
    </row>
    <row r="38" spans="1:35" ht="20.100000000000001" customHeight="1" x14ac:dyDescent="0.2">
      <c r="A38" s="316" t="s">
        <v>8</v>
      </c>
      <c r="B38" s="317"/>
      <c r="C38" s="317"/>
      <c r="D38" s="318"/>
      <c r="E38" s="256">
        <v>0</v>
      </c>
      <c r="F38" s="257"/>
      <c r="G38" s="256">
        <f>G37-G39</f>
        <v>0</v>
      </c>
      <c r="H38" s="257"/>
      <c r="I38" s="256">
        <f>I37-I39</f>
        <v>0</v>
      </c>
      <c r="J38" s="257"/>
      <c r="K38" s="256">
        <f>K37-K39</f>
        <v>0</v>
      </c>
      <c r="L38" s="257"/>
      <c r="M38" s="256">
        <v>0</v>
      </c>
      <c r="N38" s="257"/>
      <c r="O38" s="256">
        <v>0</v>
      </c>
      <c r="P38" s="257"/>
      <c r="Q38" s="256">
        <v>0</v>
      </c>
      <c r="R38" s="257"/>
      <c r="S38" s="256">
        <v>0</v>
      </c>
      <c r="T38" s="257"/>
      <c r="U38" s="256">
        <v>0</v>
      </c>
      <c r="V38" s="257"/>
      <c r="W38" s="256">
        <v>0</v>
      </c>
      <c r="X38" s="257"/>
      <c r="Y38" s="4"/>
      <c r="Z38" s="307">
        <f>Z39-Z37</f>
        <v>0</v>
      </c>
      <c r="AA38" s="307"/>
      <c r="AB38" s="307">
        <f>AB39-AB37</f>
        <v>0</v>
      </c>
      <c r="AC38" s="307"/>
      <c r="AD38" s="331">
        <f>AD39-AD37</f>
        <v>0</v>
      </c>
      <c r="AE38" s="332"/>
      <c r="AF38" s="19"/>
      <c r="AG38" s="333" t="s">
        <v>51</v>
      </c>
      <c r="AH38" s="333"/>
      <c r="AI38" s="39">
        <f>AI37*(AI11/AI9)</f>
        <v>6083807.9256913643</v>
      </c>
    </row>
    <row r="39" spans="1:35" ht="20.100000000000001" customHeight="1" x14ac:dyDescent="0.2">
      <c r="A39" s="316" t="s">
        <v>36</v>
      </c>
      <c r="B39" s="317"/>
      <c r="C39" s="317"/>
      <c r="D39" s="318"/>
      <c r="E39" s="254">
        <f>F30+F23+F14</f>
        <v>6245968.8200000003</v>
      </c>
      <c r="F39" s="258"/>
      <c r="G39" s="254">
        <f>SUM(H16:H22)</f>
        <v>0</v>
      </c>
      <c r="H39" s="258"/>
      <c r="I39" s="254">
        <f>SUM(J15:J22,J27:J29,J31:J36)</f>
        <v>5802003.9499999993</v>
      </c>
      <c r="J39" s="258"/>
      <c r="K39" s="254">
        <f>L30+L23+L14</f>
        <v>6267705.4500000011</v>
      </c>
      <c r="L39" s="258"/>
      <c r="M39" s="254">
        <f>N30+N23+N14</f>
        <v>6673932.5999999996</v>
      </c>
      <c r="N39" s="258"/>
      <c r="O39" s="254">
        <f>P30+P23+P14</f>
        <v>6752419.2999999998</v>
      </c>
      <c r="P39" s="258"/>
      <c r="Q39" s="254">
        <f>R30+R23+R14</f>
        <v>8022542.0900000008</v>
      </c>
      <c r="R39" s="258"/>
      <c r="S39" s="254">
        <f>T30+T23+T14</f>
        <v>6087166.3082999997</v>
      </c>
      <c r="T39" s="258"/>
      <c r="U39" s="254">
        <f>V14</f>
        <v>0</v>
      </c>
      <c r="V39" s="258"/>
      <c r="W39" s="254">
        <f>X14</f>
        <v>0</v>
      </c>
      <c r="X39" s="258"/>
      <c r="Y39" s="4"/>
      <c r="Z39" s="307">
        <f>SUM(AA15:AA34)</f>
        <v>5624428.6780000003</v>
      </c>
      <c r="AA39" s="269"/>
      <c r="AB39" s="307">
        <f>SUM(AC15:AC34)</f>
        <v>0</v>
      </c>
      <c r="AC39" s="269"/>
      <c r="AD39" s="307">
        <f>SUM(AE15:AE34)</f>
        <v>0</v>
      </c>
      <c r="AE39" s="269"/>
      <c r="AF39" s="4"/>
      <c r="AG39" s="334"/>
      <c r="AH39" s="335"/>
      <c r="AI39" s="336"/>
    </row>
    <row r="40" spans="1:35" ht="20.100000000000001" customHeight="1" x14ac:dyDescent="0.2">
      <c r="A40" s="20"/>
      <c r="B40" s="21"/>
      <c r="C40" s="21"/>
      <c r="D40" s="22" t="s">
        <v>45</v>
      </c>
      <c r="E40" s="259">
        <f>E38/E39</f>
        <v>0</v>
      </c>
      <c r="F40" s="260"/>
      <c r="G40" s="259" t="e">
        <f>G38/G39</f>
        <v>#DIV/0!</v>
      </c>
      <c r="H40" s="260"/>
      <c r="I40" s="259">
        <f>I38/I39</f>
        <v>0</v>
      </c>
      <c r="J40" s="260"/>
      <c r="K40" s="259">
        <f>K38/K39</f>
        <v>0</v>
      </c>
      <c r="L40" s="260"/>
      <c r="M40" s="259">
        <f>M38/M39</f>
        <v>0</v>
      </c>
      <c r="N40" s="260"/>
      <c r="O40" s="259">
        <f>O38/O39</f>
        <v>0</v>
      </c>
      <c r="P40" s="260"/>
      <c r="Q40" s="259">
        <f>Q38/Q39</f>
        <v>0</v>
      </c>
      <c r="R40" s="260"/>
      <c r="S40" s="259">
        <f>S38/S39</f>
        <v>0</v>
      </c>
      <c r="T40" s="260"/>
      <c r="U40" s="259" t="e">
        <f>U38/U39</f>
        <v>#DIV/0!</v>
      </c>
      <c r="V40" s="260"/>
      <c r="W40" s="259" t="e">
        <f>W38/W39</f>
        <v>#DIV/0!</v>
      </c>
      <c r="X40" s="260"/>
      <c r="Y40" s="65"/>
      <c r="Z40" s="331"/>
      <c r="AA40" s="332"/>
      <c r="AB40" s="331"/>
      <c r="AC40" s="332"/>
      <c r="AD40" s="331"/>
      <c r="AE40" s="332"/>
      <c r="AF40" s="19"/>
      <c r="AG40" s="307" t="s">
        <v>27</v>
      </c>
      <c r="AH40" s="307"/>
      <c r="AI40" s="307"/>
    </row>
    <row r="41" spans="1:35" ht="21.95" customHeight="1" x14ac:dyDescent="0.2">
      <c r="A41" s="351" t="s">
        <v>7</v>
      </c>
      <c r="B41" s="352"/>
      <c r="C41" s="352"/>
      <c r="D41" s="353"/>
      <c r="E41" s="261">
        <f>(E39/AI38)-1</f>
        <v>2.6654505909669668E-2</v>
      </c>
      <c r="F41" s="262"/>
      <c r="G41" s="261" t="e">
        <f>(G39/AG38)-1</f>
        <v>#VALUE!</v>
      </c>
      <c r="H41" s="262"/>
      <c r="I41" s="261">
        <f>(I39/AI37)-1</f>
        <v>2.3979183585285391E-3</v>
      </c>
      <c r="J41" s="262"/>
      <c r="K41" s="261">
        <f>(K39/AI38)-1</f>
        <v>3.0227371829418592E-2</v>
      </c>
      <c r="L41" s="262"/>
      <c r="M41" s="261" t="e">
        <f>(M39/AC38)-1</f>
        <v>#DIV/0!</v>
      </c>
      <c r="N41" s="262"/>
      <c r="O41" s="261" t="e">
        <f>(O39/AG38)-1</f>
        <v>#VALUE!</v>
      </c>
      <c r="P41" s="262"/>
      <c r="Q41" s="261" t="e">
        <f>(Q39/AE38)-1</f>
        <v>#DIV/0!</v>
      </c>
      <c r="R41" s="262"/>
      <c r="S41" s="261" t="e">
        <f>(S39/AG38)-1</f>
        <v>#VALUE!</v>
      </c>
      <c r="T41" s="262"/>
      <c r="U41" s="261" t="e">
        <f>(U39/AG38)-1</f>
        <v>#VALUE!</v>
      </c>
      <c r="V41" s="262"/>
      <c r="W41" s="261">
        <f>(W39/AI38)-1</f>
        <v>-1</v>
      </c>
      <c r="X41" s="262"/>
      <c r="Y41" s="23"/>
      <c r="Z41" s="337">
        <f>(Z39/$AI$38)-1</f>
        <v>-7.5508506070917747E-2</v>
      </c>
      <c r="AA41" s="337"/>
      <c r="AB41" s="337">
        <f>(AB39/$AI$38)-1</f>
        <v>-1</v>
      </c>
      <c r="AC41" s="337"/>
      <c r="AD41" s="338">
        <f>(AD39/$AI$38)-1</f>
        <v>-1</v>
      </c>
      <c r="AE41" s="339"/>
      <c r="AF41" s="23"/>
      <c r="AG41" s="354">
        <f>K39-AI37</f>
        <v>479580.95000000112</v>
      </c>
      <c r="AH41" s="354"/>
      <c r="AI41" s="354"/>
    </row>
    <row r="42" spans="1:35" ht="24.75" customHeight="1" x14ac:dyDescent="0.2">
      <c r="A42" s="348" t="s">
        <v>11</v>
      </c>
      <c r="B42" s="349"/>
      <c r="C42" s="349"/>
      <c r="D42" s="350"/>
      <c r="E42" s="252" t="s">
        <v>52</v>
      </c>
      <c r="F42" s="253"/>
      <c r="G42" s="252" t="s">
        <v>52</v>
      </c>
      <c r="H42" s="253"/>
      <c r="I42" s="252" t="s">
        <v>52</v>
      </c>
      <c r="J42" s="253"/>
      <c r="K42" s="252" t="s">
        <v>52</v>
      </c>
      <c r="L42" s="253"/>
      <c r="M42" s="252" t="s">
        <v>52</v>
      </c>
      <c r="N42" s="253"/>
      <c r="O42" s="252" t="s">
        <v>52</v>
      </c>
      <c r="P42" s="253"/>
      <c r="Q42" s="252" t="s">
        <v>52</v>
      </c>
      <c r="R42" s="253"/>
      <c r="S42" s="252" t="s">
        <v>52</v>
      </c>
      <c r="T42" s="253"/>
      <c r="U42" s="252" t="s">
        <v>52</v>
      </c>
      <c r="V42" s="253"/>
      <c r="W42" s="252" t="s">
        <v>52</v>
      </c>
      <c r="X42" s="253"/>
      <c r="Y42" s="24"/>
      <c r="Z42" s="340" t="s">
        <v>35</v>
      </c>
      <c r="AA42" s="340"/>
      <c r="AB42" s="340" t="s">
        <v>35</v>
      </c>
      <c r="AC42" s="340"/>
      <c r="AD42" s="341" t="s">
        <v>35</v>
      </c>
      <c r="AE42" s="342"/>
      <c r="AF42" s="24"/>
      <c r="AG42" s="347" t="s">
        <v>33</v>
      </c>
      <c r="AH42" s="347"/>
      <c r="AI42" s="347"/>
    </row>
    <row r="43" spans="1:35" ht="24.75" customHeight="1" x14ac:dyDescent="0.2">
      <c r="A43" s="348" t="s">
        <v>44</v>
      </c>
      <c r="B43" s="349"/>
      <c r="C43" s="349"/>
      <c r="D43" s="350"/>
      <c r="E43" s="252" t="s">
        <v>53</v>
      </c>
      <c r="F43" s="253"/>
      <c r="G43" s="252" t="s">
        <v>53</v>
      </c>
      <c r="H43" s="253"/>
      <c r="I43" s="252" t="s">
        <v>53</v>
      </c>
      <c r="J43" s="253"/>
      <c r="K43" s="252" t="s">
        <v>53</v>
      </c>
      <c r="L43" s="253"/>
      <c r="M43" s="252" t="s">
        <v>53</v>
      </c>
      <c r="N43" s="253"/>
      <c r="O43" s="252" t="s">
        <v>53</v>
      </c>
      <c r="P43" s="253"/>
      <c r="Q43" s="252" t="s">
        <v>53</v>
      </c>
      <c r="R43" s="253"/>
      <c r="S43" s="252" t="s">
        <v>53</v>
      </c>
      <c r="T43" s="253"/>
      <c r="U43" s="252" t="s">
        <v>53</v>
      </c>
      <c r="V43" s="253"/>
      <c r="W43" s="252" t="s">
        <v>53</v>
      </c>
      <c r="X43" s="253"/>
      <c r="Y43" s="24"/>
      <c r="Z43" s="340"/>
      <c r="AA43" s="340"/>
      <c r="AB43" s="340"/>
      <c r="AC43" s="340"/>
      <c r="AD43" s="343"/>
      <c r="AE43" s="344"/>
      <c r="AF43" s="24"/>
      <c r="AG43" s="347"/>
      <c r="AH43" s="347"/>
      <c r="AI43" s="347"/>
    </row>
    <row r="44" spans="1:35" ht="24.75" customHeight="1" x14ac:dyDescent="0.2">
      <c r="A44" s="348" t="s">
        <v>38</v>
      </c>
      <c r="B44" s="349"/>
      <c r="C44" s="349"/>
      <c r="D44" s="350"/>
      <c r="E44" s="252" t="s">
        <v>54</v>
      </c>
      <c r="F44" s="253"/>
      <c r="G44" s="252" t="s">
        <v>54</v>
      </c>
      <c r="H44" s="253"/>
      <c r="I44" s="252" t="s">
        <v>54</v>
      </c>
      <c r="J44" s="253"/>
      <c r="K44" s="252" t="s">
        <v>54</v>
      </c>
      <c r="L44" s="253"/>
      <c r="M44" s="252" t="s">
        <v>54</v>
      </c>
      <c r="N44" s="253"/>
      <c r="O44" s="252" t="s">
        <v>54</v>
      </c>
      <c r="P44" s="253"/>
      <c r="Q44" s="252" t="s">
        <v>54</v>
      </c>
      <c r="R44" s="253"/>
      <c r="S44" s="252" t="s">
        <v>54</v>
      </c>
      <c r="T44" s="253"/>
      <c r="U44" s="252" t="s">
        <v>54</v>
      </c>
      <c r="V44" s="253"/>
      <c r="W44" s="252" t="s">
        <v>54</v>
      </c>
      <c r="X44" s="253"/>
      <c r="Y44" s="24"/>
      <c r="Z44" s="340"/>
      <c r="AA44" s="340"/>
      <c r="AB44" s="340"/>
      <c r="AC44" s="340"/>
      <c r="AD44" s="345"/>
      <c r="AE44" s="346"/>
      <c r="AF44" s="24"/>
      <c r="AG44" s="347"/>
      <c r="AH44" s="347"/>
      <c r="AI44" s="347"/>
    </row>
    <row r="45" spans="1:35" ht="24.75" customHeight="1" x14ac:dyDescent="0.2">
      <c r="A45" s="348" t="s">
        <v>50</v>
      </c>
      <c r="B45" s="349"/>
      <c r="C45" s="349"/>
      <c r="D45" s="350"/>
      <c r="E45" s="263" t="s">
        <v>52</v>
      </c>
      <c r="F45" s="236"/>
      <c r="G45" s="263" t="s">
        <v>52</v>
      </c>
      <c r="H45" s="236"/>
      <c r="I45" s="263" t="s">
        <v>52</v>
      </c>
      <c r="J45" s="236"/>
      <c r="K45" s="263" t="s">
        <v>52</v>
      </c>
      <c r="L45" s="236"/>
      <c r="M45" s="263" t="s">
        <v>52</v>
      </c>
      <c r="N45" s="236"/>
      <c r="O45" s="263" t="s">
        <v>52</v>
      </c>
      <c r="P45" s="236"/>
      <c r="Q45" s="263" t="s">
        <v>52</v>
      </c>
      <c r="R45" s="236"/>
      <c r="S45" s="263" t="s">
        <v>52</v>
      </c>
      <c r="T45" s="236"/>
      <c r="U45" s="263" t="s">
        <v>52</v>
      </c>
      <c r="V45" s="236"/>
      <c r="W45" s="263" t="s">
        <v>52</v>
      </c>
      <c r="X45" s="236"/>
      <c r="Y45" s="66"/>
      <c r="Z45" s="40"/>
      <c r="AA45" s="41"/>
      <c r="AB45" s="40"/>
      <c r="AC45" s="41"/>
      <c r="AD45" s="40"/>
      <c r="AE45" s="41"/>
      <c r="AF45" s="24"/>
      <c r="AG45" s="73"/>
      <c r="AH45" s="74"/>
      <c r="AI45" s="75"/>
    </row>
    <row r="46" spans="1:35" ht="24.75" customHeight="1" x14ac:dyDescent="0.2">
      <c r="A46" s="348" t="s">
        <v>34</v>
      </c>
      <c r="B46" s="349"/>
      <c r="C46" s="349"/>
      <c r="D46" s="350"/>
      <c r="E46" s="355"/>
      <c r="F46" s="356"/>
      <c r="G46" s="355"/>
      <c r="H46" s="356"/>
      <c r="I46" s="355"/>
      <c r="J46" s="356"/>
      <c r="K46" s="355"/>
      <c r="L46" s="356"/>
      <c r="M46" s="355"/>
      <c r="N46" s="356"/>
      <c r="O46" s="355"/>
      <c r="P46" s="356"/>
      <c r="Q46" s="355"/>
      <c r="R46" s="356"/>
      <c r="S46" s="355"/>
      <c r="T46" s="356"/>
      <c r="U46" s="355"/>
      <c r="V46" s="356"/>
      <c r="W46" s="355"/>
      <c r="X46" s="356"/>
      <c r="Y46" s="67"/>
      <c r="Z46" s="42" t="s">
        <v>39</v>
      </c>
      <c r="AA46" s="90"/>
      <c r="AB46" s="42" t="s">
        <v>39</v>
      </c>
      <c r="AC46" s="90"/>
      <c r="AD46" s="42" t="s">
        <v>39</v>
      </c>
      <c r="AE46" s="90"/>
      <c r="AF46" s="24"/>
      <c r="AG46" s="76"/>
      <c r="AH46" s="77"/>
      <c r="AI46" s="78"/>
    </row>
    <row r="47" spans="1:35" ht="24.75" customHeight="1" x14ac:dyDescent="0.2">
      <c r="A47" s="348" t="s">
        <v>10</v>
      </c>
      <c r="B47" s="349"/>
      <c r="C47" s="349"/>
      <c r="D47" s="350"/>
      <c r="E47" s="233" t="s">
        <v>55</v>
      </c>
      <c r="F47" s="234"/>
      <c r="G47" s="233" t="s">
        <v>55</v>
      </c>
      <c r="H47" s="234"/>
      <c r="I47" s="233" t="s">
        <v>55</v>
      </c>
      <c r="J47" s="234"/>
      <c r="K47" s="233" t="s">
        <v>55</v>
      </c>
      <c r="L47" s="234"/>
      <c r="M47" s="233" t="s">
        <v>55</v>
      </c>
      <c r="N47" s="234"/>
      <c r="O47" s="233" t="s">
        <v>55</v>
      </c>
      <c r="P47" s="234"/>
      <c r="Q47" s="233" t="s">
        <v>55</v>
      </c>
      <c r="R47" s="234"/>
      <c r="S47" s="233" t="s">
        <v>55</v>
      </c>
      <c r="T47" s="234"/>
      <c r="U47" s="233" t="s">
        <v>55</v>
      </c>
      <c r="V47" s="234"/>
      <c r="W47" s="233" t="s">
        <v>55</v>
      </c>
      <c r="X47" s="234"/>
      <c r="Y47" s="24"/>
      <c r="Z47" s="42"/>
      <c r="AA47" s="90"/>
      <c r="AB47" s="42"/>
      <c r="AC47" s="90"/>
      <c r="AD47" s="42"/>
      <c r="AE47" s="90"/>
      <c r="AF47" s="24"/>
      <c r="AG47" s="76"/>
      <c r="AH47" s="77"/>
      <c r="AI47" s="78"/>
    </row>
    <row r="48" spans="1:35" ht="24.75" customHeight="1" x14ac:dyDescent="0.2">
      <c r="A48" s="348" t="s">
        <v>43</v>
      </c>
      <c r="B48" s="349"/>
      <c r="C48" s="349"/>
      <c r="D48" s="350"/>
      <c r="E48" s="235" t="s">
        <v>52</v>
      </c>
      <c r="F48" s="236"/>
      <c r="G48" s="235" t="s">
        <v>52</v>
      </c>
      <c r="H48" s="236"/>
      <c r="I48" s="235" t="s">
        <v>52</v>
      </c>
      <c r="J48" s="236"/>
      <c r="K48" s="235" t="s">
        <v>52</v>
      </c>
      <c r="L48" s="236"/>
      <c r="M48" s="235" t="s">
        <v>52</v>
      </c>
      <c r="N48" s="236"/>
      <c r="O48" s="235" t="s">
        <v>52</v>
      </c>
      <c r="P48" s="236"/>
      <c r="Q48" s="235" t="s">
        <v>52</v>
      </c>
      <c r="R48" s="236"/>
      <c r="S48" s="235" t="s">
        <v>52</v>
      </c>
      <c r="T48" s="236"/>
      <c r="U48" s="235" t="s">
        <v>52</v>
      </c>
      <c r="V48" s="236"/>
      <c r="W48" s="235" t="s">
        <v>52</v>
      </c>
      <c r="X48" s="236"/>
      <c r="Y48" s="66"/>
      <c r="Z48" s="42" t="s">
        <v>40</v>
      </c>
      <c r="AA48" s="90" t="s">
        <v>105</v>
      </c>
      <c r="AB48" s="42" t="s">
        <v>40</v>
      </c>
      <c r="AC48" s="90"/>
      <c r="AD48" s="42" t="s">
        <v>40</v>
      </c>
      <c r="AE48" s="90"/>
      <c r="AF48" s="24"/>
      <c r="AG48" s="76"/>
      <c r="AH48" s="77"/>
      <c r="AI48" s="78"/>
    </row>
    <row r="49" spans="1:35" ht="24.75" customHeight="1" x14ac:dyDescent="0.2">
      <c r="A49" s="348" t="s">
        <v>12</v>
      </c>
      <c r="B49" s="349"/>
      <c r="C49" s="349"/>
      <c r="D49" s="350"/>
      <c r="E49" s="237" t="s">
        <v>56</v>
      </c>
      <c r="F49" s="234"/>
      <c r="G49" s="237" t="s">
        <v>56</v>
      </c>
      <c r="H49" s="234"/>
      <c r="I49" s="237" t="s">
        <v>56</v>
      </c>
      <c r="J49" s="234"/>
      <c r="K49" s="237" t="s">
        <v>56</v>
      </c>
      <c r="L49" s="234"/>
      <c r="M49" s="237" t="s">
        <v>56</v>
      </c>
      <c r="N49" s="234"/>
      <c r="O49" s="237" t="s">
        <v>56</v>
      </c>
      <c r="P49" s="234"/>
      <c r="Q49" s="237" t="s">
        <v>56</v>
      </c>
      <c r="R49" s="234"/>
      <c r="S49" s="237" t="s">
        <v>56</v>
      </c>
      <c r="T49" s="234"/>
      <c r="U49" s="237" t="s">
        <v>56</v>
      </c>
      <c r="V49" s="234"/>
      <c r="W49" s="237" t="s">
        <v>56</v>
      </c>
      <c r="X49" s="234"/>
      <c r="Y49" s="24"/>
      <c r="Z49" s="42"/>
      <c r="AA49" s="90"/>
      <c r="AB49" s="42"/>
      <c r="AC49" s="90"/>
      <c r="AD49" s="42"/>
      <c r="AE49" s="90"/>
      <c r="AF49" s="24"/>
      <c r="AG49" s="76"/>
      <c r="AH49" s="77"/>
      <c r="AI49" s="78"/>
    </row>
    <row r="50" spans="1:35" ht="24.75" customHeight="1" x14ac:dyDescent="0.2">
      <c r="A50" s="348" t="s">
        <v>13</v>
      </c>
      <c r="B50" s="349"/>
      <c r="C50" s="349"/>
      <c r="D50" s="350"/>
      <c r="E50" s="25" t="s">
        <v>17</v>
      </c>
      <c r="F50" s="26" t="s">
        <v>18</v>
      </c>
      <c r="G50" s="25" t="s">
        <v>17</v>
      </c>
      <c r="H50" s="26" t="s">
        <v>18</v>
      </c>
      <c r="I50" s="25" t="s">
        <v>17</v>
      </c>
      <c r="J50" s="26" t="s">
        <v>18</v>
      </c>
      <c r="K50" s="25" t="s">
        <v>17</v>
      </c>
      <c r="L50" s="26" t="s">
        <v>18</v>
      </c>
      <c r="M50" s="25" t="s">
        <v>17</v>
      </c>
      <c r="N50" s="26" t="s">
        <v>18</v>
      </c>
      <c r="O50" s="25" t="s">
        <v>17</v>
      </c>
      <c r="P50" s="26" t="s">
        <v>18</v>
      </c>
      <c r="Q50" s="25" t="s">
        <v>17</v>
      </c>
      <c r="R50" s="26" t="s">
        <v>18</v>
      </c>
      <c r="S50" s="25" t="s">
        <v>17</v>
      </c>
      <c r="T50" s="26" t="s">
        <v>18</v>
      </c>
      <c r="U50" s="25" t="s">
        <v>17</v>
      </c>
      <c r="V50" s="26" t="s">
        <v>18</v>
      </c>
      <c r="W50" s="25" t="s">
        <v>17</v>
      </c>
      <c r="X50" s="26" t="s">
        <v>18</v>
      </c>
      <c r="Y50" s="27"/>
      <c r="Z50" s="42" t="s">
        <v>41</v>
      </c>
      <c r="AA50" s="90"/>
      <c r="AB50" s="42" t="s">
        <v>41</v>
      </c>
      <c r="AC50" s="90"/>
      <c r="AD50" s="42" t="s">
        <v>41</v>
      </c>
      <c r="AE50" s="90"/>
      <c r="AF50" s="24"/>
      <c r="AG50" s="76"/>
      <c r="AH50" s="77"/>
      <c r="AI50" s="78"/>
    </row>
    <row r="51" spans="1:35" ht="24.75" customHeight="1" x14ac:dyDescent="0.2">
      <c r="A51" s="348" t="s">
        <v>14</v>
      </c>
      <c r="B51" s="349"/>
      <c r="C51" s="349"/>
      <c r="D51" s="350"/>
      <c r="E51" s="71">
        <v>0.8</v>
      </c>
      <c r="F51" s="72">
        <f>E51*E39</f>
        <v>4996775.0560000008</v>
      </c>
      <c r="G51" s="71">
        <v>0.8</v>
      </c>
      <c r="H51" s="72">
        <f>$I$39*G51</f>
        <v>4641603.1599999992</v>
      </c>
      <c r="I51" s="71">
        <v>0.8</v>
      </c>
      <c r="J51" s="72">
        <f>$I$39*I51</f>
        <v>4641603.1599999992</v>
      </c>
      <c r="K51" s="71">
        <v>0.8</v>
      </c>
      <c r="L51" s="72">
        <f>K51*K39</f>
        <v>5014164.3600000013</v>
      </c>
      <c r="M51" s="71">
        <v>0.7</v>
      </c>
      <c r="N51" s="72">
        <f>M51*M39</f>
        <v>4671752.8199999994</v>
      </c>
      <c r="O51" s="71">
        <v>0.8</v>
      </c>
      <c r="P51" s="72">
        <f>O51*O39</f>
        <v>5401935.4400000004</v>
      </c>
      <c r="Q51" s="71">
        <v>0.8</v>
      </c>
      <c r="R51" s="72">
        <f>Q51*Q39</f>
        <v>6418033.6720000012</v>
      </c>
      <c r="S51" s="71">
        <v>0.8</v>
      </c>
      <c r="T51" s="72">
        <f>S51*S39</f>
        <v>4869733.0466400003</v>
      </c>
      <c r="U51" s="71">
        <v>0.8</v>
      </c>
      <c r="V51" s="72">
        <f>U51*U39</f>
        <v>0</v>
      </c>
      <c r="W51" s="71">
        <v>0.8</v>
      </c>
      <c r="X51" s="72">
        <f>W51*W39</f>
        <v>0</v>
      </c>
      <c r="Y51" s="68"/>
      <c r="Z51" s="44"/>
      <c r="AA51" s="90"/>
      <c r="AB51" s="44"/>
      <c r="AC51" s="90"/>
      <c r="AD51" s="44"/>
      <c r="AE51" s="90"/>
      <c r="AF51" s="24"/>
      <c r="AG51" s="76"/>
      <c r="AH51" s="77"/>
      <c r="AI51" s="78"/>
    </row>
    <row r="52" spans="1:35" ht="24.75" customHeight="1" x14ac:dyDescent="0.2">
      <c r="A52" s="348" t="s">
        <v>15</v>
      </c>
      <c r="B52" s="349"/>
      <c r="C52" s="349"/>
      <c r="D52" s="350"/>
      <c r="E52" s="71">
        <v>0</v>
      </c>
      <c r="F52" s="72">
        <f>E52*E39</f>
        <v>0</v>
      </c>
      <c r="G52" s="71">
        <v>0</v>
      </c>
      <c r="H52" s="72">
        <f>G52*G39</f>
        <v>0</v>
      </c>
      <c r="I52" s="71">
        <v>0</v>
      </c>
      <c r="J52" s="72">
        <f>I52*I39</f>
        <v>0</v>
      </c>
      <c r="K52" s="71">
        <v>0</v>
      </c>
      <c r="L52" s="72">
        <f>K52*K39</f>
        <v>0</v>
      </c>
      <c r="M52" s="71">
        <v>0</v>
      </c>
      <c r="N52" s="72">
        <f>M52*M39</f>
        <v>0</v>
      </c>
      <c r="O52" s="71">
        <v>0</v>
      </c>
      <c r="P52" s="72">
        <f>O52*O39</f>
        <v>0</v>
      </c>
      <c r="Q52" s="71">
        <v>0</v>
      </c>
      <c r="R52" s="72">
        <f>Q52*Q39</f>
        <v>0</v>
      </c>
      <c r="S52" s="71">
        <v>0</v>
      </c>
      <c r="T52" s="72">
        <f>S52*S39</f>
        <v>0</v>
      </c>
      <c r="U52" s="71">
        <v>0</v>
      </c>
      <c r="V52" s="72">
        <f>U52*U39</f>
        <v>0</v>
      </c>
      <c r="W52" s="71">
        <v>0</v>
      </c>
      <c r="X52" s="72">
        <f>W52*W39</f>
        <v>0</v>
      </c>
      <c r="Y52" s="68"/>
      <c r="Z52" s="44"/>
      <c r="AA52" s="90"/>
      <c r="AB52" s="44"/>
      <c r="AC52" s="90"/>
      <c r="AD52" s="44"/>
      <c r="AE52" s="90"/>
      <c r="AF52" s="24"/>
      <c r="AG52" s="76"/>
      <c r="AH52" s="77"/>
      <c r="AI52" s="78"/>
    </row>
    <row r="53" spans="1:35" ht="24.75" customHeight="1" x14ac:dyDescent="0.2">
      <c r="A53" s="348" t="s">
        <v>16</v>
      </c>
      <c r="B53" s="349"/>
      <c r="C53" s="349"/>
      <c r="D53" s="350"/>
      <c r="E53" s="71">
        <v>0.2</v>
      </c>
      <c r="F53" s="72">
        <f>E53*E39</f>
        <v>1249193.7640000002</v>
      </c>
      <c r="G53" s="71">
        <v>0.2</v>
      </c>
      <c r="H53" s="72">
        <f>G53*G39</f>
        <v>0</v>
      </c>
      <c r="I53" s="71">
        <v>0.2</v>
      </c>
      <c r="J53" s="72">
        <f>I53*I39</f>
        <v>1160400.7899999998</v>
      </c>
      <c r="K53" s="71">
        <v>0.2</v>
      </c>
      <c r="L53" s="72">
        <f>K53*K39</f>
        <v>1253541.0900000003</v>
      </c>
      <c r="M53" s="71">
        <v>0.3</v>
      </c>
      <c r="N53" s="72">
        <f>M53*M39</f>
        <v>2002179.7799999998</v>
      </c>
      <c r="O53" s="71">
        <v>0.2</v>
      </c>
      <c r="P53" s="72">
        <f>O53*O39</f>
        <v>1350483.86</v>
      </c>
      <c r="Q53" s="71">
        <v>0.2</v>
      </c>
      <c r="R53" s="72">
        <f>Q53*Q39</f>
        <v>1604508.4180000003</v>
      </c>
      <c r="S53" s="71">
        <v>0.2</v>
      </c>
      <c r="T53" s="72">
        <f>S53*S39</f>
        <v>1217433.2616600001</v>
      </c>
      <c r="U53" s="71">
        <v>0.2</v>
      </c>
      <c r="V53" s="72">
        <f>U53*U39</f>
        <v>0</v>
      </c>
      <c r="W53" s="71">
        <v>0.2</v>
      </c>
      <c r="X53" s="72">
        <f>W53*W39</f>
        <v>0</v>
      </c>
      <c r="Y53" s="68"/>
      <c r="Z53" s="44"/>
      <c r="AA53" s="90"/>
      <c r="AB53" s="44"/>
      <c r="AC53" s="90"/>
      <c r="AD53" s="44"/>
      <c r="AE53" s="90"/>
      <c r="AF53" s="24"/>
      <c r="AG53" s="76"/>
      <c r="AH53" s="77"/>
      <c r="AI53" s="78"/>
    </row>
    <row r="54" spans="1:35" ht="24.75" customHeight="1" x14ac:dyDescent="0.2">
      <c r="A54" s="375" t="s">
        <v>25</v>
      </c>
      <c r="B54" s="288"/>
      <c r="C54" s="288"/>
      <c r="D54" s="376"/>
      <c r="E54" s="238" t="s">
        <v>6</v>
      </c>
      <c r="F54" s="239"/>
      <c r="G54" s="238" t="s">
        <v>6</v>
      </c>
      <c r="H54" s="239"/>
      <c r="I54" s="238" t="s">
        <v>6</v>
      </c>
      <c r="J54" s="239"/>
      <c r="K54" s="238" t="s">
        <v>6</v>
      </c>
      <c r="L54" s="239"/>
      <c r="M54" s="238" t="s">
        <v>6</v>
      </c>
      <c r="N54" s="239"/>
      <c r="O54" s="238" t="s">
        <v>6</v>
      </c>
      <c r="P54" s="239"/>
      <c r="Q54" s="238" t="s">
        <v>6</v>
      </c>
      <c r="R54" s="239"/>
      <c r="S54" s="238" t="s">
        <v>6</v>
      </c>
      <c r="T54" s="239"/>
      <c r="U54" s="238" t="s">
        <v>6</v>
      </c>
      <c r="V54" s="239"/>
      <c r="W54" s="238" t="s">
        <v>6</v>
      </c>
      <c r="X54" s="239"/>
      <c r="Y54" s="69"/>
      <c r="Z54" s="45"/>
      <c r="AA54" s="90"/>
      <c r="AB54" s="45"/>
      <c r="AC54" s="90"/>
      <c r="AD54" s="45"/>
      <c r="AE54" s="90"/>
      <c r="AF54" s="27"/>
      <c r="AG54" s="76"/>
      <c r="AH54" s="77"/>
      <c r="AI54" s="78"/>
    </row>
    <row r="55" spans="1:35" ht="24.75" customHeight="1" x14ac:dyDescent="0.2">
      <c r="A55" s="28"/>
      <c r="B55" s="32"/>
      <c r="C55" s="84"/>
      <c r="D55" s="83" t="s">
        <v>216</v>
      </c>
      <c r="E55" s="235"/>
      <c r="F55" s="236"/>
      <c r="G55" s="233"/>
      <c r="H55" s="234"/>
      <c r="I55" s="233"/>
      <c r="J55" s="234"/>
      <c r="K55" s="233"/>
      <c r="L55" s="234"/>
      <c r="M55" s="233" t="s">
        <v>56</v>
      </c>
      <c r="N55" s="234"/>
      <c r="O55" s="233"/>
      <c r="P55" s="234"/>
      <c r="Q55" s="233"/>
      <c r="R55" s="234"/>
      <c r="S55" s="233"/>
      <c r="T55" s="234"/>
      <c r="U55" s="233"/>
      <c r="V55" s="234"/>
      <c r="W55" s="233"/>
      <c r="X55" s="234"/>
      <c r="Y55" s="24"/>
      <c r="Z55" s="42" t="s">
        <v>46</v>
      </c>
      <c r="AA55" s="90" t="s">
        <v>96</v>
      </c>
      <c r="AB55" s="42" t="s">
        <v>46</v>
      </c>
      <c r="AC55" s="90"/>
      <c r="AD55" s="42" t="s">
        <v>46</v>
      </c>
      <c r="AE55" s="90"/>
      <c r="AF55" s="29"/>
      <c r="AG55" s="357"/>
      <c r="AH55" s="358"/>
      <c r="AI55" s="359"/>
    </row>
    <row r="56" spans="1:35" ht="24.75" customHeight="1" x14ac:dyDescent="0.2">
      <c r="A56" s="28"/>
      <c r="B56" s="32"/>
      <c r="C56" s="84"/>
      <c r="D56" s="83" t="s">
        <v>49</v>
      </c>
      <c r="E56" s="233"/>
      <c r="F56" s="234"/>
      <c r="G56" s="233"/>
      <c r="H56" s="234"/>
      <c r="I56" s="233"/>
      <c r="J56" s="234"/>
      <c r="K56" s="233"/>
      <c r="L56" s="234"/>
      <c r="M56" s="233" t="s">
        <v>245</v>
      </c>
      <c r="N56" s="234"/>
      <c r="O56" s="233"/>
      <c r="P56" s="234"/>
      <c r="Q56" s="233"/>
      <c r="R56" s="234"/>
      <c r="S56" s="233"/>
      <c r="T56" s="234"/>
      <c r="U56" s="233"/>
      <c r="V56" s="234"/>
      <c r="W56" s="233"/>
      <c r="X56" s="234"/>
      <c r="Y56" s="24"/>
      <c r="Z56" s="46"/>
      <c r="AA56" s="90"/>
      <c r="AB56" s="46"/>
      <c r="AC56" s="90"/>
      <c r="AD56" s="46"/>
      <c r="AE56" s="90"/>
      <c r="AF56" s="29"/>
      <c r="AG56" s="76"/>
      <c r="AH56" s="77"/>
      <c r="AI56" s="78"/>
    </row>
    <row r="57" spans="1:35" ht="24.75" customHeight="1" x14ac:dyDescent="0.2">
      <c r="A57" s="30"/>
      <c r="B57" s="31"/>
      <c r="C57" s="85"/>
      <c r="D57" s="82" t="s">
        <v>42</v>
      </c>
      <c r="E57" s="233" t="s">
        <v>53</v>
      </c>
      <c r="F57" s="234"/>
      <c r="G57" s="233" t="s">
        <v>56</v>
      </c>
      <c r="H57" s="234"/>
      <c r="I57" s="233" t="s">
        <v>56</v>
      </c>
      <c r="J57" s="234"/>
      <c r="K57" s="233" t="s">
        <v>56</v>
      </c>
      <c r="L57" s="234"/>
      <c r="M57" s="233" t="s">
        <v>53</v>
      </c>
      <c r="N57" s="234"/>
      <c r="O57" s="233" t="s">
        <v>53</v>
      </c>
      <c r="P57" s="234"/>
      <c r="Q57" s="233" t="s">
        <v>53</v>
      </c>
      <c r="R57" s="234"/>
      <c r="S57" s="233" t="s">
        <v>53</v>
      </c>
      <c r="T57" s="234"/>
      <c r="U57" s="233" t="s">
        <v>53</v>
      </c>
      <c r="V57" s="234"/>
      <c r="W57" s="233" t="s">
        <v>53</v>
      </c>
      <c r="X57" s="234"/>
      <c r="Y57" s="24"/>
      <c r="Z57" s="46"/>
      <c r="AA57" s="43"/>
      <c r="AB57" s="46"/>
      <c r="AC57" s="43"/>
      <c r="AD57" s="46"/>
      <c r="AE57" s="43"/>
      <c r="AF57" s="29"/>
      <c r="AG57" s="76"/>
      <c r="AH57" s="77"/>
      <c r="AI57" s="78"/>
    </row>
    <row r="58" spans="1:35" ht="28.5" customHeight="1" x14ac:dyDescent="0.2">
      <c r="A58" s="372" t="s">
        <v>83</v>
      </c>
      <c r="B58" s="373"/>
      <c r="C58" s="373"/>
      <c r="D58" s="374"/>
      <c r="E58" s="52"/>
      <c r="F58" s="53"/>
      <c r="G58" s="368"/>
      <c r="H58" s="369"/>
      <c r="I58" s="368" t="s">
        <v>246</v>
      </c>
      <c r="J58" s="369"/>
      <c r="K58" s="360"/>
      <c r="L58" s="361"/>
      <c r="M58" s="360"/>
      <c r="N58" s="361"/>
      <c r="O58" s="360"/>
      <c r="P58" s="361"/>
      <c r="Q58" s="360"/>
      <c r="R58" s="361"/>
      <c r="S58" s="360"/>
      <c r="T58" s="361"/>
      <c r="U58" s="360"/>
      <c r="V58" s="361"/>
      <c r="W58" s="360"/>
      <c r="X58" s="361"/>
      <c r="Y58" s="60"/>
      <c r="Z58" s="46"/>
      <c r="AA58" s="43"/>
      <c r="AB58" s="46"/>
      <c r="AC58" s="43"/>
      <c r="AD58" s="46"/>
      <c r="AE58" s="43"/>
      <c r="AF58" s="29"/>
      <c r="AG58" s="76"/>
      <c r="AH58" s="77"/>
      <c r="AI58" s="78"/>
    </row>
    <row r="59" spans="1:35" ht="26.25" customHeight="1" x14ac:dyDescent="0.2">
      <c r="A59" s="362" t="s">
        <v>217</v>
      </c>
      <c r="B59" s="363"/>
      <c r="C59" s="363"/>
      <c r="D59" s="364"/>
      <c r="E59" s="54"/>
      <c r="F59" s="55"/>
      <c r="G59" s="370"/>
      <c r="H59" s="371"/>
      <c r="I59" s="370"/>
      <c r="J59" s="371"/>
      <c r="K59" s="54"/>
      <c r="L59" s="55"/>
      <c r="M59" s="54"/>
      <c r="N59" s="55"/>
      <c r="O59" s="54"/>
      <c r="P59" s="55"/>
      <c r="Q59" s="54"/>
      <c r="R59" s="55"/>
      <c r="S59" s="54"/>
      <c r="T59" s="55"/>
      <c r="U59" s="54"/>
      <c r="V59" s="55"/>
      <c r="W59" s="54"/>
      <c r="X59" s="55"/>
      <c r="Y59" s="60"/>
      <c r="Z59" s="46"/>
      <c r="AA59" s="43"/>
      <c r="AB59" s="46"/>
      <c r="AC59" s="43"/>
      <c r="AD59" s="46"/>
      <c r="AE59" s="43"/>
      <c r="AF59" s="29"/>
      <c r="AG59" s="76"/>
      <c r="AH59" s="77"/>
      <c r="AI59" s="78"/>
    </row>
    <row r="60" spans="1:35" ht="26.25" customHeight="1" x14ac:dyDescent="0.2">
      <c r="A60" s="362"/>
      <c r="B60" s="363"/>
      <c r="C60" s="363"/>
      <c r="D60" s="364"/>
      <c r="E60" s="54"/>
      <c r="F60" s="55"/>
      <c r="G60" s="54"/>
      <c r="H60" s="55"/>
      <c r="I60" s="370"/>
      <c r="J60" s="371"/>
      <c r="K60" s="54"/>
      <c r="L60" s="55"/>
      <c r="M60" s="54"/>
      <c r="N60" s="55"/>
      <c r="O60" s="54"/>
      <c r="P60" s="55"/>
      <c r="Q60" s="54"/>
      <c r="R60" s="55"/>
      <c r="S60" s="54"/>
      <c r="T60" s="55"/>
      <c r="U60" s="54"/>
      <c r="V60" s="55"/>
      <c r="W60" s="54"/>
      <c r="X60" s="55"/>
      <c r="Y60" s="60"/>
      <c r="Z60" s="46"/>
      <c r="AA60" s="43"/>
      <c r="AB60" s="46"/>
      <c r="AC60" s="43"/>
      <c r="AD60" s="46"/>
      <c r="AE60" s="43"/>
      <c r="AF60" s="29"/>
      <c r="AG60" s="76"/>
      <c r="AH60" s="77"/>
      <c r="AI60" s="78"/>
    </row>
    <row r="61" spans="1:35" ht="26.25" customHeight="1" x14ac:dyDescent="0.2">
      <c r="A61" s="362"/>
      <c r="B61" s="363"/>
      <c r="C61" s="363"/>
      <c r="D61" s="364"/>
      <c r="E61" s="54"/>
      <c r="F61" s="55"/>
      <c r="G61" s="54"/>
      <c r="H61" s="60"/>
      <c r="I61" s="370"/>
      <c r="J61" s="371"/>
      <c r="K61" s="54"/>
      <c r="L61" s="55"/>
      <c r="M61" s="54"/>
      <c r="N61" s="55"/>
      <c r="O61" s="54"/>
      <c r="P61" s="55"/>
      <c r="Q61" s="54"/>
      <c r="R61" s="55"/>
      <c r="S61" s="54"/>
      <c r="T61" s="55"/>
      <c r="U61" s="54"/>
      <c r="V61" s="55"/>
      <c r="W61" s="54"/>
      <c r="X61" s="55"/>
      <c r="Y61" s="60"/>
      <c r="Z61" s="46"/>
      <c r="AA61" s="43"/>
      <c r="AB61" s="46"/>
      <c r="AC61" s="43"/>
      <c r="AD61" s="46"/>
      <c r="AE61" s="43"/>
      <c r="AF61" s="29"/>
      <c r="AG61" s="76"/>
      <c r="AH61" s="77"/>
      <c r="AI61" s="78"/>
    </row>
    <row r="62" spans="1:35" ht="26.25" customHeight="1" x14ac:dyDescent="0.2">
      <c r="A62" s="362"/>
      <c r="B62" s="363"/>
      <c r="C62" s="363"/>
      <c r="D62" s="364"/>
      <c r="E62" s="54"/>
      <c r="F62" s="55"/>
      <c r="G62" s="54"/>
      <c r="H62" s="55"/>
      <c r="I62" s="370"/>
      <c r="J62" s="371"/>
      <c r="K62" s="54"/>
      <c r="L62" s="55"/>
      <c r="M62" s="54"/>
      <c r="N62" s="55"/>
      <c r="O62" s="54"/>
      <c r="P62" s="55"/>
      <c r="Q62" s="54"/>
      <c r="R62" s="55"/>
      <c r="S62" s="54"/>
      <c r="T62" s="55"/>
      <c r="U62" s="54"/>
      <c r="V62" s="55"/>
      <c r="W62" s="54"/>
      <c r="X62" s="55"/>
      <c r="Y62" s="60"/>
      <c r="Z62" s="46"/>
      <c r="AA62" s="43"/>
      <c r="AB62" s="46"/>
      <c r="AC62" s="43"/>
      <c r="AD62" s="46"/>
      <c r="AE62" s="43"/>
      <c r="AF62" s="29"/>
      <c r="AG62" s="76"/>
      <c r="AH62" s="77"/>
      <c r="AI62" s="78"/>
    </row>
    <row r="63" spans="1:35" ht="26.25" customHeight="1" x14ac:dyDescent="0.2">
      <c r="A63" s="362"/>
      <c r="B63" s="363"/>
      <c r="C63" s="363"/>
      <c r="D63" s="364"/>
      <c r="E63" s="54"/>
      <c r="F63" s="55"/>
      <c r="G63" s="54"/>
      <c r="H63" s="55"/>
      <c r="I63" s="370"/>
      <c r="J63" s="371"/>
      <c r="K63" s="54"/>
      <c r="L63" s="55"/>
      <c r="M63" s="54"/>
      <c r="N63" s="55"/>
      <c r="O63" s="54"/>
      <c r="P63" s="55"/>
      <c r="Q63" s="54"/>
      <c r="R63" s="55"/>
      <c r="S63" s="54"/>
      <c r="T63" s="55"/>
      <c r="U63" s="54"/>
      <c r="V63" s="55"/>
      <c r="W63" s="54"/>
      <c r="X63" s="55"/>
      <c r="Y63" s="60"/>
      <c r="Z63" s="46"/>
      <c r="AA63" s="43"/>
      <c r="AB63" s="46"/>
      <c r="AC63" s="43"/>
      <c r="AD63" s="46"/>
      <c r="AE63" s="43"/>
      <c r="AF63" s="29"/>
      <c r="AG63" s="76"/>
      <c r="AH63" s="77"/>
      <c r="AI63" s="78"/>
    </row>
    <row r="64" spans="1:35" ht="26.25" customHeight="1" x14ac:dyDescent="0.2">
      <c r="A64" s="362"/>
      <c r="B64" s="363"/>
      <c r="C64" s="363"/>
      <c r="D64" s="364"/>
      <c r="E64" s="54"/>
      <c r="F64" s="55"/>
      <c r="G64" s="54"/>
      <c r="H64" s="55"/>
      <c r="I64" s="370"/>
      <c r="J64" s="371"/>
      <c r="K64" s="60"/>
      <c r="L64" s="55"/>
      <c r="M64" s="60"/>
      <c r="N64" s="55"/>
      <c r="O64" s="60"/>
      <c r="P64" s="55"/>
      <c r="Q64" s="60"/>
      <c r="R64" s="55"/>
      <c r="S64" s="60"/>
      <c r="T64" s="55"/>
      <c r="U64" s="60"/>
      <c r="V64" s="55"/>
      <c r="W64" s="60"/>
      <c r="X64" s="55"/>
      <c r="Y64" s="60"/>
      <c r="Z64" s="46"/>
      <c r="AA64" s="43"/>
      <c r="AB64" s="46"/>
      <c r="AC64" s="43"/>
      <c r="AD64" s="46"/>
      <c r="AE64" s="43"/>
      <c r="AF64" s="29"/>
      <c r="AG64" s="76"/>
      <c r="AH64" s="77"/>
      <c r="AI64" s="78"/>
    </row>
    <row r="65" spans="1:35" ht="26.25" customHeight="1" x14ac:dyDescent="0.2">
      <c r="A65" s="362"/>
      <c r="B65" s="363"/>
      <c r="C65" s="363"/>
      <c r="D65" s="364"/>
      <c r="E65" s="54"/>
      <c r="F65" s="55"/>
      <c r="G65" s="54"/>
      <c r="H65" s="55"/>
      <c r="I65" s="370"/>
      <c r="J65" s="371"/>
      <c r="K65" s="54"/>
      <c r="L65" s="55"/>
      <c r="M65" s="54"/>
      <c r="N65" s="55"/>
      <c r="O65" s="54"/>
      <c r="P65" s="55"/>
      <c r="Q65" s="54"/>
      <c r="R65" s="55"/>
      <c r="S65" s="54"/>
      <c r="T65" s="55"/>
      <c r="U65" s="54"/>
      <c r="V65" s="55"/>
      <c r="W65" s="54"/>
      <c r="X65" s="55"/>
      <c r="Y65" s="60"/>
      <c r="Z65" s="46"/>
      <c r="AA65" s="43"/>
      <c r="AB65" s="46"/>
      <c r="AC65" s="43"/>
      <c r="AD65" s="46"/>
      <c r="AE65" s="43"/>
      <c r="AF65" s="29"/>
      <c r="AG65" s="76"/>
      <c r="AH65" s="77"/>
      <c r="AI65" s="78"/>
    </row>
    <row r="66" spans="1:35" ht="26.25" customHeight="1" thickBot="1" x14ac:dyDescent="0.25">
      <c r="A66" s="365"/>
      <c r="B66" s="366"/>
      <c r="C66" s="366"/>
      <c r="D66" s="367"/>
      <c r="E66" s="56"/>
      <c r="F66" s="57"/>
      <c r="G66" s="56"/>
      <c r="H66" s="57"/>
      <c r="I66" s="377"/>
      <c r="J66" s="378"/>
      <c r="K66" s="56"/>
      <c r="L66" s="57"/>
      <c r="M66" s="56"/>
      <c r="N66" s="57"/>
      <c r="O66" s="56"/>
      <c r="P66" s="57"/>
      <c r="Q66" s="56"/>
      <c r="R66" s="57"/>
      <c r="S66" s="56"/>
      <c r="T66" s="57"/>
      <c r="U66" s="56"/>
      <c r="V66" s="57"/>
      <c r="W66" s="56"/>
      <c r="X66" s="57"/>
      <c r="Y66" s="60"/>
      <c r="Z66" s="47"/>
      <c r="AA66" s="48"/>
      <c r="AB66" s="47"/>
      <c r="AC66" s="48"/>
      <c r="AD66" s="47"/>
      <c r="AE66" s="48"/>
      <c r="AF66" s="29"/>
      <c r="AG66" s="79"/>
      <c r="AH66" s="80"/>
      <c r="AI66" s="81"/>
    </row>
    <row r="67" spans="1:3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</sheetData>
  <mergeCells count="289">
    <mergeCell ref="M47:N47"/>
    <mergeCell ref="M48:N48"/>
    <mergeCell ref="M49:N49"/>
    <mergeCell ref="M54:N54"/>
    <mergeCell ref="M42:N42"/>
    <mergeCell ref="A58:D58"/>
    <mergeCell ref="K58:L58"/>
    <mergeCell ref="A49:D49"/>
    <mergeCell ref="E49:F49"/>
    <mergeCell ref="I49:J49"/>
    <mergeCell ref="K49:L49"/>
    <mergeCell ref="A54:D54"/>
    <mergeCell ref="E54:F54"/>
    <mergeCell ref="A50:D50"/>
    <mergeCell ref="A51:D51"/>
    <mergeCell ref="A52:D52"/>
    <mergeCell ref="A53:D53"/>
    <mergeCell ref="I58:J66"/>
    <mergeCell ref="A48:D48"/>
    <mergeCell ref="E48:F48"/>
    <mergeCell ref="I48:J48"/>
    <mergeCell ref="A46:D46"/>
    <mergeCell ref="E46:F46"/>
    <mergeCell ref="I46:J46"/>
    <mergeCell ref="W58:X58"/>
    <mergeCell ref="A59:D66"/>
    <mergeCell ref="E57:F57"/>
    <mergeCell ref="I57:J57"/>
    <mergeCell ref="K57:L57"/>
    <mergeCell ref="W57:X57"/>
    <mergeCell ref="O57:P57"/>
    <mergeCell ref="O58:P58"/>
    <mergeCell ref="S57:T57"/>
    <mergeCell ref="S58:T58"/>
    <mergeCell ref="U57:V57"/>
    <mergeCell ref="U58:V58"/>
    <mergeCell ref="G57:H57"/>
    <mergeCell ref="G58:H59"/>
    <mergeCell ref="Q57:R57"/>
    <mergeCell ref="Q58:R58"/>
    <mergeCell ref="M57:N57"/>
    <mergeCell ref="M58:N58"/>
    <mergeCell ref="W49:X49"/>
    <mergeCell ref="I54:J54"/>
    <mergeCell ref="K54:L54"/>
    <mergeCell ref="AG55:AI55"/>
    <mergeCell ref="E56:F56"/>
    <mergeCell ref="I56:J56"/>
    <mergeCell ref="K56:L56"/>
    <mergeCell ref="W56:X56"/>
    <mergeCell ref="E55:F55"/>
    <mergeCell ref="I55:J55"/>
    <mergeCell ref="K55:L55"/>
    <mergeCell ref="W55:X55"/>
    <mergeCell ref="O55:P55"/>
    <mergeCell ref="O56:P56"/>
    <mergeCell ref="S56:T56"/>
    <mergeCell ref="U55:V55"/>
    <mergeCell ref="U56:V56"/>
    <mergeCell ref="G55:H55"/>
    <mergeCell ref="G56:H56"/>
    <mergeCell ref="S55:T55"/>
    <mergeCell ref="Q55:R55"/>
    <mergeCell ref="Q56:R56"/>
    <mergeCell ref="M55:N55"/>
    <mergeCell ref="M56:N56"/>
    <mergeCell ref="W54:X54"/>
    <mergeCell ref="K48:L48"/>
    <mergeCell ref="W48:X48"/>
    <mergeCell ref="A47:D47"/>
    <mergeCell ref="E47:F47"/>
    <mergeCell ref="I47:J47"/>
    <mergeCell ref="K47:L47"/>
    <mergeCell ref="W47:X47"/>
    <mergeCell ref="O47:P47"/>
    <mergeCell ref="O48:P48"/>
    <mergeCell ref="U47:V47"/>
    <mergeCell ref="U48:V48"/>
    <mergeCell ref="G47:H47"/>
    <mergeCell ref="G48:H48"/>
    <mergeCell ref="S47:T47"/>
    <mergeCell ref="S48:T48"/>
    <mergeCell ref="O49:P49"/>
    <mergeCell ref="O54:P54"/>
    <mergeCell ref="U49:V49"/>
    <mergeCell ref="U54:V54"/>
    <mergeCell ref="G49:H49"/>
    <mergeCell ref="G54:H54"/>
    <mergeCell ref="S49:T49"/>
    <mergeCell ref="S54:T54"/>
    <mergeCell ref="K46:L46"/>
    <mergeCell ref="W46:X46"/>
    <mergeCell ref="A45:D45"/>
    <mergeCell ref="E45:F45"/>
    <mergeCell ref="I45:J45"/>
    <mergeCell ref="K45:L45"/>
    <mergeCell ref="W45:X45"/>
    <mergeCell ref="O46:P46"/>
    <mergeCell ref="U46:V46"/>
    <mergeCell ref="G46:H46"/>
    <mergeCell ref="S46:T46"/>
    <mergeCell ref="Q46:R46"/>
    <mergeCell ref="M45:N45"/>
    <mergeCell ref="M46:N46"/>
    <mergeCell ref="O45:P45"/>
    <mergeCell ref="U45:V45"/>
    <mergeCell ref="S45:T45"/>
    <mergeCell ref="Q45:R45"/>
    <mergeCell ref="Z42:AA44"/>
    <mergeCell ref="AB40:AC40"/>
    <mergeCell ref="AD40:AE40"/>
    <mergeCell ref="AG40:AI40"/>
    <mergeCell ref="AB42:AC44"/>
    <mergeCell ref="AD42:AE44"/>
    <mergeCell ref="AG42:AI44"/>
    <mergeCell ref="A44:D44"/>
    <mergeCell ref="E44:F44"/>
    <mergeCell ref="I44:J44"/>
    <mergeCell ref="K44:L44"/>
    <mergeCell ref="W44:X44"/>
    <mergeCell ref="A42:D42"/>
    <mergeCell ref="E42:F42"/>
    <mergeCell ref="I42:J42"/>
    <mergeCell ref="K42:L42"/>
    <mergeCell ref="A43:D43"/>
    <mergeCell ref="E43:F43"/>
    <mergeCell ref="I43:J43"/>
    <mergeCell ref="K43:L43"/>
    <mergeCell ref="W42:X42"/>
    <mergeCell ref="A41:D41"/>
    <mergeCell ref="E41:F41"/>
    <mergeCell ref="AG41:AI41"/>
    <mergeCell ref="Z41:AA41"/>
    <mergeCell ref="AB41:AC41"/>
    <mergeCell ref="AD41:AE41"/>
    <mergeCell ref="G41:H41"/>
    <mergeCell ref="M41:N41"/>
    <mergeCell ref="S41:T41"/>
    <mergeCell ref="Q41:R41"/>
    <mergeCell ref="I41:J41"/>
    <mergeCell ref="K41:L41"/>
    <mergeCell ref="O41:P41"/>
    <mergeCell ref="AG37:AH37"/>
    <mergeCell ref="E40:F40"/>
    <mergeCell ref="I40:J40"/>
    <mergeCell ref="K40:L40"/>
    <mergeCell ref="W40:X40"/>
    <mergeCell ref="Z40:AA40"/>
    <mergeCell ref="Z39:AA39"/>
    <mergeCell ref="M39:N39"/>
    <mergeCell ref="M40:N40"/>
    <mergeCell ref="E39:F39"/>
    <mergeCell ref="I39:J39"/>
    <mergeCell ref="K39:L39"/>
    <mergeCell ref="W39:X39"/>
    <mergeCell ref="S40:T40"/>
    <mergeCell ref="Q40:R40"/>
    <mergeCell ref="G40:H40"/>
    <mergeCell ref="O40:P40"/>
    <mergeCell ref="AG39:AI39"/>
    <mergeCell ref="AB39:AC39"/>
    <mergeCell ref="AD39:AE39"/>
    <mergeCell ref="AG38:AH38"/>
    <mergeCell ref="S39:T39"/>
    <mergeCell ref="Q39:R39"/>
    <mergeCell ref="A39:D39"/>
    <mergeCell ref="G38:H38"/>
    <mergeCell ref="G39:H39"/>
    <mergeCell ref="Z38:AA38"/>
    <mergeCell ref="AB38:AC38"/>
    <mergeCell ref="AD38:AE38"/>
    <mergeCell ref="S38:T38"/>
    <mergeCell ref="O39:P39"/>
    <mergeCell ref="Q38:R38"/>
    <mergeCell ref="O38:P38"/>
    <mergeCell ref="A38:D38"/>
    <mergeCell ref="E38:F38"/>
    <mergeCell ref="I38:J38"/>
    <mergeCell ref="K38:L38"/>
    <mergeCell ref="W38:X38"/>
    <mergeCell ref="M38:N38"/>
    <mergeCell ref="A37:D37"/>
    <mergeCell ref="E37:F37"/>
    <mergeCell ref="I37:J37"/>
    <mergeCell ref="K37:L37"/>
    <mergeCell ref="W37:X37"/>
    <mergeCell ref="I12:J12"/>
    <mergeCell ref="K12:L12"/>
    <mergeCell ref="W12:X12"/>
    <mergeCell ref="G15:H22"/>
    <mergeCell ref="G24:H29"/>
    <mergeCell ref="G31:H35"/>
    <mergeCell ref="G37:H37"/>
    <mergeCell ref="Z24:AA24"/>
    <mergeCell ref="M12:N12"/>
    <mergeCell ref="M37:N37"/>
    <mergeCell ref="Z37:AA37"/>
    <mergeCell ref="AB37:AC37"/>
    <mergeCell ref="AD37:AE37"/>
    <mergeCell ref="I26:J26"/>
    <mergeCell ref="O20:P20"/>
    <mergeCell ref="O21:P21"/>
    <mergeCell ref="I24:J24"/>
    <mergeCell ref="I25:J25"/>
    <mergeCell ref="O37:P37"/>
    <mergeCell ref="U15:V22"/>
    <mergeCell ref="U24:V29"/>
    <mergeCell ref="U31:V36"/>
    <mergeCell ref="Q12:R12"/>
    <mergeCell ref="Q37:R37"/>
    <mergeCell ref="C2:J4"/>
    <mergeCell ref="AG2:AI4"/>
    <mergeCell ref="K6:L6"/>
    <mergeCell ref="AG7:AI7"/>
    <mergeCell ref="A8:D8"/>
    <mergeCell ref="Z8:AA8"/>
    <mergeCell ref="AB8:AC8"/>
    <mergeCell ref="AD8:AE8"/>
    <mergeCell ref="AG8:AG9"/>
    <mergeCell ref="A9:D9"/>
    <mergeCell ref="Z9:AA11"/>
    <mergeCell ref="AB9:AC11"/>
    <mergeCell ref="Z7:AA7"/>
    <mergeCell ref="AB7:AC7"/>
    <mergeCell ref="AD7:AE7"/>
    <mergeCell ref="I7:J7"/>
    <mergeCell ref="K7:L7"/>
    <mergeCell ref="W7:X7"/>
    <mergeCell ref="Q7:R7"/>
    <mergeCell ref="G6:H6"/>
    <mergeCell ref="I6:J6"/>
    <mergeCell ref="M6:N6"/>
    <mergeCell ref="M7:N7"/>
    <mergeCell ref="A7:D7"/>
    <mergeCell ref="AG10:AG11"/>
    <mergeCell ref="A11:D11"/>
    <mergeCell ref="E12:F12"/>
    <mergeCell ref="Z12:AA12"/>
    <mergeCell ref="AB12:AC12"/>
    <mergeCell ref="AD12:AE12"/>
    <mergeCell ref="AD9:AE11"/>
    <mergeCell ref="O7:P7"/>
    <mergeCell ref="O12:P12"/>
    <mergeCell ref="U7:V7"/>
    <mergeCell ref="U12:V12"/>
    <mergeCell ref="G7:H7"/>
    <mergeCell ref="G12:H12"/>
    <mergeCell ref="S7:T7"/>
    <mergeCell ref="S12:T12"/>
    <mergeCell ref="A12:A13"/>
    <mergeCell ref="B12:B13"/>
    <mergeCell ref="E7:F7"/>
    <mergeCell ref="A10:D10"/>
    <mergeCell ref="AG12:AI12"/>
    <mergeCell ref="C12:C13"/>
    <mergeCell ref="D12:D13"/>
    <mergeCell ref="G42:H42"/>
    <mergeCell ref="G43:H43"/>
    <mergeCell ref="G44:H44"/>
    <mergeCell ref="G45:H45"/>
    <mergeCell ref="O42:P42"/>
    <mergeCell ref="O43:P43"/>
    <mergeCell ref="O44:P44"/>
    <mergeCell ref="M43:N43"/>
    <mergeCell ref="M44:N44"/>
    <mergeCell ref="Q47:R47"/>
    <mergeCell ref="Q48:R48"/>
    <mergeCell ref="Q49:R49"/>
    <mergeCell ref="Q54:R54"/>
    <mergeCell ref="W15:X22"/>
    <mergeCell ref="W24:X29"/>
    <mergeCell ref="W31:X36"/>
    <mergeCell ref="S42:T42"/>
    <mergeCell ref="U37:V37"/>
    <mergeCell ref="U38:V38"/>
    <mergeCell ref="U39:V39"/>
    <mergeCell ref="U40:V40"/>
    <mergeCell ref="U41:V41"/>
    <mergeCell ref="U42:V42"/>
    <mergeCell ref="U43:V43"/>
    <mergeCell ref="U44:V44"/>
    <mergeCell ref="S43:T43"/>
    <mergeCell ref="S44:T44"/>
    <mergeCell ref="S37:T37"/>
    <mergeCell ref="W41:X41"/>
    <mergeCell ref="W43:X43"/>
    <mergeCell ref="Q42:R42"/>
    <mergeCell ref="Q43:R43"/>
    <mergeCell ref="Q44:R44"/>
  </mergeCells>
  <conditionalFormatting sqref="C15:C36">
    <cfRule type="cellIs" dxfId="24" priority="5" operator="greaterThan">
      <formula>#REF!</formula>
    </cfRule>
  </conditionalFormatting>
  <conditionalFormatting sqref="E41:AE41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AG41:AI41">
    <cfRule type="cellIs" dxfId="21" priority="1" operator="greaterThan">
      <formula>0</formula>
    </cfRule>
    <cfRule type="cellIs" dxfId="20" priority="2" operator="lessThan">
      <formula>0</formula>
    </cfRule>
  </conditionalFormatting>
  <hyperlinks>
    <hyperlink ref="F11" r:id="rId1" xr:uid="{908F6319-651B-401F-BF75-DABBA1D3BE3B}"/>
    <hyperlink ref="J11" r:id="rId2" xr:uid="{22AE4415-326A-485A-A45A-1CD4757CD499}"/>
    <hyperlink ref="L11" r:id="rId3" xr:uid="{7CE4B4A5-0F86-4B0E-9853-2824F517F632}"/>
    <hyperlink ref="X11" r:id="rId4" xr:uid="{3C9A8FDB-28C2-43DA-94D0-463D66780794}"/>
    <hyperlink ref="P11" r:id="rId5" xr:uid="{70E5D497-277F-4E69-B344-37B5375DADDE}"/>
    <hyperlink ref="T11" r:id="rId6" xr:uid="{F8DB3A4E-C4D0-428A-92D7-C0B3119AB5B1}"/>
    <hyperlink ref="V11" r:id="rId7" xr:uid="{517628A1-77AC-4120-8674-BD0DAADF1C01}"/>
    <hyperlink ref="N11" r:id="rId8" xr:uid="{B76898E8-EF88-4378-AB96-1FA890D70355}"/>
    <hyperlink ref="R11" r:id="rId9" xr:uid="{ED0A4396-9FA5-43A2-A029-DFB58B71C3FC}"/>
    <hyperlink ref="H11" r:id="rId10" xr:uid="{CF5AA1F5-1A71-466B-8B91-A637023EF2D3}"/>
  </hyperlinks>
  <printOptions horizontalCentered="1" verticalCentered="1"/>
  <pageMargins left="0" right="0" top="0" bottom="0" header="0.62992125984251968" footer="0"/>
  <pageSetup paperSize="8" scale="33" orientation="landscape" r:id="rId11"/>
  <headerFooter alignWithMargins="0"/>
  <ignoredErrors>
    <ignoredError sqref="AI17" formula="1"/>
  </ignoredError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EFB0-52D8-40C0-9067-64A7D6948D05}">
  <sheetPr>
    <tabColor rgb="FF00B050"/>
    <pageSetUpPr fitToPage="1"/>
  </sheetPr>
  <dimension ref="A1:AN113"/>
  <sheetViews>
    <sheetView showGridLines="0" zoomScale="55" zoomScaleNormal="55" workbookViewId="0">
      <selection activeCell="AG1" sqref="D1:AG1048576"/>
    </sheetView>
  </sheetViews>
  <sheetFormatPr defaultColWidth="9.140625" defaultRowHeight="14.25" x14ac:dyDescent="0.2"/>
  <cols>
    <col min="1" max="1" width="7.140625" style="2" customWidth="1"/>
    <col min="2" max="2" width="65.5703125" style="2" customWidth="1"/>
    <col min="3" max="3" width="13.42578125" style="2" bestFit="1" customWidth="1"/>
    <col min="4" max="4" width="9.85546875" style="2" customWidth="1"/>
    <col min="5" max="5" width="17" style="2" customWidth="1"/>
    <col min="6" max="6" width="30.42578125" style="2" customWidth="1"/>
    <col min="7" max="7" width="14.5703125" style="2" customWidth="1"/>
    <col min="8" max="8" width="28.85546875" style="2" customWidth="1"/>
    <col min="9" max="9" width="14.5703125" style="2" customWidth="1"/>
    <col min="10" max="10" width="24.42578125" style="2" customWidth="1"/>
    <col min="11" max="11" width="22.42578125" style="2" customWidth="1"/>
    <col min="12" max="12" width="26.42578125" style="2" customWidth="1"/>
    <col min="13" max="13" width="22.42578125" style="2" customWidth="1"/>
    <col min="14" max="14" width="33.140625" style="2" customWidth="1"/>
    <col min="15" max="15" width="22.42578125" style="2" customWidth="1"/>
    <col min="16" max="16" width="25.85546875" style="2" customWidth="1"/>
    <col min="17" max="17" width="22.42578125" style="2" customWidth="1"/>
    <col min="18" max="18" width="25.42578125" style="2" customWidth="1"/>
    <col min="19" max="19" width="22.42578125" style="2" customWidth="1"/>
    <col min="20" max="20" width="26.42578125" style="2" customWidth="1"/>
    <col min="21" max="21" width="14.5703125" style="2" customWidth="1"/>
    <col min="22" max="22" width="32.85546875" style="2" customWidth="1"/>
    <col min="23" max="23" width="22.42578125" style="2" customWidth="1"/>
    <col min="24" max="24" width="24.85546875" style="2" customWidth="1"/>
    <col min="25" max="25" width="4.85546875" style="2" customWidth="1"/>
    <col min="26" max="26" width="24.85546875" style="2" customWidth="1"/>
    <col min="27" max="31" width="19.5703125" style="2" customWidth="1"/>
    <col min="32" max="32" width="0.85546875" style="2" customWidth="1"/>
    <col min="33" max="34" width="19.5703125" style="2" customWidth="1"/>
    <col min="35" max="35" width="26.140625" style="2" customWidth="1"/>
    <col min="36" max="36" width="1.5703125" style="2" customWidth="1"/>
    <col min="37" max="16384" width="9.140625" style="2"/>
  </cols>
  <sheetData>
    <row r="1" spans="1:35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 x14ac:dyDescent="0.2">
      <c r="A2" s="1"/>
      <c r="B2" s="1"/>
      <c r="C2" s="289" t="s">
        <v>4</v>
      </c>
      <c r="D2" s="289"/>
      <c r="E2" s="289"/>
      <c r="F2" s="289"/>
      <c r="G2" s="289"/>
      <c r="H2" s="289"/>
      <c r="I2" s="289"/>
      <c r="J2" s="28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290" t="s">
        <v>188</v>
      </c>
      <c r="AH2" s="290"/>
      <c r="AI2" s="290"/>
    </row>
    <row r="3" spans="1:35" ht="16.5" customHeight="1" x14ac:dyDescent="0.2">
      <c r="A3" s="1"/>
      <c r="B3" s="1"/>
      <c r="C3" s="289"/>
      <c r="D3" s="289"/>
      <c r="E3" s="289"/>
      <c r="F3" s="289"/>
      <c r="G3" s="289"/>
      <c r="H3" s="289"/>
      <c r="I3" s="289"/>
      <c r="J3" s="28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91"/>
      <c r="AH3" s="291"/>
      <c r="AI3" s="291"/>
    </row>
    <row r="4" spans="1:35" ht="41.25" customHeight="1" x14ac:dyDescent="0.2">
      <c r="A4" s="1"/>
      <c r="B4" s="1"/>
      <c r="C4" s="289"/>
      <c r="D4" s="289"/>
      <c r="E4" s="289"/>
      <c r="F4" s="289"/>
      <c r="G4" s="289"/>
      <c r="H4" s="289"/>
      <c r="I4" s="289"/>
      <c r="J4" s="28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291"/>
      <c r="AH4" s="291"/>
      <c r="AI4" s="291"/>
    </row>
    <row r="5" spans="1:35" ht="20.45" customHeight="1" thickBot="1" x14ac:dyDescent="0.25">
      <c r="A5" s="91"/>
      <c r="B5" s="91"/>
      <c r="C5" s="92"/>
      <c r="D5" s="92"/>
      <c r="E5" s="92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 thickBot="1" x14ac:dyDescent="0.25">
      <c r="A6" s="1"/>
      <c r="B6" s="1"/>
      <c r="C6" s="1"/>
      <c r="D6" s="1"/>
      <c r="E6" s="1"/>
      <c r="F6" s="1"/>
      <c r="G6" s="292" t="s">
        <v>89</v>
      </c>
      <c r="H6" s="292"/>
      <c r="I6" s="292" t="s">
        <v>89</v>
      </c>
      <c r="J6" s="292"/>
      <c r="K6" s="292" t="s">
        <v>89</v>
      </c>
      <c r="L6" s="292"/>
      <c r="M6" s="292" t="s">
        <v>89</v>
      </c>
      <c r="N6" s="292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1"/>
      <c r="AE6" s="1"/>
      <c r="AF6" s="1"/>
      <c r="AG6" s="1"/>
      <c r="AH6" s="1"/>
      <c r="AI6" s="1"/>
    </row>
    <row r="7" spans="1:35" ht="16.5" customHeight="1" x14ac:dyDescent="0.2">
      <c r="A7" s="302" t="s">
        <v>229</v>
      </c>
      <c r="B7" s="303"/>
      <c r="C7" s="303"/>
      <c r="D7" s="304"/>
      <c r="E7" s="280" t="s">
        <v>58</v>
      </c>
      <c r="F7" s="280"/>
      <c r="G7" s="281" t="s">
        <v>119</v>
      </c>
      <c r="H7" s="281"/>
      <c r="I7" s="281" t="s">
        <v>62</v>
      </c>
      <c r="J7" s="281"/>
      <c r="K7" s="280" t="s">
        <v>78</v>
      </c>
      <c r="L7" s="280"/>
      <c r="M7" s="278" t="s">
        <v>230</v>
      </c>
      <c r="N7" s="279"/>
      <c r="O7" s="278" t="s">
        <v>105</v>
      </c>
      <c r="P7" s="279"/>
      <c r="Q7" s="280" t="s">
        <v>233</v>
      </c>
      <c r="R7" s="280"/>
      <c r="S7" s="280" t="s">
        <v>111</v>
      </c>
      <c r="T7" s="280"/>
      <c r="U7" s="280" t="s">
        <v>115</v>
      </c>
      <c r="V7" s="280"/>
      <c r="W7" s="280" t="s">
        <v>92</v>
      </c>
      <c r="X7" s="280"/>
      <c r="Y7" s="62"/>
      <c r="Z7" s="299" t="s">
        <v>19</v>
      </c>
      <c r="AA7" s="299"/>
      <c r="AB7" s="299" t="s">
        <v>19</v>
      </c>
      <c r="AC7" s="299"/>
      <c r="AD7" s="300" t="s">
        <v>19</v>
      </c>
      <c r="AE7" s="301"/>
      <c r="AF7" s="4"/>
      <c r="AG7" s="269" t="s">
        <v>22</v>
      </c>
      <c r="AH7" s="269"/>
      <c r="AI7" s="269"/>
    </row>
    <row r="8" spans="1:35" ht="16.5" customHeight="1" x14ac:dyDescent="0.2">
      <c r="A8" s="293" t="s">
        <v>100</v>
      </c>
      <c r="B8" s="294"/>
      <c r="C8" s="294"/>
      <c r="D8" s="295"/>
      <c r="E8" s="6" t="s">
        <v>3</v>
      </c>
      <c r="F8" s="5"/>
      <c r="G8" s="6" t="s">
        <v>3</v>
      </c>
      <c r="H8" s="5"/>
      <c r="I8" s="6" t="s">
        <v>3</v>
      </c>
      <c r="J8" s="5"/>
      <c r="K8" s="6" t="s">
        <v>3</v>
      </c>
      <c r="L8" s="5"/>
      <c r="M8" s="6" t="s">
        <v>3</v>
      </c>
      <c r="N8" s="5"/>
      <c r="O8" s="6" t="s">
        <v>3</v>
      </c>
      <c r="P8" s="5"/>
      <c r="Q8" s="6" t="s">
        <v>3</v>
      </c>
      <c r="R8" s="5"/>
      <c r="S8" s="6" t="s">
        <v>3</v>
      </c>
      <c r="T8" s="5"/>
      <c r="U8" s="6" t="s">
        <v>3</v>
      </c>
      <c r="V8" s="5"/>
      <c r="W8" s="6" t="s">
        <v>3</v>
      </c>
      <c r="X8" s="5"/>
      <c r="Y8" s="63"/>
      <c r="Z8" s="264" t="s">
        <v>26</v>
      </c>
      <c r="AA8" s="264"/>
      <c r="AB8" s="264" t="s">
        <v>26</v>
      </c>
      <c r="AC8" s="264"/>
      <c r="AD8" s="296" t="s">
        <v>26</v>
      </c>
      <c r="AE8" s="297"/>
      <c r="AF8" s="7"/>
      <c r="AG8" s="264" t="s">
        <v>23</v>
      </c>
      <c r="AH8" s="8" t="s">
        <v>20</v>
      </c>
      <c r="AI8" s="35">
        <v>44958</v>
      </c>
    </row>
    <row r="9" spans="1:35" ht="16.5" customHeight="1" thickBot="1" x14ac:dyDescent="0.25">
      <c r="A9" s="293" t="s">
        <v>101</v>
      </c>
      <c r="B9" s="285"/>
      <c r="C9" s="285"/>
      <c r="D9" s="286"/>
      <c r="E9" s="6" t="s">
        <v>0</v>
      </c>
      <c r="F9" s="58" t="s">
        <v>86</v>
      </c>
      <c r="G9" s="6" t="s">
        <v>0</v>
      </c>
      <c r="H9" s="86" t="s">
        <v>120</v>
      </c>
      <c r="I9" s="6" t="s">
        <v>0</v>
      </c>
      <c r="J9" s="86" t="s">
        <v>71</v>
      </c>
      <c r="K9" s="6" t="s">
        <v>0</v>
      </c>
      <c r="L9" s="5" t="s">
        <v>79</v>
      </c>
      <c r="M9" s="6" t="s">
        <v>0</v>
      </c>
      <c r="N9" s="5" t="s">
        <v>212</v>
      </c>
      <c r="O9" s="6" t="s">
        <v>0</v>
      </c>
      <c r="P9" s="5" t="s">
        <v>106</v>
      </c>
      <c r="Q9" s="6" t="s">
        <v>0</v>
      </c>
      <c r="R9" s="5" t="s">
        <v>232</v>
      </c>
      <c r="S9" s="6" t="s">
        <v>0</v>
      </c>
      <c r="T9" s="5" t="s">
        <v>112</v>
      </c>
      <c r="U9" s="6" t="s">
        <v>0</v>
      </c>
      <c r="V9" s="5" t="s">
        <v>116</v>
      </c>
      <c r="W9" s="6" t="s">
        <v>0</v>
      </c>
      <c r="X9" s="5" t="s">
        <v>93</v>
      </c>
      <c r="Y9" s="63"/>
      <c r="Z9" s="298" t="s">
        <v>123</v>
      </c>
      <c r="AA9" s="298"/>
      <c r="AB9" s="298"/>
      <c r="AC9" s="298"/>
      <c r="AD9" s="272"/>
      <c r="AE9" s="273"/>
      <c r="AF9" s="7"/>
      <c r="AG9" s="264"/>
      <c r="AH9" s="8" t="s">
        <v>47</v>
      </c>
      <c r="AI9" s="36">
        <v>1056.896</v>
      </c>
    </row>
    <row r="10" spans="1:35" ht="16.5" customHeight="1" thickBot="1" x14ac:dyDescent="0.25">
      <c r="A10" s="284" t="s">
        <v>102</v>
      </c>
      <c r="B10" s="285"/>
      <c r="C10" s="285"/>
      <c r="D10" s="286"/>
      <c r="E10" s="6" t="s">
        <v>1</v>
      </c>
      <c r="F10" s="5" t="s">
        <v>72</v>
      </c>
      <c r="G10" s="6" t="s">
        <v>1</v>
      </c>
      <c r="H10" s="5" t="s">
        <v>121</v>
      </c>
      <c r="I10" s="6" t="s">
        <v>1</v>
      </c>
      <c r="J10" s="5" t="s">
        <v>73</v>
      </c>
      <c r="K10" s="6" t="s">
        <v>1</v>
      </c>
      <c r="L10" s="5" t="s">
        <v>80</v>
      </c>
      <c r="M10" s="6" t="s">
        <v>1</v>
      </c>
      <c r="N10" s="5" t="s">
        <v>231</v>
      </c>
      <c r="O10" s="6" t="s">
        <v>1</v>
      </c>
      <c r="P10" s="5" t="s">
        <v>107</v>
      </c>
      <c r="Q10" s="6" t="s">
        <v>1</v>
      </c>
      <c r="R10" s="155" t="s">
        <v>163</v>
      </c>
      <c r="S10" s="6" t="s">
        <v>1</v>
      </c>
      <c r="T10" s="5" t="s">
        <v>113</v>
      </c>
      <c r="U10" s="6" t="s">
        <v>1</v>
      </c>
      <c r="V10" s="5" t="s">
        <v>117</v>
      </c>
      <c r="W10" s="6" t="s">
        <v>1</v>
      </c>
      <c r="X10" s="5" t="s">
        <v>94</v>
      </c>
      <c r="Y10" s="63"/>
      <c r="Z10" s="298"/>
      <c r="AA10" s="298"/>
      <c r="AB10" s="298"/>
      <c r="AC10" s="298"/>
      <c r="AD10" s="274"/>
      <c r="AE10" s="275"/>
      <c r="AF10" s="7"/>
      <c r="AG10" s="264" t="s">
        <v>24</v>
      </c>
      <c r="AH10" s="8" t="s">
        <v>20</v>
      </c>
      <c r="AI10" s="35">
        <v>45413</v>
      </c>
    </row>
    <row r="11" spans="1:35" ht="16.5" customHeight="1" x14ac:dyDescent="0.2">
      <c r="A11" s="265" t="s">
        <v>103</v>
      </c>
      <c r="B11" s="266"/>
      <c r="C11" s="266"/>
      <c r="D11" s="267"/>
      <c r="E11" s="6" t="s">
        <v>2</v>
      </c>
      <c r="F11" s="50" t="s">
        <v>57</v>
      </c>
      <c r="G11" s="6" t="s">
        <v>2</v>
      </c>
      <c r="H11" s="50" t="s">
        <v>122</v>
      </c>
      <c r="I11" s="6" t="s">
        <v>2</v>
      </c>
      <c r="J11" s="50" t="s">
        <v>63</v>
      </c>
      <c r="K11" s="6" t="s">
        <v>2</v>
      </c>
      <c r="L11" s="50" t="s">
        <v>81</v>
      </c>
      <c r="M11" s="6" t="s">
        <v>2</v>
      </c>
      <c r="N11" s="50" t="s">
        <v>185</v>
      </c>
      <c r="O11" s="6" t="s">
        <v>2</v>
      </c>
      <c r="P11" s="50" t="s">
        <v>108</v>
      </c>
      <c r="Q11" s="6" t="s">
        <v>2</v>
      </c>
      <c r="R11" s="163" t="s">
        <v>164</v>
      </c>
      <c r="S11" s="6" t="s">
        <v>2</v>
      </c>
      <c r="T11" s="50" t="s">
        <v>114</v>
      </c>
      <c r="U11" s="6" t="s">
        <v>2</v>
      </c>
      <c r="V11" s="50" t="s">
        <v>118</v>
      </c>
      <c r="W11" s="6" t="s">
        <v>2</v>
      </c>
      <c r="X11" s="50" t="s">
        <v>95</v>
      </c>
      <c r="Y11" s="64"/>
      <c r="Z11" s="298"/>
      <c r="AA11" s="298"/>
      <c r="AB11" s="298"/>
      <c r="AC11" s="298"/>
      <c r="AD11" s="276"/>
      <c r="AE11" s="277"/>
      <c r="AF11" s="9"/>
      <c r="AG11" s="264"/>
      <c r="AH11" s="8" t="s">
        <v>48</v>
      </c>
      <c r="AI11" s="36">
        <v>1110.8869999999999</v>
      </c>
    </row>
    <row r="12" spans="1:35" ht="15.75" x14ac:dyDescent="0.2">
      <c r="A12" s="268" t="s">
        <v>29</v>
      </c>
      <c r="B12" s="282" t="s">
        <v>5</v>
      </c>
      <c r="C12" s="287" t="s">
        <v>9</v>
      </c>
      <c r="D12" s="270" t="s">
        <v>30</v>
      </c>
      <c r="E12" s="268" t="s">
        <v>28</v>
      </c>
      <c r="F12" s="258"/>
      <c r="G12" s="268" t="s">
        <v>28</v>
      </c>
      <c r="H12" s="258"/>
      <c r="I12" s="268" t="s">
        <v>28</v>
      </c>
      <c r="J12" s="258"/>
      <c r="K12" s="268" t="s">
        <v>28</v>
      </c>
      <c r="L12" s="258"/>
      <c r="M12" s="268" t="s">
        <v>28</v>
      </c>
      <c r="N12" s="258"/>
      <c r="O12" s="268" t="s">
        <v>28</v>
      </c>
      <c r="P12" s="258"/>
      <c r="Q12" s="268" t="s">
        <v>28</v>
      </c>
      <c r="R12" s="258"/>
      <c r="S12" s="268" t="s">
        <v>28</v>
      </c>
      <c r="T12" s="258"/>
      <c r="U12" s="268" t="s">
        <v>28</v>
      </c>
      <c r="V12" s="258"/>
      <c r="W12" s="268" t="s">
        <v>28</v>
      </c>
      <c r="X12" s="258"/>
      <c r="Y12" s="4"/>
      <c r="Z12" s="269" t="s">
        <v>28</v>
      </c>
      <c r="AA12" s="269"/>
      <c r="AB12" s="269" t="s">
        <v>28</v>
      </c>
      <c r="AC12" s="269"/>
      <c r="AD12" s="270" t="s">
        <v>28</v>
      </c>
      <c r="AE12" s="271"/>
      <c r="AF12" s="4"/>
      <c r="AG12" s="269" t="s">
        <v>28</v>
      </c>
      <c r="AH12" s="269"/>
      <c r="AI12" s="269"/>
    </row>
    <row r="13" spans="1:35" ht="15.75" x14ac:dyDescent="0.2">
      <c r="A13" s="268"/>
      <c r="B13" s="283"/>
      <c r="C13" s="288"/>
      <c r="D13" s="270"/>
      <c r="E13" s="10" t="s">
        <v>31</v>
      </c>
      <c r="F13" s="11" t="s">
        <v>32</v>
      </c>
      <c r="G13" s="10" t="s">
        <v>31</v>
      </c>
      <c r="H13" s="11" t="s">
        <v>32</v>
      </c>
      <c r="I13" s="10" t="s">
        <v>31</v>
      </c>
      <c r="J13" s="11" t="s">
        <v>32</v>
      </c>
      <c r="K13" s="10" t="s">
        <v>31</v>
      </c>
      <c r="L13" s="11" t="s">
        <v>32</v>
      </c>
      <c r="M13" s="10" t="s">
        <v>31</v>
      </c>
      <c r="N13" s="11" t="s">
        <v>32</v>
      </c>
      <c r="O13" s="10" t="s">
        <v>31</v>
      </c>
      <c r="P13" s="11" t="s">
        <v>32</v>
      </c>
      <c r="Q13" s="10" t="s">
        <v>31</v>
      </c>
      <c r="R13" s="11" t="s">
        <v>32</v>
      </c>
      <c r="S13" s="10" t="s">
        <v>31</v>
      </c>
      <c r="T13" s="11" t="s">
        <v>32</v>
      </c>
      <c r="U13" s="10" t="s">
        <v>31</v>
      </c>
      <c r="V13" s="11" t="s">
        <v>32</v>
      </c>
      <c r="W13" s="10" t="s">
        <v>31</v>
      </c>
      <c r="X13" s="11" t="s">
        <v>32</v>
      </c>
      <c r="Y13" s="4"/>
      <c r="Z13" s="33" t="s">
        <v>31</v>
      </c>
      <c r="AA13" s="33" t="s">
        <v>32</v>
      </c>
      <c r="AB13" s="33" t="s">
        <v>31</v>
      </c>
      <c r="AC13" s="33" t="s">
        <v>32</v>
      </c>
      <c r="AD13" s="33" t="s">
        <v>31</v>
      </c>
      <c r="AE13" s="33" t="s">
        <v>32</v>
      </c>
      <c r="AF13" s="4"/>
      <c r="AG13" s="33" t="s">
        <v>9</v>
      </c>
      <c r="AH13" s="33" t="s">
        <v>31</v>
      </c>
      <c r="AI13" s="33" t="s">
        <v>32</v>
      </c>
    </row>
    <row r="14" spans="1:35" s="101" customFormat="1" ht="18.75" customHeight="1" x14ac:dyDescent="0.2">
      <c r="A14" s="93"/>
      <c r="B14" s="94" t="s">
        <v>91</v>
      </c>
      <c r="C14" s="95"/>
      <c r="D14" s="96"/>
      <c r="E14" s="93"/>
      <c r="F14" s="98">
        <f>SUM(F15:F22)</f>
        <v>6185252.8200000003</v>
      </c>
      <c r="G14" s="93"/>
      <c r="H14" s="97"/>
      <c r="I14" s="93"/>
      <c r="J14" s="97"/>
      <c r="K14" s="93"/>
      <c r="L14" s="98">
        <f>SUM(L15:L22)</f>
        <v>6165405.4500000011</v>
      </c>
      <c r="M14" s="93"/>
      <c r="N14" s="98" t="e">
        <f>SUM(N15:N22)</f>
        <v>#DIV/0!</v>
      </c>
      <c r="O14" s="93"/>
      <c r="P14" s="98">
        <f>SUM(P15:P22)</f>
        <v>6756379.2999999998</v>
      </c>
      <c r="Q14" s="93"/>
      <c r="R14" s="98">
        <f>SUM(R15:R22)</f>
        <v>7959305.0900000008</v>
      </c>
      <c r="S14" s="93"/>
      <c r="T14" s="98" t="e">
        <f>SUM(T15:T22)</f>
        <v>#DIV/0!</v>
      </c>
      <c r="U14" s="93"/>
      <c r="V14" s="98">
        <f>SUM(V16:V22)</f>
        <v>0</v>
      </c>
      <c r="W14" s="93"/>
      <c r="X14" s="98">
        <f>SUM(X16:X22)</f>
        <v>0</v>
      </c>
      <c r="Y14" s="99"/>
      <c r="Z14" s="100"/>
      <c r="AA14" s="100"/>
      <c r="AB14" s="100"/>
      <c r="AC14" s="100"/>
      <c r="AD14" s="100"/>
      <c r="AE14" s="100"/>
      <c r="AF14" s="99"/>
      <c r="AG14" s="100"/>
      <c r="AH14" s="100"/>
      <c r="AI14" s="100"/>
    </row>
    <row r="15" spans="1:35" ht="69" customHeight="1" x14ac:dyDescent="0.2">
      <c r="A15" s="12" t="s">
        <v>74</v>
      </c>
      <c r="B15" s="51" t="s">
        <v>242</v>
      </c>
      <c r="C15" s="186">
        <v>5837.75</v>
      </c>
      <c r="D15" s="15" t="s">
        <v>66</v>
      </c>
      <c r="E15" s="16">
        <f>(61599.14+3616.65+980746.18+1543104+2624089.43+28082.01+19430)/C15</f>
        <v>901.14640229540498</v>
      </c>
      <c r="F15" s="17">
        <f>E15*C15</f>
        <v>5260667.41</v>
      </c>
      <c r="G15" s="319" t="s">
        <v>248</v>
      </c>
      <c r="H15" s="320"/>
      <c r="I15" s="49">
        <v>838</v>
      </c>
      <c r="J15" s="88">
        <f>I15*C15</f>
        <v>4892034.5</v>
      </c>
      <c r="K15" s="49">
        <f>(37968+955486.2+1503360+2556503.7+37896+9475)/C15</f>
        <v>873.74226371461612</v>
      </c>
      <c r="L15" s="17">
        <f t="shared" ref="L15:L22" si="0">K15*C15</f>
        <v>5100688.9000000004</v>
      </c>
      <c r="M15" s="49">
        <v>930</v>
      </c>
      <c r="N15" s="17">
        <f>M15*C15</f>
        <v>5429107.5</v>
      </c>
      <c r="O15" s="49">
        <v>990</v>
      </c>
      <c r="P15" s="17">
        <f t="shared" ref="P15:P22" si="1">O15*C15</f>
        <v>5779372.5</v>
      </c>
      <c r="Q15" s="49">
        <v>985</v>
      </c>
      <c r="R15" s="17">
        <f t="shared" ref="R15:R22" si="2">Q15*C15</f>
        <v>5750183.75</v>
      </c>
      <c r="S15" s="49">
        <f>5093423.7/C15</f>
        <v>872.49774313733894</v>
      </c>
      <c r="T15" s="17">
        <f>S15*C15</f>
        <v>5093423.7</v>
      </c>
      <c r="U15" s="310" t="s">
        <v>250</v>
      </c>
      <c r="V15" s="311"/>
      <c r="W15" s="240" t="s">
        <v>247</v>
      </c>
      <c r="X15" s="241"/>
      <c r="Y15" s="18"/>
      <c r="Z15" s="34">
        <v>838.2</v>
      </c>
      <c r="AA15" s="34">
        <f t="shared" ref="AA15:AA22" si="3">Z15*C15</f>
        <v>4893202.05</v>
      </c>
      <c r="AB15" s="34">
        <v>0</v>
      </c>
      <c r="AC15" s="34">
        <f t="shared" ref="AC15:AC22" si="4">AB15*C15</f>
        <v>0</v>
      </c>
      <c r="AD15" s="34">
        <v>0</v>
      </c>
      <c r="AE15" s="34">
        <f t="shared" ref="AE15:AE22" si="5">AD15*C15</f>
        <v>0</v>
      </c>
      <c r="AF15" s="18"/>
      <c r="AG15" s="37">
        <v>6010</v>
      </c>
      <c r="AH15" s="34">
        <v>843.7</v>
      </c>
      <c r="AI15" s="34">
        <f>AH15*AG15</f>
        <v>5070637</v>
      </c>
    </row>
    <row r="16" spans="1:35" ht="57" x14ac:dyDescent="0.2">
      <c r="A16" s="12" t="s">
        <v>74</v>
      </c>
      <c r="B16" s="51" t="s">
        <v>104</v>
      </c>
      <c r="C16" s="14">
        <v>69.540000000000006</v>
      </c>
      <c r="D16" s="15" t="s">
        <v>66</v>
      </c>
      <c r="E16" s="16">
        <f>61831.32/C16</f>
        <v>889.14754098360652</v>
      </c>
      <c r="F16" s="17">
        <f>E16*C16</f>
        <v>61831.32</v>
      </c>
      <c r="G16" s="321"/>
      <c r="H16" s="322"/>
      <c r="I16" s="49">
        <v>838</v>
      </c>
      <c r="J16" s="88">
        <f>I16*C16</f>
        <v>58274.520000000004</v>
      </c>
      <c r="K16" s="49">
        <f>(60238.8+60012.6+3523.5)/C16</f>
        <v>1779.9094046591888</v>
      </c>
      <c r="L16" s="17">
        <f t="shared" si="0"/>
        <v>123774.9</v>
      </c>
      <c r="M16" s="49">
        <v>930</v>
      </c>
      <c r="N16" s="17">
        <f t="shared" ref="N16:N34" si="6">M16*C16</f>
        <v>64672.200000000004</v>
      </c>
      <c r="O16" s="49">
        <v>990</v>
      </c>
      <c r="P16" s="17">
        <f t="shared" si="1"/>
        <v>68844.600000000006</v>
      </c>
      <c r="Q16" s="49">
        <v>985</v>
      </c>
      <c r="R16" s="17">
        <f t="shared" si="2"/>
        <v>68496.900000000009</v>
      </c>
      <c r="S16" s="49">
        <v>870</v>
      </c>
      <c r="T16" s="17">
        <f>S16*C16</f>
        <v>60499.8</v>
      </c>
      <c r="U16" s="312"/>
      <c r="V16" s="313"/>
      <c r="W16" s="242"/>
      <c r="X16" s="243"/>
      <c r="Y16" s="18"/>
      <c r="Z16" s="34">
        <v>838.2</v>
      </c>
      <c r="AA16" s="34">
        <f t="shared" si="3"/>
        <v>58288.428000000007</v>
      </c>
      <c r="AB16" s="34">
        <v>0</v>
      </c>
      <c r="AC16" s="34">
        <f t="shared" si="4"/>
        <v>0</v>
      </c>
      <c r="AD16" s="34">
        <v>0</v>
      </c>
      <c r="AE16" s="34">
        <f t="shared" si="5"/>
        <v>0</v>
      </c>
      <c r="AF16" s="18"/>
      <c r="AG16" s="37">
        <v>0</v>
      </c>
      <c r="AH16" s="34">
        <v>0</v>
      </c>
      <c r="AI16" s="34">
        <f>AH16*AG16</f>
        <v>0</v>
      </c>
    </row>
    <row r="17" spans="1:35" ht="73.349999999999994" customHeight="1" x14ac:dyDescent="0.2">
      <c r="A17" s="12" t="s">
        <v>75</v>
      </c>
      <c r="B17" s="51" t="s">
        <v>234</v>
      </c>
      <c r="C17" s="186">
        <v>966.13</v>
      </c>
      <c r="D17" s="15" t="s">
        <v>66</v>
      </c>
      <c r="E17" s="16">
        <v>893</v>
      </c>
      <c r="F17" s="17">
        <f t="shared" ref="F17" si="7">E17*C17</f>
        <v>862754.09</v>
      </c>
      <c r="G17" s="321"/>
      <c r="H17" s="322"/>
      <c r="I17" s="49">
        <v>885</v>
      </c>
      <c r="J17" s="88">
        <f>I17*C17</f>
        <v>855025.05</v>
      </c>
      <c r="K17" s="49">
        <f>(28408.55+840533.1)/C17</f>
        <v>899.40447972840093</v>
      </c>
      <c r="L17" s="17">
        <f t="shared" si="0"/>
        <v>868941.65</v>
      </c>
      <c r="M17" s="49">
        <f>(898500.9+13560+65307+80400)/C17</f>
        <v>1094.8504859594464</v>
      </c>
      <c r="N17" s="17">
        <f t="shared" si="6"/>
        <v>1057767.8999999999</v>
      </c>
      <c r="O17" s="49">
        <v>940</v>
      </c>
      <c r="P17" s="17">
        <f t="shared" si="1"/>
        <v>908162.2</v>
      </c>
      <c r="Q17" s="49">
        <f>(17561.05+25764+9990+61562.5+951638.05+123500+71700+353923.9+102044.25+159836.6+159836.6)/C17</f>
        <v>2108.7813751772537</v>
      </c>
      <c r="R17" s="17">
        <f t="shared" si="2"/>
        <v>2037356.9500000002</v>
      </c>
      <c r="S17" s="49">
        <v>751.91</v>
      </c>
      <c r="T17" s="17">
        <f t="shared" ref="T17:T22" si="8">S17*C17</f>
        <v>726442.80829999992</v>
      </c>
      <c r="U17" s="312"/>
      <c r="V17" s="313"/>
      <c r="W17" s="242"/>
      <c r="X17" s="243"/>
      <c r="Y17" s="18"/>
      <c r="Z17" s="34">
        <v>700</v>
      </c>
      <c r="AA17" s="34">
        <f t="shared" si="3"/>
        <v>676291</v>
      </c>
      <c r="AB17" s="34">
        <v>0</v>
      </c>
      <c r="AC17" s="34">
        <f t="shared" si="4"/>
        <v>0</v>
      </c>
      <c r="AD17" s="34">
        <v>0</v>
      </c>
      <c r="AE17" s="34">
        <f t="shared" si="5"/>
        <v>0</v>
      </c>
      <c r="AF17" s="18"/>
      <c r="AG17" s="37">
        <v>1007</v>
      </c>
      <c r="AH17" s="34">
        <v>712.5</v>
      </c>
      <c r="AI17" s="34">
        <f>AG17*AH17</f>
        <v>717487.5</v>
      </c>
    </row>
    <row r="18" spans="1:35" ht="72.599999999999994" customHeight="1" x14ac:dyDescent="0.2">
      <c r="A18" s="12" t="s">
        <v>76</v>
      </c>
      <c r="B18" s="51" t="s">
        <v>235</v>
      </c>
      <c r="C18" s="14">
        <v>0</v>
      </c>
      <c r="D18" s="15" t="s">
        <v>67</v>
      </c>
      <c r="E18" s="379" t="s">
        <v>266</v>
      </c>
      <c r="F18" s="380"/>
      <c r="G18" s="321"/>
      <c r="H18" s="322"/>
      <c r="I18" s="49">
        <v>2.75</v>
      </c>
      <c r="J18" s="88">
        <f t="shared" ref="J18:J22" si="9">I18*C18</f>
        <v>0</v>
      </c>
      <c r="K18" s="49">
        <v>0</v>
      </c>
      <c r="L18" s="17">
        <f t="shared" si="0"/>
        <v>0</v>
      </c>
      <c r="M18" s="49"/>
      <c r="N18" s="17">
        <f t="shared" si="6"/>
        <v>0</v>
      </c>
      <c r="O18" s="49"/>
      <c r="P18" s="17">
        <f t="shared" si="1"/>
        <v>0</v>
      </c>
      <c r="Q18" s="49">
        <v>0</v>
      </c>
      <c r="R18" s="17">
        <f t="shared" si="2"/>
        <v>0</v>
      </c>
      <c r="S18" s="49">
        <v>0</v>
      </c>
      <c r="T18" s="17">
        <f t="shared" si="8"/>
        <v>0</v>
      </c>
      <c r="U18" s="312"/>
      <c r="V18" s="313"/>
      <c r="W18" s="242"/>
      <c r="X18" s="243"/>
      <c r="Y18" s="18"/>
      <c r="Z18" s="34">
        <v>0</v>
      </c>
      <c r="AA18" s="34">
        <f t="shared" si="3"/>
        <v>0</v>
      </c>
      <c r="AB18" s="34">
        <v>0</v>
      </c>
      <c r="AC18" s="34">
        <f t="shared" si="4"/>
        <v>0</v>
      </c>
      <c r="AD18" s="34">
        <v>0</v>
      </c>
      <c r="AE18" s="34">
        <f t="shared" si="5"/>
        <v>0</v>
      </c>
      <c r="AF18" s="18"/>
      <c r="AG18" s="37">
        <v>0</v>
      </c>
      <c r="AH18" s="34">
        <v>0</v>
      </c>
      <c r="AI18" s="34">
        <f>AH18*AG18</f>
        <v>0</v>
      </c>
    </row>
    <row r="19" spans="1:35" ht="52.7" customHeight="1" x14ac:dyDescent="0.2">
      <c r="A19" s="12" t="s">
        <v>77</v>
      </c>
      <c r="B19" s="51" t="s">
        <v>236</v>
      </c>
      <c r="C19" s="14">
        <v>1</v>
      </c>
      <c r="D19" s="15" t="s">
        <v>244</v>
      </c>
      <c r="E19" s="16">
        <v>0</v>
      </c>
      <c r="F19" s="17">
        <f>E19*C19</f>
        <v>0</v>
      </c>
      <c r="G19" s="321"/>
      <c r="H19" s="322"/>
      <c r="I19" s="49">
        <v>21.88</v>
      </c>
      <c r="J19" s="88">
        <f>I19*C19</f>
        <v>21.88</v>
      </c>
      <c r="K19" s="49">
        <v>0</v>
      </c>
      <c r="L19" s="17">
        <f t="shared" si="0"/>
        <v>0</v>
      </c>
      <c r="M19" s="49"/>
      <c r="N19" s="17">
        <f t="shared" si="6"/>
        <v>0</v>
      </c>
      <c r="O19" s="49"/>
      <c r="P19" s="17">
        <f t="shared" si="1"/>
        <v>0</v>
      </c>
      <c r="Q19" s="49">
        <v>28500</v>
      </c>
      <c r="R19" s="17">
        <f t="shared" si="2"/>
        <v>28500</v>
      </c>
      <c r="S19" s="49">
        <v>0</v>
      </c>
      <c r="T19" s="17">
        <f t="shared" si="8"/>
        <v>0</v>
      </c>
      <c r="U19" s="312"/>
      <c r="V19" s="313"/>
      <c r="W19" s="242"/>
      <c r="X19" s="243"/>
      <c r="Y19" s="18"/>
      <c r="Z19" s="34">
        <v>0</v>
      </c>
      <c r="AA19" s="34">
        <f t="shared" si="3"/>
        <v>0</v>
      </c>
      <c r="AB19" s="34">
        <v>0</v>
      </c>
      <c r="AC19" s="34">
        <f t="shared" si="4"/>
        <v>0</v>
      </c>
      <c r="AD19" s="34">
        <v>0</v>
      </c>
      <c r="AE19" s="34">
        <f t="shared" si="5"/>
        <v>0</v>
      </c>
      <c r="AF19" s="18"/>
      <c r="AG19" s="37">
        <v>0</v>
      </c>
      <c r="AH19" s="34">
        <v>0</v>
      </c>
      <c r="AI19" s="34">
        <f>AG19*AH19</f>
        <v>0</v>
      </c>
    </row>
    <row r="20" spans="1:35" ht="52.7" customHeight="1" x14ac:dyDescent="0.2">
      <c r="A20" s="12">
        <v>5</v>
      </c>
      <c r="B20" s="51" t="s">
        <v>240</v>
      </c>
      <c r="C20" s="14">
        <v>0</v>
      </c>
      <c r="D20" s="15" t="s">
        <v>243</v>
      </c>
      <c r="E20" s="16">
        <v>0</v>
      </c>
      <c r="F20" s="17">
        <f>E20*C20</f>
        <v>0</v>
      </c>
      <c r="G20" s="321"/>
      <c r="H20" s="322"/>
      <c r="I20" s="49">
        <v>0</v>
      </c>
      <c r="J20" s="88">
        <f>I20*C20</f>
        <v>0</v>
      </c>
      <c r="K20" s="49">
        <v>1500</v>
      </c>
      <c r="L20" s="17">
        <f t="shared" si="0"/>
        <v>0</v>
      </c>
      <c r="M20" s="49" t="e">
        <f>120105/C20</f>
        <v>#DIV/0!</v>
      </c>
      <c r="N20" s="17" t="e">
        <f t="shared" si="6"/>
        <v>#DIV/0!</v>
      </c>
      <c r="O20" s="308" t="s">
        <v>251</v>
      </c>
      <c r="P20" s="309"/>
      <c r="Q20" s="49">
        <v>985</v>
      </c>
      <c r="R20" s="17">
        <f t="shared" si="2"/>
        <v>0</v>
      </c>
      <c r="S20" s="49" t="e">
        <f>180550/C20</f>
        <v>#DIV/0!</v>
      </c>
      <c r="T20" s="17" t="e">
        <f t="shared" si="8"/>
        <v>#DIV/0!</v>
      </c>
      <c r="U20" s="312"/>
      <c r="V20" s="313"/>
      <c r="W20" s="242"/>
      <c r="X20" s="243"/>
      <c r="Y20" s="18"/>
      <c r="Z20" s="34">
        <v>0</v>
      </c>
      <c r="AA20" s="34">
        <f t="shared" si="3"/>
        <v>0</v>
      </c>
      <c r="AB20" s="34">
        <v>0</v>
      </c>
      <c r="AC20" s="34">
        <f t="shared" si="4"/>
        <v>0</v>
      </c>
      <c r="AD20" s="34">
        <v>0</v>
      </c>
      <c r="AE20" s="34">
        <f t="shared" si="5"/>
        <v>0</v>
      </c>
      <c r="AF20" s="18"/>
      <c r="AG20" s="37">
        <v>0</v>
      </c>
      <c r="AH20" s="34">
        <v>0</v>
      </c>
      <c r="AI20" s="34">
        <f t="shared" ref="AI20:AI34" si="10">AG20*AH20</f>
        <v>0</v>
      </c>
    </row>
    <row r="21" spans="1:35" ht="70.349999999999994" customHeight="1" x14ac:dyDescent="0.2">
      <c r="A21" s="12">
        <v>6</v>
      </c>
      <c r="B21" s="51" t="s">
        <v>241</v>
      </c>
      <c r="C21" s="14">
        <v>48</v>
      </c>
      <c r="D21" s="15" t="s">
        <v>243</v>
      </c>
      <c r="E21" s="379" t="s">
        <v>265</v>
      </c>
      <c r="F21" s="380"/>
      <c r="G21" s="321"/>
      <c r="H21" s="322"/>
      <c r="I21" s="49">
        <v>0</v>
      </c>
      <c r="J21" s="88">
        <f t="shared" ref="J21" si="11">I21*C21</f>
        <v>0</v>
      </c>
      <c r="K21" s="49">
        <v>1500</v>
      </c>
      <c r="L21" s="17">
        <f t="shared" si="0"/>
        <v>72000</v>
      </c>
      <c r="M21" s="49">
        <f>6000/C21</f>
        <v>125</v>
      </c>
      <c r="N21" s="17">
        <f t="shared" si="6"/>
        <v>6000</v>
      </c>
      <c r="O21" s="308" t="s">
        <v>251</v>
      </c>
      <c r="P21" s="309"/>
      <c r="Q21" s="49">
        <f>(40650.94+34116.55)/C21</f>
        <v>1557.6560416666669</v>
      </c>
      <c r="R21" s="17">
        <f t="shared" si="2"/>
        <v>74767.490000000005</v>
      </c>
      <c r="S21" s="49">
        <f>26250/C21</f>
        <v>546.875</v>
      </c>
      <c r="T21" s="17">
        <f t="shared" si="8"/>
        <v>26250</v>
      </c>
      <c r="U21" s="312"/>
      <c r="V21" s="313"/>
      <c r="W21" s="242"/>
      <c r="X21" s="243"/>
      <c r="Y21" s="18"/>
      <c r="Z21" s="34">
        <v>0</v>
      </c>
      <c r="AA21" s="34">
        <f t="shared" si="3"/>
        <v>0</v>
      </c>
      <c r="AB21" s="34">
        <v>0</v>
      </c>
      <c r="AC21" s="34">
        <f t="shared" si="4"/>
        <v>0</v>
      </c>
      <c r="AD21" s="34">
        <v>0</v>
      </c>
      <c r="AE21" s="34">
        <f t="shared" si="5"/>
        <v>0</v>
      </c>
      <c r="AF21" s="18"/>
      <c r="AG21" s="37">
        <v>0</v>
      </c>
      <c r="AH21" s="34">
        <v>0</v>
      </c>
      <c r="AI21" s="34">
        <f t="shared" si="10"/>
        <v>0</v>
      </c>
    </row>
    <row r="22" spans="1:35" ht="70.349999999999994" customHeight="1" x14ac:dyDescent="0.2">
      <c r="A22" s="12">
        <v>6</v>
      </c>
      <c r="B22" s="51" t="s">
        <v>249</v>
      </c>
      <c r="C22" s="14">
        <v>2526.4</v>
      </c>
      <c r="D22" s="15" t="s">
        <v>243</v>
      </c>
      <c r="E22" s="381" t="s">
        <v>267</v>
      </c>
      <c r="F22" s="382"/>
      <c r="G22" s="323"/>
      <c r="H22" s="324"/>
      <c r="I22" s="49">
        <v>0</v>
      </c>
      <c r="J22" s="88">
        <f t="shared" si="9"/>
        <v>0</v>
      </c>
      <c r="K22" s="49">
        <v>0</v>
      </c>
      <c r="L22" s="17">
        <f t="shared" si="0"/>
        <v>0</v>
      </c>
      <c r="M22" s="49">
        <v>0</v>
      </c>
      <c r="N22" s="17">
        <f t="shared" si="6"/>
        <v>0</v>
      </c>
      <c r="O22" s="49"/>
      <c r="P22" s="17">
        <f t="shared" si="1"/>
        <v>0</v>
      </c>
      <c r="Q22" s="49">
        <v>0</v>
      </c>
      <c r="R22" s="17">
        <f t="shared" si="2"/>
        <v>0</v>
      </c>
      <c r="S22" s="49">
        <v>0</v>
      </c>
      <c r="T22" s="17">
        <f t="shared" si="8"/>
        <v>0</v>
      </c>
      <c r="U22" s="314"/>
      <c r="V22" s="315"/>
      <c r="W22" s="244"/>
      <c r="X22" s="245"/>
      <c r="Y22" s="18"/>
      <c r="Z22" s="34">
        <v>0</v>
      </c>
      <c r="AA22" s="34">
        <f t="shared" si="3"/>
        <v>0</v>
      </c>
      <c r="AB22" s="34">
        <v>0</v>
      </c>
      <c r="AC22" s="34">
        <f t="shared" si="4"/>
        <v>0</v>
      </c>
      <c r="AD22" s="34">
        <v>0</v>
      </c>
      <c r="AE22" s="34">
        <f t="shared" si="5"/>
        <v>0</v>
      </c>
      <c r="AF22" s="18"/>
      <c r="AG22" s="37">
        <v>0</v>
      </c>
      <c r="AH22" s="34">
        <v>0</v>
      </c>
      <c r="AI22" s="34">
        <f t="shared" si="10"/>
        <v>0</v>
      </c>
    </row>
    <row r="23" spans="1:35" s="101" customFormat="1" ht="21" customHeight="1" x14ac:dyDescent="0.2">
      <c r="A23" s="102"/>
      <c r="B23" s="103" t="s">
        <v>61</v>
      </c>
      <c r="C23" s="104"/>
      <c r="D23" s="105"/>
      <c r="E23" s="106"/>
      <c r="F23" s="107">
        <f>SUM(F24:F29)</f>
        <v>35663.5</v>
      </c>
      <c r="G23" s="106"/>
      <c r="H23" s="107"/>
      <c r="I23" s="106"/>
      <c r="J23" s="107"/>
      <c r="K23" s="106"/>
      <c r="L23" s="107">
        <f>SUM(L24:L29)</f>
        <v>0</v>
      </c>
      <c r="M23" s="106"/>
      <c r="N23" s="107">
        <f>SUM(N24:N29)</f>
        <v>0</v>
      </c>
      <c r="O23" s="106"/>
      <c r="P23" s="107">
        <f>SUM(P24:P29)</f>
        <v>0</v>
      </c>
      <c r="Q23" s="106"/>
      <c r="R23" s="107">
        <f>SUM(R24:R29)</f>
        <v>0</v>
      </c>
      <c r="S23" s="106"/>
      <c r="T23" s="107">
        <f>SUM(T24:T29)</f>
        <v>0</v>
      </c>
      <c r="U23" s="106"/>
      <c r="V23" s="107">
        <f>SUM(V24:V29)</f>
        <v>0</v>
      </c>
      <c r="W23" s="106"/>
      <c r="X23" s="107">
        <f>SUM(X24:X29)</f>
        <v>0</v>
      </c>
      <c r="Y23" s="108"/>
      <c r="Z23" s="109"/>
      <c r="AA23" s="109"/>
      <c r="AB23" s="109"/>
      <c r="AC23" s="109"/>
      <c r="AD23" s="109"/>
      <c r="AE23" s="109"/>
      <c r="AF23" s="108"/>
      <c r="AG23" s="110"/>
      <c r="AH23" s="109"/>
      <c r="AI23" s="109"/>
    </row>
    <row r="24" spans="1:35" ht="41.45" customHeight="1" x14ac:dyDescent="0.2">
      <c r="A24" s="12"/>
      <c r="B24" s="51" t="s">
        <v>237</v>
      </c>
      <c r="C24" s="14">
        <v>0</v>
      </c>
      <c r="D24" s="15" t="s">
        <v>69</v>
      </c>
      <c r="E24" s="383" t="s">
        <v>266</v>
      </c>
      <c r="F24" s="384"/>
      <c r="G24" s="319" t="s">
        <v>248</v>
      </c>
      <c r="H24" s="320"/>
      <c r="I24" s="308" t="s">
        <v>99</v>
      </c>
      <c r="J24" s="309"/>
      <c r="K24" s="49">
        <v>0</v>
      </c>
      <c r="L24" s="88">
        <f>K24*C24</f>
        <v>0</v>
      </c>
      <c r="M24" s="87">
        <v>0</v>
      </c>
      <c r="N24" s="17">
        <f t="shared" si="6"/>
        <v>0</v>
      </c>
      <c r="O24" s="87">
        <v>0</v>
      </c>
      <c r="P24" s="17">
        <f t="shared" ref="P24:P29" si="12">O24*C24</f>
        <v>0</v>
      </c>
      <c r="Q24" s="49">
        <v>0</v>
      </c>
      <c r="R24" s="17">
        <f t="shared" ref="R24:R29" si="13">Q24*C24</f>
        <v>0</v>
      </c>
      <c r="S24" s="49">
        <v>0</v>
      </c>
      <c r="T24" s="17">
        <f t="shared" ref="T24:T29" si="14">S24*C24</f>
        <v>0</v>
      </c>
      <c r="U24" s="240" t="s">
        <v>250</v>
      </c>
      <c r="V24" s="241"/>
      <c r="W24" s="240" t="s">
        <v>247</v>
      </c>
      <c r="X24" s="241"/>
      <c r="Y24" s="59"/>
      <c r="Z24" s="305" t="s">
        <v>109</v>
      </c>
      <c r="AA24" s="306"/>
      <c r="AB24" s="38">
        <v>0</v>
      </c>
      <c r="AC24" s="34">
        <f t="shared" ref="AC24:AC29" si="15">AB24*C24</f>
        <v>0</v>
      </c>
      <c r="AD24" s="38">
        <v>0</v>
      </c>
      <c r="AE24" s="34">
        <f t="shared" ref="AE24:AE29" si="16">AD24*C24</f>
        <v>0</v>
      </c>
      <c r="AF24" s="18"/>
      <c r="AG24" s="89">
        <v>0</v>
      </c>
      <c r="AH24" s="38">
        <v>0</v>
      </c>
      <c r="AI24" s="34">
        <f t="shared" si="10"/>
        <v>0</v>
      </c>
    </row>
    <row r="25" spans="1:35" ht="34.35" customHeight="1" x14ac:dyDescent="0.2">
      <c r="A25" s="12"/>
      <c r="B25" s="51" t="s">
        <v>239</v>
      </c>
      <c r="C25" s="14">
        <v>172</v>
      </c>
      <c r="D25" s="15" t="s">
        <v>69</v>
      </c>
      <c r="E25" s="49">
        <v>58</v>
      </c>
      <c r="F25" s="88">
        <f t="shared" ref="F25:F34" si="17">E25*C25</f>
        <v>9976</v>
      </c>
      <c r="G25" s="321"/>
      <c r="H25" s="322"/>
      <c r="I25" s="308" t="s">
        <v>99</v>
      </c>
      <c r="J25" s="309"/>
      <c r="K25" s="49">
        <v>0</v>
      </c>
      <c r="L25" s="88">
        <f t="shared" ref="L25:L34" si="18">K25*C25</f>
        <v>0</v>
      </c>
      <c r="M25" s="49">
        <v>0</v>
      </c>
      <c r="N25" s="17">
        <f t="shared" si="6"/>
        <v>0</v>
      </c>
      <c r="O25" s="49">
        <v>0</v>
      </c>
      <c r="P25" s="17">
        <f t="shared" si="12"/>
        <v>0</v>
      </c>
      <c r="Q25" s="49">
        <v>0</v>
      </c>
      <c r="R25" s="17">
        <f t="shared" si="13"/>
        <v>0</v>
      </c>
      <c r="S25" s="49">
        <v>0</v>
      </c>
      <c r="T25" s="17">
        <f t="shared" si="14"/>
        <v>0</v>
      </c>
      <c r="U25" s="242"/>
      <c r="V25" s="243"/>
      <c r="W25" s="242"/>
      <c r="X25" s="243"/>
      <c r="Y25" s="59"/>
      <c r="Z25" s="38">
        <v>0</v>
      </c>
      <c r="AA25" s="34">
        <f>Z25*C25</f>
        <v>0</v>
      </c>
      <c r="AB25" s="38">
        <v>0</v>
      </c>
      <c r="AC25" s="34">
        <f t="shared" si="15"/>
        <v>0</v>
      </c>
      <c r="AD25" s="38">
        <v>0</v>
      </c>
      <c r="AE25" s="34">
        <f t="shared" si="16"/>
        <v>0</v>
      </c>
      <c r="AF25" s="18"/>
      <c r="AG25" s="89">
        <v>0</v>
      </c>
      <c r="AH25" s="38">
        <v>0</v>
      </c>
      <c r="AI25" s="34">
        <f t="shared" si="10"/>
        <v>0</v>
      </c>
    </row>
    <row r="26" spans="1:35" ht="34.700000000000003" customHeight="1" x14ac:dyDescent="0.2">
      <c r="A26" s="12"/>
      <c r="B26" s="51" t="s">
        <v>238</v>
      </c>
      <c r="C26" s="14">
        <v>0</v>
      </c>
      <c r="D26" s="15" t="s">
        <v>110</v>
      </c>
      <c r="E26" s="49">
        <v>0</v>
      </c>
      <c r="F26" s="88">
        <f t="shared" si="17"/>
        <v>0</v>
      </c>
      <c r="G26" s="321"/>
      <c r="H26" s="322"/>
      <c r="I26" s="308" t="s">
        <v>99</v>
      </c>
      <c r="J26" s="309"/>
      <c r="K26" s="49">
        <v>0</v>
      </c>
      <c r="L26" s="88">
        <f t="shared" si="18"/>
        <v>0</v>
      </c>
      <c r="M26" s="49">
        <v>0</v>
      </c>
      <c r="N26" s="17">
        <f t="shared" si="6"/>
        <v>0</v>
      </c>
      <c r="O26" s="49">
        <v>0</v>
      </c>
      <c r="P26" s="17">
        <f t="shared" si="12"/>
        <v>0</v>
      </c>
      <c r="Q26" s="49"/>
      <c r="R26" s="17">
        <f t="shared" si="13"/>
        <v>0</v>
      </c>
      <c r="S26" s="49"/>
      <c r="T26" s="17">
        <f t="shared" si="14"/>
        <v>0</v>
      </c>
      <c r="U26" s="242"/>
      <c r="V26" s="243"/>
      <c r="W26" s="242"/>
      <c r="X26" s="243"/>
      <c r="Y26" s="59"/>
      <c r="Z26" s="38">
        <v>30</v>
      </c>
      <c r="AA26" s="34">
        <f>Z26*C26</f>
        <v>0</v>
      </c>
      <c r="AB26" s="38">
        <v>0</v>
      </c>
      <c r="AC26" s="34">
        <f t="shared" si="15"/>
        <v>0</v>
      </c>
      <c r="AD26" s="38">
        <v>0</v>
      </c>
      <c r="AE26" s="34">
        <f t="shared" si="16"/>
        <v>0</v>
      </c>
      <c r="AF26" s="18"/>
      <c r="AG26" s="89">
        <v>0</v>
      </c>
      <c r="AH26" s="38">
        <v>0</v>
      </c>
      <c r="AI26" s="34">
        <f t="shared" si="10"/>
        <v>0</v>
      </c>
    </row>
    <row r="27" spans="1:35" ht="18.75" customHeight="1" x14ac:dyDescent="0.2">
      <c r="A27" s="12"/>
      <c r="B27" s="51" t="s">
        <v>268</v>
      </c>
      <c r="C27" s="14">
        <v>750</v>
      </c>
      <c r="D27" s="15" t="s">
        <v>110</v>
      </c>
      <c r="E27" s="49">
        <v>34.25</v>
      </c>
      <c r="F27" s="88">
        <f t="shared" si="17"/>
        <v>25687.5</v>
      </c>
      <c r="G27" s="321"/>
      <c r="H27" s="322"/>
      <c r="I27" s="49">
        <v>0</v>
      </c>
      <c r="J27" s="88">
        <f t="shared" ref="J27:J34" si="19">I27*C27</f>
        <v>0</v>
      </c>
      <c r="K27" s="49">
        <v>0</v>
      </c>
      <c r="L27" s="88">
        <f t="shared" si="18"/>
        <v>0</v>
      </c>
      <c r="M27" s="49">
        <v>0</v>
      </c>
      <c r="N27" s="17">
        <f t="shared" si="6"/>
        <v>0</v>
      </c>
      <c r="O27" s="49">
        <v>0</v>
      </c>
      <c r="P27" s="17">
        <f t="shared" si="12"/>
        <v>0</v>
      </c>
      <c r="Q27" s="49">
        <v>0</v>
      </c>
      <c r="R27" s="17">
        <f t="shared" si="13"/>
        <v>0</v>
      </c>
      <c r="S27" s="49">
        <v>0</v>
      </c>
      <c r="T27" s="17">
        <f t="shared" si="14"/>
        <v>0</v>
      </c>
      <c r="U27" s="242"/>
      <c r="V27" s="243"/>
      <c r="W27" s="242"/>
      <c r="X27" s="243"/>
      <c r="Y27" s="59"/>
      <c r="Z27" s="38">
        <v>0</v>
      </c>
      <c r="AA27" s="34">
        <f>Z27*C27</f>
        <v>0</v>
      </c>
      <c r="AB27" s="38">
        <v>0</v>
      </c>
      <c r="AC27" s="34">
        <f t="shared" si="15"/>
        <v>0</v>
      </c>
      <c r="AD27" s="38">
        <v>0</v>
      </c>
      <c r="AE27" s="34">
        <f t="shared" si="16"/>
        <v>0</v>
      </c>
      <c r="AF27" s="18"/>
      <c r="AG27" s="89">
        <v>0</v>
      </c>
      <c r="AH27" s="38">
        <v>0</v>
      </c>
      <c r="AI27" s="34">
        <f t="shared" si="10"/>
        <v>0</v>
      </c>
    </row>
    <row r="28" spans="1:35" ht="18.75" customHeight="1" x14ac:dyDescent="0.2">
      <c r="A28" s="12"/>
      <c r="B28" s="51" t="s">
        <v>270</v>
      </c>
      <c r="C28" s="14">
        <v>1</v>
      </c>
      <c r="D28" s="15" t="s">
        <v>30</v>
      </c>
      <c r="E28" s="49">
        <v>0</v>
      </c>
      <c r="F28" s="88">
        <f>E28*C28</f>
        <v>0</v>
      </c>
      <c r="G28" s="321"/>
      <c r="H28" s="322"/>
      <c r="I28" s="49">
        <v>0</v>
      </c>
      <c r="J28" s="88">
        <f t="shared" si="19"/>
        <v>0</v>
      </c>
      <c r="K28" s="49">
        <v>0</v>
      </c>
      <c r="L28" s="88">
        <f t="shared" si="18"/>
        <v>0</v>
      </c>
      <c r="M28" s="49">
        <v>0</v>
      </c>
      <c r="N28" s="17">
        <f t="shared" si="6"/>
        <v>0</v>
      </c>
      <c r="O28" s="49">
        <v>0</v>
      </c>
      <c r="P28" s="17">
        <f t="shared" si="12"/>
        <v>0</v>
      </c>
      <c r="Q28" s="49">
        <v>0</v>
      </c>
      <c r="R28" s="17">
        <f t="shared" si="13"/>
        <v>0</v>
      </c>
      <c r="S28" s="49">
        <v>0</v>
      </c>
      <c r="T28" s="17">
        <f t="shared" si="14"/>
        <v>0</v>
      </c>
      <c r="U28" s="242"/>
      <c r="V28" s="243"/>
      <c r="W28" s="242"/>
      <c r="X28" s="243"/>
      <c r="Y28" s="59"/>
      <c r="Z28" s="38">
        <v>0</v>
      </c>
      <c r="AA28" s="34">
        <f>Z28*C28</f>
        <v>0</v>
      </c>
      <c r="AB28" s="38">
        <v>0</v>
      </c>
      <c r="AC28" s="34">
        <f t="shared" si="15"/>
        <v>0</v>
      </c>
      <c r="AD28" s="38">
        <v>0</v>
      </c>
      <c r="AE28" s="34">
        <f t="shared" si="16"/>
        <v>0</v>
      </c>
      <c r="AF28" s="18"/>
      <c r="AG28" s="89">
        <v>0</v>
      </c>
      <c r="AH28" s="38">
        <v>0</v>
      </c>
      <c r="AI28" s="34">
        <f t="shared" si="10"/>
        <v>0</v>
      </c>
    </row>
    <row r="29" spans="1:35" ht="18.75" customHeight="1" x14ac:dyDescent="0.2">
      <c r="A29" s="12"/>
      <c r="B29" s="51"/>
      <c r="C29" s="14"/>
      <c r="D29" s="15"/>
      <c r="E29" s="49">
        <v>0</v>
      </c>
      <c r="F29" s="88">
        <f t="shared" si="17"/>
        <v>0</v>
      </c>
      <c r="G29" s="323"/>
      <c r="H29" s="324"/>
      <c r="I29" s="49">
        <v>0</v>
      </c>
      <c r="J29" s="88">
        <f t="shared" si="19"/>
        <v>0</v>
      </c>
      <c r="K29" s="49">
        <v>0</v>
      </c>
      <c r="L29" s="88">
        <f t="shared" si="18"/>
        <v>0</v>
      </c>
      <c r="M29" s="49">
        <v>0</v>
      </c>
      <c r="N29" s="17">
        <f t="shared" si="6"/>
        <v>0</v>
      </c>
      <c r="O29" s="49">
        <v>0</v>
      </c>
      <c r="P29" s="17">
        <f t="shared" si="12"/>
        <v>0</v>
      </c>
      <c r="Q29" s="49">
        <v>0</v>
      </c>
      <c r="R29" s="17">
        <f t="shared" si="13"/>
        <v>0</v>
      </c>
      <c r="S29" s="49">
        <v>0</v>
      </c>
      <c r="T29" s="17">
        <f t="shared" si="14"/>
        <v>0</v>
      </c>
      <c r="U29" s="244"/>
      <c r="V29" s="245"/>
      <c r="W29" s="244"/>
      <c r="X29" s="245"/>
      <c r="Y29" s="59"/>
      <c r="Z29" s="38">
        <v>0</v>
      </c>
      <c r="AA29" s="34">
        <f>Z29*C29</f>
        <v>0</v>
      </c>
      <c r="AB29" s="38">
        <v>0</v>
      </c>
      <c r="AC29" s="34">
        <f t="shared" si="15"/>
        <v>0</v>
      </c>
      <c r="AD29" s="38">
        <v>0</v>
      </c>
      <c r="AE29" s="34">
        <f t="shared" si="16"/>
        <v>0</v>
      </c>
      <c r="AF29" s="18"/>
      <c r="AG29" s="89">
        <v>0</v>
      </c>
      <c r="AH29" s="38">
        <v>0</v>
      </c>
      <c r="AI29" s="34">
        <f t="shared" si="10"/>
        <v>0</v>
      </c>
    </row>
    <row r="30" spans="1:35" s="101" customFormat="1" ht="18.75" customHeight="1" x14ac:dyDescent="0.2">
      <c r="A30" s="102"/>
      <c r="B30" s="103" t="s">
        <v>97</v>
      </c>
      <c r="C30" s="104"/>
      <c r="D30" s="105"/>
      <c r="E30" s="106"/>
      <c r="F30" s="107">
        <f>SUM(F31:F34)</f>
        <v>0</v>
      </c>
      <c r="G30" s="106"/>
      <c r="H30" s="107"/>
      <c r="I30" s="106"/>
      <c r="J30" s="107"/>
      <c r="K30" s="106"/>
      <c r="L30" s="107">
        <f>SUM(L31:L36)</f>
        <v>0</v>
      </c>
      <c r="M30" s="106"/>
      <c r="N30" s="107">
        <f>SUM(N31:N36)</f>
        <v>0</v>
      </c>
      <c r="O30" s="106"/>
      <c r="P30" s="107">
        <f>SUM(P31:P36)</f>
        <v>0</v>
      </c>
      <c r="Q30" s="106"/>
      <c r="R30" s="107">
        <f>SUM(R31:R36)</f>
        <v>0</v>
      </c>
      <c r="S30" s="106"/>
      <c r="T30" s="107">
        <f>SUM(T31:T36)</f>
        <v>0</v>
      </c>
      <c r="U30" s="106"/>
      <c r="V30" s="107">
        <f>SUM(V31:V36)</f>
        <v>0</v>
      </c>
      <c r="W30" s="106"/>
      <c r="X30" s="107">
        <f>SUM(X31:X36)</f>
        <v>0</v>
      </c>
      <c r="Y30" s="108"/>
      <c r="Z30" s="109"/>
      <c r="AA30" s="109"/>
      <c r="AB30" s="109"/>
      <c r="AC30" s="109"/>
      <c r="AD30" s="109"/>
      <c r="AE30" s="109"/>
      <c r="AF30" s="108"/>
      <c r="AG30" s="110"/>
      <c r="AH30" s="109"/>
      <c r="AI30" s="109"/>
    </row>
    <row r="31" spans="1:35" ht="18.75" customHeight="1" x14ac:dyDescent="0.2">
      <c r="A31" s="12"/>
      <c r="B31" s="51" t="s">
        <v>59</v>
      </c>
      <c r="C31" s="14">
        <v>0</v>
      </c>
      <c r="D31" s="15" t="s">
        <v>68</v>
      </c>
      <c r="E31" s="16">
        <v>0</v>
      </c>
      <c r="F31" s="88">
        <f t="shared" si="17"/>
        <v>0</v>
      </c>
      <c r="G31" s="325" t="s">
        <v>248</v>
      </c>
      <c r="H31" s="326"/>
      <c r="I31" s="16">
        <f>34*9</f>
        <v>306</v>
      </c>
      <c r="J31" s="88">
        <f t="shared" si="19"/>
        <v>0</v>
      </c>
      <c r="K31" s="49">
        <v>0</v>
      </c>
      <c r="L31" s="88">
        <f t="shared" si="18"/>
        <v>0</v>
      </c>
      <c r="M31" s="49">
        <v>0</v>
      </c>
      <c r="N31" s="17">
        <f t="shared" si="6"/>
        <v>0</v>
      </c>
      <c r="O31" s="49">
        <v>0</v>
      </c>
      <c r="P31" s="17">
        <f>O31*C31</f>
        <v>0</v>
      </c>
      <c r="Q31" s="49">
        <v>0</v>
      </c>
      <c r="R31" s="17">
        <f>Q31*C31</f>
        <v>0</v>
      </c>
      <c r="S31" s="49">
        <v>0</v>
      </c>
      <c r="T31" s="17">
        <f>S31*C31</f>
        <v>0</v>
      </c>
      <c r="U31" s="240" t="s">
        <v>250</v>
      </c>
      <c r="V31" s="241"/>
      <c r="W31" s="246" t="s">
        <v>247</v>
      </c>
      <c r="X31" s="247"/>
      <c r="Y31" s="18"/>
      <c r="Z31" s="34">
        <v>0</v>
      </c>
      <c r="AA31" s="34">
        <f>Z31*C31</f>
        <v>0</v>
      </c>
      <c r="AB31" s="34">
        <v>0</v>
      </c>
      <c r="AC31" s="34">
        <f>AB31*C31</f>
        <v>0</v>
      </c>
      <c r="AD31" s="34">
        <v>0</v>
      </c>
      <c r="AE31" s="34">
        <f>AD31*C31</f>
        <v>0</v>
      </c>
      <c r="AF31" s="18"/>
      <c r="AG31" s="37">
        <v>0</v>
      </c>
      <c r="AH31" s="34">
        <v>0</v>
      </c>
      <c r="AI31" s="34">
        <f t="shared" si="10"/>
        <v>0</v>
      </c>
    </row>
    <row r="32" spans="1:35" ht="18.75" customHeight="1" x14ac:dyDescent="0.2">
      <c r="A32" s="12"/>
      <c r="B32" s="51" t="s">
        <v>65</v>
      </c>
      <c r="C32" s="14">
        <v>0</v>
      </c>
      <c r="D32" s="15" t="s">
        <v>68</v>
      </c>
      <c r="E32" s="16">
        <v>0</v>
      </c>
      <c r="F32" s="88">
        <f t="shared" si="17"/>
        <v>0</v>
      </c>
      <c r="G32" s="327"/>
      <c r="H32" s="328"/>
      <c r="I32" s="16">
        <f>41.52*9</f>
        <v>373.68</v>
      </c>
      <c r="J32" s="88">
        <f t="shared" si="19"/>
        <v>0</v>
      </c>
      <c r="K32" s="49">
        <v>0</v>
      </c>
      <c r="L32" s="88">
        <f t="shared" si="18"/>
        <v>0</v>
      </c>
      <c r="M32" s="49">
        <v>0</v>
      </c>
      <c r="N32" s="17">
        <f t="shared" si="6"/>
        <v>0</v>
      </c>
      <c r="O32" s="49">
        <v>0</v>
      </c>
      <c r="P32" s="17">
        <f>O32*C32</f>
        <v>0</v>
      </c>
      <c r="Q32" s="49">
        <v>0</v>
      </c>
      <c r="R32" s="17">
        <f>Q32*C32</f>
        <v>0</v>
      </c>
      <c r="S32" s="49">
        <v>0</v>
      </c>
      <c r="T32" s="17">
        <f>S32*C32</f>
        <v>0</v>
      </c>
      <c r="U32" s="242"/>
      <c r="V32" s="243"/>
      <c r="W32" s="248"/>
      <c r="X32" s="249"/>
      <c r="Y32" s="18"/>
      <c r="Z32" s="34">
        <v>0</v>
      </c>
      <c r="AA32" s="34">
        <f>Z32*C32</f>
        <v>0</v>
      </c>
      <c r="AB32" s="34">
        <v>0</v>
      </c>
      <c r="AC32" s="34">
        <f>AB32*C32</f>
        <v>0</v>
      </c>
      <c r="AD32" s="34">
        <v>0</v>
      </c>
      <c r="AE32" s="34">
        <f>AD32*C32</f>
        <v>0</v>
      </c>
      <c r="AF32" s="18"/>
      <c r="AG32" s="37">
        <v>0</v>
      </c>
      <c r="AH32" s="34">
        <v>0</v>
      </c>
      <c r="AI32" s="34">
        <f t="shared" si="10"/>
        <v>0</v>
      </c>
    </row>
    <row r="33" spans="1:40" ht="20.25" customHeight="1" x14ac:dyDescent="0.2">
      <c r="A33" s="12"/>
      <c r="B33" s="13" t="s">
        <v>60</v>
      </c>
      <c r="C33" s="14">
        <v>0</v>
      </c>
      <c r="D33" s="15" t="s">
        <v>68</v>
      </c>
      <c r="E33" s="16">
        <v>0</v>
      </c>
      <c r="F33" s="88">
        <f t="shared" si="17"/>
        <v>0</v>
      </c>
      <c r="G33" s="327"/>
      <c r="H33" s="328"/>
      <c r="I33" s="16">
        <v>0</v>
      </c>
      <c r="J33" s="88">
        <f t="shared" si="19"/>
        <v>0</v>
      </c>
      <c r="K33" s="49">
        <v>0</v>
      </c>
      <c r="L33" s="88">
        <f t="shared" si="18"/>
        <v>0</v>
      </c>
      <c r="M33" s="49">
        <v>0</v>
      </c>
      <c r="N33" s="17">
        <f t="shared" si="6"/>
        <v>0</v>
      </c>
      <c r="O33" s="49">
        <v>0</v>
      </c>
      <c r="P33" s="17">
        <f>O33*C33</f>
        <v>0</v>
      </c>
      <c r="Q33" s="49">
        <v>0</v>
      </c>
      <c r="R33" s="17">
        <f>Q33*C33</f>
        <v>0</v>
      </c>
      <c r="S33" s="49">
        <v>0</v>
      </c>
      <c r="T33" s="17">
        <f>S33*C33</f>
        <v>0</v>
      </c>
      <c r="U33" s="242"/>
      <c r="V33" s="243"/>
      <c r="W33" s="248"/>
      <c r="X33" s="249"/>
      <c r="Y33" s="18"/>
      <c r="Z33" s="34">
        <v>0</v>
      </c>
      <c r="AA33" s="34">
        <f>Z33*C33</f>
        <v>0</v>
      </c>
      <c r="AB33" s="34">
        <v>0</v>
      </c>
      <c r="AC33" s="34">
        <f>AB33*C33</f>
        <v>0</v>
      </c>
      <c r="AD33" s="34">
        <v>0</v>
      </c>
      <c r="AE33" s="34">
        <f>AD33*C33</f>
        <v>0</v>
      </c>
      <c r="AF33" s="18"/>
      <c r="AG33" s="37">
        <v>0</v>
      </c>
      <c r="AH33" s="38">
        <v>0</v>
      </c>
      <c r="AI33" s="34">
        <f t="shared" si="10"/>
        <v>0</v>
      </c>
    </row>
    <row r="34" spans="1:40" ht="20.25" customHeight="1" x14ac:dyDescent="0.2">
      <c r="A34" s="12"/>
      <c r="B34" s="13" t="s">
        <v>64</v>
      </c>
      <c r="C34" s="14">
        <v>0</v>
      </c>
      <c r="D34" s="15" t="s">
        <v>70</v>
      </c>
      <c r="E34" s="16">
        <v>0</v>
      </c>
      <c r="F34" s="88">
        <f t="shared" si="17"/>
        <v>0</v>
      </c>
      <c r="G34" s="327"/>
      <c r="H34" s="328"/>
      <c r="I34" s="16">
        <v>0</v>
      </c>
      <c r="J34" s="88">
        <f t="shared" si="19"/>
        <v>0</v>
      </c>
      <c r="K34" s="16">
        <v>0</v>
      </c>
      <c r="L34" s="88">
        <f t="shared" si="18"/>
        <v>0</v>
      </c>
      <c r="M34" s="16">
        <v>0</v>
      </c>
      <c r="N34" s="17">
        <f t="shared" si="6"/>
        <v>0</v>
      </c>
      <c r="O34" s="16">
        <v>0</v>
      </c>
      <c r="P34" s="17">
        <f>O34*C34</f>
        <v>0</v>
      </c>
      <c r="Q34" s="16">
        <v>0</v>
      </c>
      <c r="R34" s="17">
        <f>Q34*C34</f>
        <v>0</v>
      </c>
      <c r="S34" s="16">
        <v>0</v>
      </c>
      <c r="T34" s="17">
        <f>S34*C34</f>
        <v>0</v>
      </c>
      <c r="U34" s="242"/>
      <c r="V34" s="243"/>
      <c r="W34" s="248"/>
      <c r="X34" s="249"/>
      <c r="Y34" s="18"/>
      <c r="Z34" s="34">
        <v>0</v>
      </c>
      <c r="AA34" s="34">
        <f>Z34*C34</f>
        <v>0</v>
      </c>
      <c r="AB34" s="34">
        <v>0</v>
      </c>
      <c r="AC34" s="34">
        <f>AB34*C34</f>
        <v>0</v>
      </c>
      <c r="AD34" s="34">
        <v>0</v>
      </c>
      <c r="AE34" s="34">
        <f>AD34*C34</f>
        <v>0</v>
      </c>
      <c r="AF34" s="18"/>
      <c r="AG34" s="37">
        <v>0</v>
      </c>
      <c r="AH34" s="38">
        <v>0</v>
      </c>
      <c r="AI34" s="34">
        <f t="shared" si="10"/>
        <v>0</v>
      </c>
    </row>
    <row r="35" spans="1:40" ht="20.25" customHeight="1" x14ac:dyDescent="0.2">
      <c r="A35" s="12"/>
      <c r="B35" s="13"/>
      <c r="C35" s="14"/>
      <c r="D35" s="15"/>
      <c r="E35" s="16"/>
      <c r="F35" s="88"/>
      <c r="G35" s="329"/>
      <c r="H35" s="330"/>
      <c r="I35" s="16"/>
      <c r="J35" s="88"/>
      <c r="K35" s="16"/>
      <c r="L35" s="88"/>
      <c r="M35" s="16"/>
      <c r="N35" s="17"/>
      <c r="O35" s="16"/>
      <c r="P35" s="17"/>
      <c r="Q35" s="16"/>
      <c r="R35" s="17"/>
      <c r="S35" s="16"/>
      <c r="T35" s="17"/>
      <c r="U35" s="242"/>
      <c r="V35" s="243"/>
      <c r="W35" s="248"/>
      <c r="X35" s="249"/>
      <c r="Y35" s="18"/>
      <c r="Z35" s="34"/>
      <c r="AA35" s="34"/>
      <c r="AB35" s="34"/>
      <c r="AC35" s="34"/>
      <c r="AD35" s="34"/>
      <c r="AE35" s="34"/>
      <c r="AF35" s="18"/>
      <c r="AG35" s="37"/>
      <c r="AH35" s="38"/>
      <c r="AI35" s="34"/>
    </row>
    <row r="36" spans="1:40" ht="19.350000000000001" customHeight="1" x14ac:dyDescent="0.2">
      <c r="A36" s="12"/>
      <c r="B36" s="13" t="s">
        <v>228</v>
      </c>
      <c r="C36" s="14">
        <f>C15+C16+C17</f>
        <v>6873.42</v>
      </c>
      <c r="D36" s="15"/>
      <c r="E36" s="16"/>
      <c r="F36" s="162">
        <f>+E39/$C$36</f>
        <v>905.06855684651896</v>
      </c>
      <c r="G36" s="16"/>
      <c r="H36" s="88"/>
      <c r="I36" s="16"/>
      <c r="J36" s="88"/>
      <c r="K36" s="16"/>
      <c r="L36" s="17"/>
      <c r="M36" s="16"/>
      <c r="N36" s="17"/>
      <c r="O36" s="16"/>
      <c r="P36" s="17"/>
      <c r="Q36" s="16"/>
      <c r="R36" s="17"/>
      <c r="S36" s="16"/>
      <c r="T36" s="17"/>
      <c r="U36" s="244"/>
      <c r="V36" s="245"/>
      <c r="W36" s="250"/>
      <c r="X36" s="251"/>
      <c r="Y36" s="18"/>
      <c r="Z36" s="34"/>
      <c r="AA36" s="34"/>
      <c r="AB36" s="34"/>
      <c r="AC36" s="34"/>
      <c r="AD36" s="34"/>
      <c r="AE36" s="34"/>
      <c r="AF36" s="18"/>
      <c r="AG36" s="37"/>
      <c r="AH36" s="38"/>
      <c r="AI36" s="34"/>
    </row>
    <row r="37" spans="1:40" ht="20.100000000000001" customHeight="1" x14ac:dyDescent="0.2">
      <c r="A37" s="316" t="s">
        <v>37</v>
      </c>
      <c r="B37" s="317"/>
      <c r="C37" s="317"/>
      <c r="D37" s="318"/>
      <c r="E37" s="254">
        <f>SUM(F15:F34)</f>
        <v>6256579.8200000003</v>
      </c>
      <c r="F37" s="255"/>
      <c r="G37" s="254">
        <v>0</v>
      </c>
      <c r="H37" s="255"/>
      <c r="I37" s="254">
        <f>I39</f>
        <v>5805355.9499999993</v>
      </c>
      <c r="J37" s="255"/>
      <c r="K37" s="254">
        <f>K39</f>
        <v>6165405.4500000011</v>
      </c>
      <c r="L37" s="255"/>
      <c r="M37" s="254" t="e">
        <f>M39</f>
        <v>#DIV/0!</v>
      </c>
      <c r="N37" s="255"/>
      <c r="O37" s="254">
        <f>O39</f>
        <v>6756379.2999999998</v>
      </c>
      <c r="P37" s="255"/>
      <c r="Q37" s="254">
        <f>Q39</f>
        <v>7959305.0900000008</v>
      </c>
      <c r="R37" s="255"/>
      <c r="S37" s="254" t="e">
        <f>S39</f>
        <v>#DIV/0!</v>
      </c>
      <c r="T37" s="255"/>
      <c r="U37" s="254">
        <v>0</v>
      </c>
      <c r="V37" s="255"/>
      <c r="W37" s="254">
        <v>0</v>
      </c>
      <c r="X37" s="255"/>
      <c r="Y37" s="19"/>
      <c r="Z37" s="307">
        <f>SUM(AA15:AA34)</f>
        <v>5627781.4780000001</v>
      </c>
      <c r="AA37" s="307"/>
      <c r="AB37" s="307">
        <f>SUM(AC15:AC34)</f>
        <v>0</v>
      </c>
      <c r="AC37" s="307"/>
      <c r="AD37" s="307">
        <f>SUM(AE15:AE34)</f>
        <v>0</v>
      </c>
      <c r="AE37" s="307"/>
      <c r="AF37" s="19"/>
      <c r="AG37" s="333" t="s">
        <v>21</v>
      </c>
      <c r="AH37" s="333"/>
      <c r="AI37" s="70">
        <f>SUM(AI15:AI34)</f>
        <v>5788124.5</v>
      </c>
    </row>
    <row r="38" spans="1:40" ht="20.100000000000001" customHeight="1" x14ac:dyDescent="0.2">
      <c r="A38" s="316" t="s">
        <v>8</v>
      </c>
      <c r="B38" s="317"/>
      <c r="C38" s="317"/>
      <c r="D38" s="318"/>
      <c r="E38" s="256">
        <v>0</v>
      </c>
      <c r="F38" s="257"/>
      <c r="G38" s="256">
        <f>G37-G39</f>
        <v>0</v>
      </c>
      <c r="H38" s="257"/>
      <c r="I38" s="256">
        <f>I37-I39</f>
        <v>0</v>
      </c>
      <c r="J38" s="257"/>
      <c r="K38" s="256">
        <f>K37-K39</f>
        <v>0</v>
      </c>
      <c r="L38" s="257"/>
      <c r="M38" s="256">
        <v>0</v>
      </c>
      <c r="N38" s="257"/>
      <c r="O38" s="256">
        <v>0</v>
      </c>
      <c r="P38" s="257"/>
      <c r="Q38" s="256">
        <v>0</v>
      </c>
      <c r="R38" s="257"/>
      <c r="S38" s="256">
        <v>0</v>
      </c>
      <c r="T38" s="257"/>
      <c r="U38" s="256">
        <v>0</v>
      </c>
      <c r="V38" s="257"/>
      <c r="W38" s="256">
        <v>0</v>
      </c>
      <c r="X38" s="257"/>
      <c r="Y38" s="4"/>
      <c r="Z38" s="307">
        <f>Z39-Z37</f>
        <v>0</v>
      </c>
      <c r="AA38" s="307"/>
      <c r="AB38" s="307">
        <f>AB39-AB37</f>
        <v>0</v>
      </c>
      <c r="AC38" s="307"/>
      <c r="AD38" s="331">
        <f>AD39-AD37</f>
        <v>0</v>
      </c>
      <c r="AE38" s="332"/>
      <c r="AF38" s="19"/>
      <c r="AG38" s="333" t="s">
        <v>51</v>
      </c>
      <c r="AH38" s="333"/>
      <c r="AI38" s="39">
        <f>AI37*(AI11/AI9)</f>
        <v>6083807.9256913643</v>
      </c>
    </row>
    <row r="39" spans="1:40" ht="20.100000000000001" customHeight="1" x14ac:dyDescent="0.2">
      <c r="A39" s="316" t="s">
        <v>36</v>
      </c>
      <c r="B39" s="317"/>
      <c r="C39" s="317"/>
      <c r="D39" s="318"/>
      <c r="E39" s="254">
        <f>F30+F23+F14</f>
        <v>6220916.3200000003</v>
      </c>
      <c r="F39" s="258"/>
      <c r="G39" s="254">
        <f>SUM(H16:H22)</f>
        <v>0</v>
      </c>
      <c r="H39" s="258"/>
      <c r="I39" s="254">
        <f>SUM(J15:J22,J27:J29,J31:J36)</f>
        <v>5805355.9499999993</v>
      </c>
      <c r="J39" s="258"/>
      <c r="K39" s="254">
        <f>L30+L23+L14</f>
        <v>6165405.4500000011</v>
      </c>
      <c r="L39" s="258"/>
      <c r="M39" s="254" t="e">
        <f>N30+N23+N14</f>
        <v>#DIV/0!</v>
      </c>
      <c r="N39" s="258"/>
      <c r="O39" s="254">
        <f>P30+P23+P14</f>
        <v>6756379.2999999998</v>
      </c>
      <c r="P39" s="258"/>
      <c r="Q39" s="254">
        <f>R30+R23+R14</f>
        <v>7959305.0900000008</v>
      </c>
      <c r="R39" s="258"/>
      <c r="S39" s="254" t="e">
        <f>T30+T23+T14</f>
        <v>#DIV/0!</v>
      </c>
      <c r="T39" s="258"/>
      <c r="U39" s="254">
        <f>V14</f>
        <v>0</v>
      </c>
      <c r="V39" s="258"/>
      <c r="W39" s="254">
        <f>X14</f>
        <v>0</v>
      </c>
      <c r="X39" s="258"/>
      <c r="Y39" s="4"/>
      <c r="Z39" s="307">
        <f>SUM(AA15:AA34)</f>
        <v>5627781.4780000001</v>
      </c>
      <c r="AA39" s="269"/>
      <c r="AB39" s="307">
        <f>SUM(AC15:AC34)</f>
        <v>0</v>
      </c>
      <c r="AC39" s="269"/>
      <c r="AD39" s="307">
        <f>SUM(AE15:AE34)</f>
        <v>0</v>
      </c>
      <c r="AE39" s="269"/>
      <c r="AF39" s="4"/>
      <c r="AG39" s="334"/>
      <c r="AH39" s="335"/>
      <c r="AI39" s="336"/>
    </row>
    <row r="40" spans="1:40" ht="20.100000000000001" customHeight="1" x14ac:dyDescent="0.2">
      <c r="A40" s="20"/>
      <c r="B40" s="21"/>
      <c r="C40" s="21"/>
      <c r="D40" s="22" t="s">
        <v>45</v>
      </c>
      <c r="E40" s="259">
        <f>E38/E39</f>
        <v>0</v>
      </c>
      <c r="F40" s="260"/>
      <c r="G40" s="259" t="e">
        <f>G38/G39</f>
        <v>#DIV/0!</v>
      </c>
      <c r="H40" s="260"/>
      <c r="I40" s="259">
        <f>I38/I39</f>
        <v>0</v>
      </c>
      <c r="J40" s="260"/>
      <c r="K40" s="259">
        <f>K38/K39</f>
        <v>0</v>
      </c>
      <c r="L40" s="260"/>
      <c r="M40" s="259" t="e">
        <f>M38/M39</f>
        <v>#DIV/0!</v>
      </c>
      <c r="N40" s="260"/>
      <c r="O40" s="259">
        <f>O38/O39</f>
        <v>0</v>
      </c>
      <c r="P40" s="260"/>
      <c r="Q40" s="259">
        <f>Q38/Q39</f>
        <v>0</v>
      </c>
      <c r="R40" s="260"/>
      <c r="S40" s="259" t="e">
        <f>S38/S39</f>
        <v>#DIV/0!</v>
      </c>
      <c r="T40" s="260"/>
      <c r="U40" s="259" t="e">
        <f>U38/U39</f>
        <v>#DIV/0!</v>
      </c>
      <c r="V40" s="260"/>
      <c r="W40" s="259" t="e">
        <f>W38/W39</f>
        <v>#DIV/0!</v>
      </c>
      <c r="X40" s="260"/>
      <c r="Y40" s="65"/>
      <c r="Z40" s="331"/>
      <c r="AA40" s="332"/>
      <c r="AB40" s="331"/>
      <c r="AC40" s="332"/>
      <c r="AD40" s="331"/>
      <c r="AE40" s="332"/>
      <c r="AF40" s="19"/>
      <c r="AG40" s="307" t="s">
        <v>27</v>
      </c>
      <c r="AH40" s="307"/>
      <c r="AI40" s="307"/>
    </row>
    <row r="41" spans="1:40" ht="21.95" customHeight="1" x14ac:dyDescent="0.2">
      <c r="A41" s="351" t="s">
        <v>7</v>
      </c>
      <c r="B41" s="352"/>
      <c r="C41" s="352"/>
      <c r="D41" s="353"/>
      <c r="E41" s="261">
        <f>(E39/AI38)-1</f>
        <v>2.2536607990143676E-2</v>
      </c>
      <c r="F41" s="262"/>
      <c r="G41" s="261" t="e">
        <f>(G39/AG38)-1</f>
        <v>#VALUE!</v>
      </c>
      <c r="H41" s="262"/>
      <c r="I41" s="261">
        <f>(I39/AI37)-1</f>
        <v>2.9770351346103396E-3</v>
      </c>
      <c r="J41" s="262"/>
      <c r="K41" s="261">
        <f>(K39/AI38)-1</f>
        <v>1.3412245308412452E-2</v>
      </c>
      <c r="L41" s="262"/>
      <c r="M41" s="261" t="e">
        <f>(M39/AC38)-1</f>
        <v>#DIV/0!</v>
      </c>
      <c r="N41" s="262"/>
      <c r="O41" s="261" t="e">
        <f>(O39/AG38)-1</f>
        <v>#VALUE!</v>
      </c>
      <c r="P41" s="262"/>
      <c r="Q41" s="261" t="e">
        <f>(Q39/AE38)-1</f>
        <v>#DIV/0!</v>
      </c>
      <c r="R41" s="262"/>
      <c r="S41" s="261" t="e">
        <f>(S39/AG38)-1</f>
        <v>#DIV/0!</v>
      </c>
      <c r="T41" s="262"/>
      <c r="U41" s="261" t="e">
        <f>(U39/AG38)-1</f>
        <v>#VALUE!</v>
      </c>
      <c r="V41" s="262"/>
      <c r="W41" s="261">
        <f>(W39/AI38)-1</f>
        <v>-1</v>
      </c>
      <c r="X41" s="262"/>
      <c r="Y41" s="23"/>
      <c r="Z41" s="337">
        <f>(Z39/$AI$38)-1</f>
        <v>-7.4957403859777783E-2</v>
      </c>
      <c r="AA41" s="337"/>
      <c r="AB41" s="337">
        <f>(AB39/$AI$38)-1</f>
        <v>-1</v>
      </c>
      <c r="AC41" s="337"/>
      <c r="AD41" s="338">
        <f>(AD39/$AI$38)-1</f>
        <v>-1</v>
      </c>
      <c r="AE41" s="339"/>
      <c r="AF41" s="23"/>
      <c r="AG41" s="354">
        <f>K39-AI37</f>
        <v>377280.95000000112</v>
      </c>
      <c r="AH41" s="354"/>
      <c r="AI41" s="354"/>
    </row>
    <row r="42" spans="1:40" ht="24.75" customHeight="1" x14ac:dyDescent="0.2">
      <c r="A42" s="348" t="s">
        <v>11</v>
      </c>
      <c r="B42" s="349"/>
      <c r="C42" s="349"/>
      <c r="D42" s="350"/>
      <c r="E42" s="252" t="s">
        <v>52</v>
      </c>
      <c r="F42" s="253"/>
      <c r="G42" s="252" t="s">
        <v>52</v>
      </c>
      <c r="H42" s="253"/>
      <c r="I42" s="252" t="s">
        <v>52</v>
      </c>
      <c r="J42" s="253"/>
      <c r="K42" s="252" t="s">
        <v>52</v>
      </c>
      <c r="L42" s="253"/>
      <c r="M42" s="252" t="s">
        <v>52</v>
      </c>
      <c r="N42" s="253"/>
      <c r="O42" s="252" t="s">
        <v>52</v>
      </c>
      <c r="P42" s="253"/>
      <c r="Q42" s="252" t="s">
        <v>52</v>
      </c>
      <c r="R42" s="253"/>
      <c r="S42" s="252" t="s">
        <v>52</v>
      </c>
      <c r="T42" s="253"/>
      <c r="U42" s="252" t="s">
        <v>52</v>
      </c>
      <c r="V42" s="253"/>
      <c r="W42" s="252" t="s">
        <v>52</v>
      </c>
      <c r="X42" s="253"/>
      <c r="Y42" s="24"/>
      <c r="Z42" s="340" t="s">
        <v>35</v>
      </c>
      <c r="AA42" s="340"/>
      <c r="AB42" s="340" t="s">
        <v>35</v>
      </c>
      <c r="AC42" s="340"/>
      <c r="AD42" s="341" t="s">
        <v>35</v>
      </c>
      <c r="AE42" s="342"/>
      <c r="AF42" s="24"/>
      <c r="AG42" s="347" t="s">
        <v>33</v>
      </c>
      <c r="AH42" s="347"/>
      <c r="AI42" s="347"/>
    </row>
    <row r="43" spans="1:40" ht="24.75" customHeight="1" x14ac:dyDescent="0.2">
      <c r="A43" s="348" t="s">
        <v>44</v>
      </c>
      <c r="B43" s="349"/>
      <c r="C43" s="349"/>
      <c r="D43" s="350"/>
      <c r="E43" s="252" t="s">
        <v>53</v>
      </c>
      <c r="F43" s="253"/>
      <c r="G43" s="252" t="s">
        <v>53</v>
      </c>
      <c r="H43" s="253"/>
      <c r="I43" s="252" t="s">
        <v>53</v>
      </c>
      <c r="J43" s="253"/>
      <c r="K43" s="252" t="s">
        <v>53</v>
      </c>
      <c r="L43" s="253"/>
      <c r="M43" s="252" t="s">
        <v>53</v>
      </c>
      <c r="N43" s="253"/>
      <c r="O43" s="252" t="s">
        <v>53</v>
      </c>
      <c r="P43" s="253"/>
      <c r="Q43" s="252" t="s">
        <v>53</v>
      </c>
      <c r="R43" s="253"/>
      <c r="S43" s="252" t="s">
        <v>53</v>
      </c>
      <c r="T43" s="253"/>
      <c r="U43" s="252" t="s">
        <v>53</v>
      </c>
      <c r="V43" s="253"/>
      <c r="W43" s="252" t="s">
        <v>53</v>
      </c>
      <c r="X43" s="253"/>
      <c r="Y43" s="24"/>
      <c r="Z43" s="340"/>
      <c r="AA43" s="340"/>
      <c r="AB43" s="340"/>
      <c r="AC43" s="340"/>
      <c r="AD43" s="343"/>
      <c r="AE43" s="344"/>
      <c r="AF43" s="24"/>
      <c r="AG43" s="347"/>
      <c r="AH43" s="347"/>
      <c r="AI43" s="347"/>
    </row>
    <row r="44" spans="1:40" ht="24.75" customHeight="1" x14ac:dyDescent="0.2">
      <c r="A44" s="348" t="s">
        <v>38</v>
      </c>
      <c r="B44" s="349"/>
      <c r="C44" s="349"/>
      <c r="D44" s="350"/>
      <c r="E44" s="252" t="s">
        <v>54</v>
      </c>
      <c r="F44" s="253"/>
      <c r="G44" s="252" t="s">
        <v>54</v>
      </c>
      <c r="H44" s="253"/>
      <c r="I44" s="252" t="s">
        <v>54</v>
      </c>
      <c r="J44" s="253"/>
      <c r="K44" s="252" t="s">
        <v>54</v>
      </c>
      <c r="L44" s="253"/>
      <c r="M44" s="252" t="s">
        <v>54</v>
      </c>
      <c r="N44" s="253"/>
      <c r="O44" s="252" t="s">
        <v>54</v>
      </c>
      <c r="P44" s="253"/>
      <c r="Q44" s="252" t="s">
        <v>54</v>
      </c>
      <c r="R44" s="253"/>
      <c r="S44" s="252" t="s">
        <v>54</v>
      </c>
      <c r="T44" s="253"/>
      <c r="U44" s="252" t="s">
        <v>54</v>
      </c>
      <c r="V44" s="253"/>
      <c r="W44" s="252" t="s">
        <v>54</v>
      </c>
      <c r="X44" s="253"/>
      <c r="Y44" s="24"/>
      <c r="Z44" s="340"/>
      <c r="AA44" s="340"/>
      <c r="AB44" s="340"/>
      <c r="AC44" s="340"/>
      <c r="AD44" s="345"/>
      <c r="AE44" s="346"/>
      <c r="AF44" s="24"/>
      <c r="AG44" s="347"/>
      <c r="AH44" s="347"/>
      <c r="AI44" s="347"/>
    </row>
    <row r="45" spans="1:40" ht="24.75" customHeight="1" x14ac:dyDescent="0.2">
      <c r="A45" s="348" t="s">
        <v>50</v>
      </c>
      <c r="B45" s="349"/>
      <c r="C45" s="349"/>
      <c r="D45" s="350"/>
      <c r="E45" s="263" t="s">
        <v>52</v>
      </c>
      <c r="F45" s="236"/>
      <c r="G45" s="263" t="s">
        <v>52</v>
      </c>
      <c r="H45" s="236"/>
      <c r="I45" s="263" t="s">
        <v>52</v>
      </c>
      <c r="J45" s="236"/>
      <c r="K45" s="263" t="s">
        <v>52</v>
      </c>
      <c r="L45" s="236"/>
      <c r="M45" s="263" t="s">
        <v>52</v>
      </c>
      <c r="N45" s="236"/>
      <c r="O45" s="263" t="s">
        <v>52</v>
      </c>
      <c r="P45" s="236"/>
      <c r="Q45" s="263" t="s">
        <v>52</v>
      </c>
      <c r="R45" s="236"/>
      <c r="S45" s="263" t="s">
        <v>52</v>
      </c>
      <c r="T45" s="236"/>
      <c r="U45" s="263" t="s">
        <v>52</v>
      </c>
      <c r="V45" s="236"/>
      <c r="W45" s="263" t="s">
        <v>52</v>
      </c>
      <c r="X45" s="236"/>
      <c r="Y45" s="66"/>
      <c r="Z45" s="40"/>
      <c r="AA45" s="41"/>
      <c r="AB45" s="40"/>
      <c r="AC45" s="41"/>
      <c r="AD45" s="40"/>
      <c r="AE45" s="41"/>
      <c r="AF45" s="24"/>
      <c r="AG45" s="73"/>
      <c r="AH45" s="74"/>
      <c r="AI45" s="75"/>
    </row>
    <row r="46" spans="1:40" ht="24.75" customHeight="1" x14ac:dyDescent="0.2">
      <c r="A46" s="348" t="s">
        <v>34</v>
      </c>
      <c r="B46" s="349"/>
      <c r="C46" s="349"/>
      <c r="D46" s="350"/>
      <c r="E46" s="355"/>
      <c r="F46" s="356"/>
      <c r="G46" s="355"/>
      <c r="H46" s="356"/>
      <c r="I46" s="355"/>
      <c r="J46" s="356"/>
      <c r="K46" s="355"/>
      <c r="L46" s="356"/>
      <c r="M46" s="355"/>
      <c r="N46" s="356"/>
      <c r="O46" s="355"/>
      <c r="P46" s="356"/>
      <c r="Q46" s="355"/>
      <c r="R46" s="356"/>
      <c r="S46" s="355"/>
      <c r="T46" s="356"/>
      <c r="U46" s="355"/>
      <c r="V46" s="356"/>
      <c r="W46" s="355"/>
      <c r="X46" s="356"/>
      <c r="Y46" s="67"/>
      <c r="Z46" s="42" t="s">
        <v>39</v>
      </c>
      <c r="AA46" s="90"/>
      <c r="AB46" s="42" t="s">
        <v>39</v>
      </c>
      <c r="AC46" s="90"/>
      <c r="AD46" s="42" t="s">
        <v>39</v>
      </c>
      <c r="AE46" s="90"/>
      <c r="AF46" s="24"/>
      <c r="AG46" s="76"/>
      <c r="AH46" s="77"/>
      <c r="AI46" s="78"/>
    </row>
    <row r="47" spans="1:40" ht="24.75" customHeight="1" x14ac:dyDescent="0.2">
      <c r="A47" s="348" t="s">
        <v>10</v>
      </c>
      <c r="B47" s="349"/>
      <c r="C47" s="349"/>
      <c r="D47" s="350"/>
      <c r="E47" s="233" t="s">
        <v>55</v>
      </c>
      <c r="F47" s="234"/>
      <c r="G47" s="233" t="s">
        <v>55</v>
      </c>
      <c r="H47" s="234"/>
      <c r="I47" s="233" t="s">
        <v>55</v>
      </c>
      <c r="J47" s="234"/>
      <c r="K47" s="233" t="s">
        <v>55</v>
      </c>
      <c r="L47" s="234"/>
      <c r="M47" s="233" t="s">
        <v>55</v>
      </c>
      <c r="N47" s="234"/>
      <c r="O47" s="233" t="s">
        <v>55</v>
      </c>
      <c r="P47" s="234"/>
      <c r="Q47" s="233" t="s">
        <v>55</v>
      </c>
      <c r="R47" s="234"/>
      <c r="S47" s="233" t="s">
        <v>55</v>
      </c>
      <c r="T47" s="234"/>
      <c r="U47" s="233" t="s">
        <v>55</v>
      </c>
      <c r="V47" s="234"/>
      <c r="W47" s="233" t="s">
        <v>55</v>
      </c>
      <c r="X47" s="234"/>
      <c r="Y47" s="24"/>
      <c r="Z47" s="42"/>
      <c r="AA47" s="90"/>
      <c r="AB47" s="42"/>
      <c r="AC47" s="90"/>
      <c r="AD47" s="42"/>
      <c r="AE47" s="90"/>
      <c r="AF47" s="24"/>
      <c r="AG47" s="76"/>
      <c r="AH47" s="77"/>
      <c r="AI47" s="78"/>
    </row>
    <row r="48" spans="1:40" ht="24.75" customHeight="1" x14ac:dyDescent="0.2">
      <c r="A48" s="348" t="s">
        <v>43</v>
      </c>
      <c r="B48" s="349"/>
      <c r="C48" s="349"/>
      <c r="D48" s="350"/>
      <c r="E48" s="235" t="s">
        <v>52</v>
      </c>
      <c r="F48" s="236"/>
      <c r="G48" s="235" t="s">
        <v>52</v>
      </c>
      <c r="H48" s="236"/>
      <c r="I48" s="235" t="s">
        <v>52</v>
      </c>
      <c r="J48" s="236"/>
      <c r="K48" s="235" t="s">
        <v>52</v>
      </c>
      <c r="L48" s="236"/>
      <c r="M48" s="235" t="s">
        <v>52</v>
      </c>
      <c r="N48" s="236"/>
      <c r="O48" s="235" t="s">
        <v>52</v>
      </c>
      <c r="P48" s="236"/>
      <c r="Q48" s="235" t="s">
        <v>52</v>
      </c>
      <c r="R48" s="236"/>
      <c r="S48" s="235" t="s">
        <v>52</v>
      </c>
      <c r="T48" s="236"/>
      <c r="U48" s="235" t="s">
        <v>52</v>
      </c>
      <c r="V48" s="236"/>
      <c r="W48" s="235" t="s">
        <v>52</v>
      </c>
      <c r="X48" s="236"/>
      <c r="Y48" s="66"/>
      <c r="Z48" s="42" t="s">
        <v>40</v>
      </c>
      <c r="AA48" s="90" t="s">
        <v>105</v>
      </c>
      <c r="AB48" s="42" t="s">
        <v>40</v>
      </c>
      <c r="AC48" s="90"/>
      <c r="AD48" s="42" t="s">
        <v>40</v>
      </c>
      <c r="AE48" s="90"/>
      <c r="AF48" s="24"/>
      <c r="AG48" s="76"/>
      <c r="AH48" s="77"/>
      <c r="AI48" s="78"/>
      <c r="AN48" s="2">
        <f>60000</f>
        <v>60000</v>
      </c>
    </row>
    <row r="49" spans="1:35" ht="24.75" customHeight="1" x14ac:dyDescent="0.2">
      <c r="A49" s="348" t="s">
        <v>12</v>
      </c>
      <c r="B49" s="349"/>
      <c r="C49" s="349"/>
      <c r="D49" s="350"/>
      <c r="E49" s="237" t="s">
        <v>56</v>
      </c>
      <c r="F49" s="234"/>
      <c r="G49" s="237" t="s">
        <v>56</v>
      </c>
      <c r="H49" s="234"/>
      <c r="I49" s="237" t="s">
        <v>56</v>
      </c>
      <c r="J49" s="234"/>
      <c r="K49" s="237" t="s">
        <v>56</v>
      </c>
      <c r="L49" s="234"/>
      <c r="M49" s="237" t="s">
        <v>56</v>
      </c>
      <c r="N49" s="234"/>
      <c r="O49" s="237" t="s">
        <v>56</v>
      </c>
      <c r="P49" s="234"/>
      <c r="Q49" s="237" t="s">
        <v>56</v>
      </c>
      <c r="R49" s="234"/>
      <c r="S49" s="237" t="s">
        <v>56</v>
      </c>
      <c r="T49" s="234"/>
      <c r="U49" s="237" t="s">
        <v>56</v>
      </c>
      <c r="V49" s="234"/>
      <c r="W49" s="237" t="s">
        <v>56</v>
      </c>
      <c r="X49" s="234"/>
      <c r="Y49" s="24"/>
      <c r="Z49" s="42"/>
      <c r="AA49" s="90"/>
      <c r="AB49" s="42"/>
      <c r="AC49" s="90"/>
      <c r="AD49" s="42"/>
      <c r="AE49" s="90"/>
      <c r="AF49" s="24"/>
      <c r="AG49" s="76"/>
      <c r="AH49" s="77"/>
      <c r="AI49" s="78"/>
    </row>
    <row r="50" spans="1:35" ht="24.75" customHeight="1" x14ac:dyDescent="0.2">
      <c r="A50" s="348" t="s">
        <v>13</v>
      </c>
      <c r="B50" s="349"/>
      <c r="C50" s="349"/>
      <c r="D50" s="350"/>
      <c r="E50" s="25" t="s">
        <v>17</v>
      </c>
      <c r="F50" s="26" t="s">
        <v>18</v>
      </c>
      <c r="G50" s="25" t="s">
        <v>17</v>
      </c>
      <c r="H50" s="26" t="s">
        <v>18</v>
      </c>
      <c r="I50" s="25" t="s">
        <v>17</v>
      </c>
      <c r="J50" s="26" t="s">
        <v>18</v>
      </c>
      <c r="K50" s="25" t="s">
        <v>17</v>
      </c>
      <c r="L50" s="26" t="s">
        <v>18</v>
      </c>
      <c r="M50" s="25" t="s">
        <v>17</v>
      </c>
      <c r="N50" s="26" t="s">
        <v>18</v>
      </c>
      <c r="O50" s="25" t="s">
        <v>17</v>
      </c>
      <c r="P50" s="26" t="s">
        <v>18</v>
      </c>
      <c r="Q50" s="25" t="s">
        <v>17</v>
      </c>
      <c r="R50" s="26" t="s">
        <v>18</v>
      </c>
      <c r="S50" s="25" t="s">
        <v>17</v>
      </c>
      <c r="T50" s="26" t="s">
        <v>18</v>
      </c>
      <c r="U50" s="25" t="s">
        <v>17</v>
      </c>
      <c r="V50" s="26" t="s">
        <v>18</v>
      </c>
      <c r="W50" s="25" t="s">
        <v>17</v>
      </c>
      <c r="X50" s="26" t="s">
        <v>18</v>
      </c>
      <c r="Y50" s="27"/>
      <c r="Z50" s="42" t="s">
        <v>41</v>
      </c>
      <c r="AA50" s="90"/>
      <c r="AB50" s="42" t="s">
        <v>41</v>
      </c>
      <c r="AC50" s="90"/>
      <c r="AD50" s="42" t="s">
        <v>41</v>
      </c>
      <c r="AE50" s="90"/>
      <c r="AF50" s="24"/>
      <c r="AG50" s="76"/>
      <c r="AH50" s="77"/>
      <c r="AI50" s="78"/>
    </row>
    <row r="51" spans="1:35" ht="24.75" customHeight="1" x14ac:dyDescent="0.2">
      <c r="A51" s="348" t="s">
        <v>14</v>
      </c>
      <c r="B51" s="349"/>
      <c r="C51" s="349"/>
      <c r="D51" s="350"/>
      <c r="E51" s="71">
        <v>0.8</v>
      </c>
      <c r="F51" s="72">
        <f>E51*E39</f>
        <v>4976733.0560000008</v>
      </c>
      <c r="G51" s="71">
        <v>0.8</v>
      </c>
      <c r="H51" s="72">
        <f>$I$39*G51</f>
        <v>4644284.76</v>
      </c>
      <c r="I51" s="71">
        <v>0.8</v>
      </c>
      <c r="J51" s="72">
        <f>$I$39*I51</f>
        <v>4644284.76</v>
      </c>
      <c r="K51" s="71">
        <v>0.8</v>
      </c>
      <c r="L51" s="72">
        <f>K51*K39</f>
        <v>4932324.3600000013</v>
      </c>
      <c r="M51" s="71">
        <v>0.7</v>
      </c>
      <c r="N51" s="72" t="e">
        <f>M51*M39</f>
        <v>#DIV/0!</v>
      </c>
      <c r="O51" s="71">
        <v>0.8</v>
      </c>
      <c r="P51" s="72">
        <f>O51*O39</f>
        <v>5405103.4400000004</v>
      </c>
      <c r="Q51" s="71">
        <v>0.8</v>
      </c>
      <c r="R51" s="72">
        <f>Q51*Q39</f>
        <v>6367444.0720000006</v>
      </c>
      <c r="S51" s="71">
        <v>0.8</v>
      </c>
      <c r="T51" s="72" t="e">
        <f>S51*S39</f>
        <v>#DIV/0!</v>
      </c>
      <c r="U51" s="71">
        <v>0.8</v>
      </c>
      <c r="V51" s="72">
        <f>U51*U39</f>
        <v>0</v>
      </c>
      <c r="W51" s="71">
        <v>0.8</v>
      </c>
      <c r="X51" s="72">
        <f>W51*W39</f>
        <v>0</v>
      </c>
      <c r="Y51" s="68"/>
      <c r="Z51" s="44"/>
      <c r="AA51" s="90"/>
      <c r="AB51" s="44"/>
      <c r="AC51" s="90"/>
      <c r="AD51" s="44"/>
      <c r="AE51" s="90"/>
      <c r="AF51" s="24"/>
      <c r="AG51" s="76"/>
      <c r="AH51" s="77"/>
      <c r="AI51" s="78"/>
    </row>
    <row r="52" spans="1:35" ht="24.75" customHeight="1" x14ac:dyDescent="0.2">
      <c r="A52" s="348" t="s">
        <v>15</v>
      </c>
      <c r="B52" s="349"/>
      <c r="C52" s="349"/>
      <c r="D52" s="350"/>
      <c r="E52" s="71">
        <v>0</v>
      </c>
      <c r="F52" s="72">
        <f>E52*E39</f>
        <v>0</v>
      </c>
      <c r="G52" s="71">
        <v>0</v>
      </c>
      <c r="H52" s="72">
        <f>G52*G39</f>
        <v>0</v>
      </c>
      <c r="I52" s="71">
        <v>0</v>
      </c>
      <c r="J52" s="72">
        <f>I52*I39</f>
        <v>0</v>
      </c>
      <c r="K52" s="71">
        <v>0</v>
      </c>
      <c r="L52" s="72">
        <f>K52*K39</f>
        <v>0</v>
      </c>
      <c r="M52" s="71">
        <v>0</v>
      </c>
      <c r="N52" s="72" t="e">
        <f>M52*M39</f>
        <v>#DIV/0!</v>
      </c>
      <c r="O52" s="71">
        <v>0</v>
      </c>
      <c r="P52" s="72">
        <f>O52*O39</f>
        <v>0</v>
      </c>
      <c r="Q52" s="71">
        <v>0</v>
      </c>
      <c r="R52" s="72">
        <f>Q52*Q39</f>
        <v>0</v>
      </c>
      <c r="S52" s="71">
        <v>0</v>
      </c>
      <c r="T52" s="72" t="e">
        <f>S52*S39</f>
        <v>#DIV/0!</v>
      </c>
      <c r="U52" s="71">
        <v>0</v>
      </c>
      <c r="V52" s="72">
        <f>U52*U39</f>
        <v>0</v>
      </c>
      <c r="W52" s="71">
        <v>0</v>
      </c>
      <c r="X52" s="72">
        <f>W52*W39</f>
        <v>0</v>
      </c>
      <c r="Y52" s="68"/>
      <c r="Z52" s="44"/>
      <c r="AA52" s="90"/>
      <c r="AB52" s="44"/>
      <c r="AC52" s="90"/>
      <c r="AD52" s="44"/>
      <c r="AE52" s="90"/>
      <c r="AF52" s="24"/>
      <c r="AG52" s="76"/>
      <c r="AH52" s="77"/>
      <c r="AI52" s="78"/>
    </row>
    <row r="53" spans="1:35" ht="24.75" customHeight="1" x14ac:dyDescent="0.2">
      <c r="A53" s="348" t="s">
        <v>16</v>
      </c>
      <c r="B53" s="349"/>
      <c r="C53" s="349"/>
      <c r="D53" s="350"/>
      <c r="E53" s="71">
        <v>0.2</v>
      </c>
      <c r="F53" s="72">
        <f>E53*E39</f>
        <v>1244183.2640000002</v>
      </c>
      <c r="G53" s="71">
        <v>0.2</v>
      </c>
      <c r="H53" s="72">
        <f>G53*G39</f>
        <v>0</v>
      </c>
      <c r="I53" s="71">
        <v>0.2</v>
      </c>
      <c r="J53" s="72">
        <f>I53*I39</f>
        <v>1161071.19</v>
      </c>
      <c r="K53" s="71">
        <v>0.2</v>
      </c>
      <c r="L53" s="72">
        <f>K53*K39</f>
        <v>1233081.0900000003</v>
      </c>
      <c r="M53" s="71">
        <v>0.3</v>
      </c>
      <c r="N53" s="72" t="e">
        <f>M53*M39</f>
        <v>#DIV/0!</v>
      </c>
      <c r="O53" s="71">
        <v>0.2</v>
      </c>
      <c r="P53" s="72">
        <f>O53*O39</f>
        <v>1351275.86</v>
      </c>
      <c r="Q53" s="71">
        <v>0.2</v>
      </c>
      <c r="R53" s="72">
        <f>Q53*Q39</f>
        <v>1591861.0180000002</v>
      </c>
      <c r="S53" s="71">
        <v>0.2</v>
      </c>
      <c r="T53" s="72" t="e">
        <f>S53*S39</f>
        <v>#DIV/0!</v>
      </c>
      <c r="U53" s="71">
        <v>0.2</v>
      </c>
      <c r="V53" s="72">
        <f>U53*U39</f>
        <v>0</v>
      </c>
      <c r="W53" s="71">
        <v>0.2</v>
      </c>
      <c r="X53" s="72">
        <f>W53*W39</f>
        <v>0</v>
      </c>
      <c r="Y53" s="68"/>
      <c r="Z53" s="44"/>
      <c r="AA53" s="90"/>
      <c r="AB53" s="44"/>
      <c r="AC53" s="90"/>
      <c r="AD53" s="44"/>
      <c r="AE53" s="90"/>
      <c r="AF53" s="24"/>
      <c r="AG53" s="76"/>
      <c r="AH53" s="77"/>
      <c r="AI53" s="78"/>
    </row>
    <row r="54" spans="1:35" ht="24.75" customHeight="1" x14ac:dyDescent="0.2">
      <c r="A54" s="375" t="s">
        <v>25</v>
      </c>
      <c r="B54" s="288"/>
      <c r="C54" s="288"/>
      <c r="D54" s="376"/>
      <c r="E54" s="238" t="s">
        <v>6</v>
      </c>
      <c r="F54" s="239"/>
      <c r="G54" s="238" t="s">
        <v>6</v>
      </c>
      <c r="H54" s="239"/>
      <c r="I54" s="238" t="s">
        <v>6</v>
      </c>
      <c r="J54" s="239"/>
      <c r="K54" s="238" t="s">
        <v>6</v>
      </c>
      <c r="L54" s="239"/>
      <c r="M54" s="238" t="s">
        <v>6</v>
      </c>
      <c r="N54" s="239"/>
      <c r="O54" s="238" t="s">
        <v>6</v>
      </c>
      <c r="P54" s="239"/>
      <c r="Q54" s="238" t="s">
        <v>6</v>
      </c>
      <c r="R54" s="239"/>
      <c r="S54" s="238" t="s">
        <v>6</v>
      </c>
      <c r="T54" s="239"/>
      <c r="U54" s="238" t="s">
        <v>6</v>
      </c>
      <c r="V54" s="239"/>
      <c r="W54" s="238" t="s">
        <v>6</v>
      </c>
      <c r="X54" s="239"/>
      <c r="Y54" s="69"/>
      <c r="Z54" s="45"/>
      <c r="AA54" s="90"/>
      <c r="AB54" s="45"/>
      <c r="AC54" s="90"/>
      <c r="AD54" s="45"/>
      <c r="AE54" s="90"/>
      <c r="AF54" s="27"/>
      <c r="AG54" s="76"/>
      <c r="AH54" s="77"/>
      <c r="AI54" s="78"/>
    </row>
    <row r="55" spans="1:35" ht="24.75" customHeight="1" x14ac:dyDescent="0.2">
      <c r="A55" s="28"/>
      <c r="B55" s="32"/>
      <c r="C55" s="84"/>
      <c r="D55" s="83" t="s">
        <v>216</v>
      </c>
      <c r="E55" s="235"/>
      <c r="F55" s="236"/>
      <c r="G55" s="233"/>
      <c r="H55" s="234"/>
      <c r="I55" s="233"/>
      <c r="J55" s="234"/>
      <c r="K55" s="233"/>
      <c r="L55" s="234"/>
      <c r="M55" s="233" t="s">
        <v>56</v>
      </c>
      <c r="N55" s="234"/>
      <c r="O55" s="233"/>
      <c r="P55" s="234"/>
      <c r="Q55" s="233"/>
      <c r="R55" s="234"/>
      <c r="S55" s="233"/>
      <c r="T55" s="234"/>
      <c r="U55" s="233"/>
      <c r="V55" s="234"/>
      <c r="W55" s="233"/>
      <c r="X55" s="234"/>
      <c r="Y55" s="24"/>
      <c r="Z55" s="42" t="s">
        <v>46</v>
      </c>
      <c r="AA55" s="90" t="s">
        <v>96</v>
      </c>
      <c r="AB55" s="42" t="s">
        <v>46</v>
      </c>
      <c r="AC55" s="90"/>
      <c r="AD55" s="42" t="s">
        <v>46</v>
      </c>
      <c r="AE55" s="90"/>
      <c r="AF55" s="29"/>
      <c r="AG55" s="357"/>
      <c r="AH55" s="358"/>
      <c r="AI55" s="359"/>
    </row>
    <row r="56" spans="1:35" ht="24.75" customHeight="1" x14ac:dyDescent="0.2">
      <c r="A56" s="28"/>
      <c r="B56" s="32"/>
      <c r="C56" s="84"/>
      <c r="D56" s="83" t="s">
        <v>49</v>
      </c>
      <c r="E56" s="233"/>
      <c r="F56" s="234"/>
      <c r="G56" s="233"/>
      <c r="H56" s="234"/>
      <c r="I56" s="233"/>
      <c r="J56" s="234"/>
      <c r="K56" s="233"/>
      <c r="L56" s="234"/>
      <c r="M56" s="233" t="s">
        <v>245</v>
      </c>
      <c r="N56" s="234"/>
      <c r="O56" s="233"/>
      <c r="P56" s="234"/>
      <c r="Q56" s="233"/>
      <c r="R56" s="234"/>
      <c r="S56" s="233"/>
      <c r="T56" s="234"/>
      <c r="U56" s="233"/>
      <c r="V56" s="234"/>
      <c r="W56" s="233"/>
      <c r="X56" s="234"/>
      <c r="Y56" s="24"/>
      <c r="Z56" s="46"/>
      <c r="AA56" s="90"/>
      <c r="AB56" s="46"/>
      <c r="AC56" s="90"/>
      <c r="AD56" s="46"/>
      <c r="AE56" s="90"/>
      <c r="AF56" s="29"/>
      <c r="AG56" s="76"/>
      <c r="AH56" s="77"/>
      <c r="AI56" s="78"/>
    </row>
    <row r="57" spans="1:35" ht="24.75" customHeight="1" x14ac:dyDescent="0.2">
      <c r="A57" s="30"/>
      <c r="B57" s="31"/>
      <c r="C57" s="85"/>
      <c r="D57" s="82" t="s">
        <v>42</v>
      </c>
      <c r="E57" s="233" t="s">
        <v>53</v>
      </c>
      <c r="F57" s="234"/>
      <c r="G57" s="233" t="s">
        <v>56</v>
      </c>
      <c r="H57" s="234"/>
      <c r="I57" s="233" t="s">
        <v>56</v>
      </c>
      <c r="J57" s="234"/>
      <c r="K57" s="233" t="s">
        <v>56</v>
      </c>
      <c r="L57" s="234"/>
      <c r="M57" s="233" t="s">
        <v>53</v>
      </c>
      <c r="N57" s="234"/>
      <c r="O57" s="233" t="s">
        <v>53</v>
      </c>
      <c r="P57" s="234"/>
      <c r="Q57" s="233" t="s">
        <v>53</v>
      </c>
      <c r="R57" s="234"/>
      <c r="S57" s="233" t="s">
        <v>53</v>
      </c>
      <c r="T57" s="234"/>
      <c r="U57" s="233" t="s">
        <v>53</v>
      </c>
      <c r="V57" s="234"/>
      <c r="W57" s="233" t="s">
        <v>53</v>
      </c>
      <c r="X57" s="234"/>
      <c r="Y57" s="24"/>
      <c r="Z57" s="46"/>
      <c r="AA57" s="43"/>
      <c r="AB57" s="46"/>
      <c r="AC57" s="43"/>
      <c r="AD57" s="46"/>
      <c r="AE57" s="43"/>
      <c r="AF57" s="29"/>
      <c r="AG57" s="76"/>
      <c r="AH57" s="77"/>
      <c r="AI57" s="78"/>
    </row>
    <row r="58" spans="1:35" ht="28.5" customHeight="1" x14ac:dyDescent="0.2">
      <c r="A58" s="372" t="s">
        <v>83</v>
      </c>
      <c r="B58" s="373"/>
      <c r="C58" s="373"/>
      <c r="D58" s="374"/>
      <c r="E58" s="368" t="s">
        <v>269</v>
      </c>
      <c r="F58" s="361"/>
      <c r="G58" s="368"/>
      <c r="H58" s="369"/>
      <c r="I58" s="368" t="s">
        <v>246</v>
      </c>
      <c r="J58" s="369"/>
      <c r="K58" s="360"/>
      <c r="L58" s="361"/>
      <c r="M58" s="360"/>
      <c r="N58" s="361"/>
      <c r="O58" s="360"/>
      <c r="P58" s="361"/>
      <c r="Q58" s="360"/>
      <c r="R58" s="361"/>
      <c r="S58" s="360"/>
      <c r="T58" s="361"/>
      <c r="U58" s="360"/>
      <c r="V58" s="361"/>
      <c r="W58" s="360"/>
      <c r="X58" s="361"/>
      <c r="Y58" s="60"/>
      <c r="Z58" s="46"/>
      <c r="AA58" s="43"/>
      <c r="AB58" s="46"/>
      <c r="AC58" s="43"/>
      <c r="AD58" s="46"/>
      <c r="AE58" s="43"/>
      <c r="AF58" s="29"/>
      <c r="AG58" s="76"/>
      <c r="AH58" s="77"/>
      <c r="AI58" s="78"/>
    </row>
    <row r="59" spans="1:35" ht="26.25" customHeight="1" x14ac:dyDescent="0.2">
      <c r="A59" s="362" t="s">
        <v>217</v>
      </c>
      <c r="B59" s="363"/>
      <c r="C59" s="363"/>
      <c r="D59" s="364"/>
      <c r="E59" s="385"/>
      <c r="F59" s="386"/>
      <c r="G59" s="370"/>
      <c r="H59" s="371"/>
      <c r="I59" s="370"/>
      <c r="J59" s="371"/>
      <c r="K59" s="54"/>
      <c r="L59" s="55"/>
      <c r="M59" s="54"/>
      <c r="N59" s="55"/>
      <c r="O59" s="54"/>
      <c r="P59" s="55"/>
      <c r="Q59" s="54"/>
      <c r="R59" s="55"/>
      <c r="S59" s="54"/>
      <c r="T59" s="55"/>
      <c r="U59" s="54"/>
      <c r="V59" s="55"/>
      <c r="W59" s="54"/>
      <c r="X59" s="55"/>
      <c r="Y59" s="60"/>
      <c r="Z59" s="46"/>
      <c r="AA59" s="43"/>
      <c r="AB59" s="46"/>
      <c r="AC59" s="43"/>
      <c r="AD59" s="46"/>
      <c r="AE59" s="43"/>
      <c r="AF59" s="29"/>
      <c r="AG59" s="76"/>
      <c r="AH59" s="77"/>
      <c r="AI59" s="78"/>
    </row>
    <row r="60" spans="1:35" ht="26.25" customHeight="1" x14ac:dyDescent="0.2">
      <c r="A60" s="362"/>
      <c r="B60" s="363"/>
      <c r="C60" s="363"/>
      <c r="D60" s="364"/>
      <c r="E60" s="385"/>
      <c r="F60" s="386"/>
      <c r="G60" s="54"/>
      <c r="H60" s="55"/>
      <c r="I60" s="370"/>
      <c r="J60" s="371"/>
      <c r="K60" s="54"/>
      <c r="L60" s="55"/>
      <c r="M60" s="54"/>
      <c r="N60" s="55"/>
      <c r="O60" s="54"/>
      <c r="P60" s="55"/>
      <c r="Q60" s="54"/>
      <c r="R60" s="55"/>
      <c r="S60" s="54"/>
      <c r="T60" s="55"/>
      <c r="U60" s="54"/>
      <c r="V60" s="55"/>
      <c r="W60" s="54"/>
      <c r="X60" s="55"/>
      <c r="Y60" s="60"/>
      <c r="Z60" s="46"/>
      <c r="AA60" s="43"/>
      <c r="AB60" s="46"/>
      <c r="AC60" s="43"/>
      <c r="AD60" s="46"/>
      <c r="AE60" s="43"/>
      <c r="AF60" s="29"/>
      <c r="AG60" s="76"/>
      <c r="AH60" s="77"/>
      <c r="AI60" s="78"/>
    </row>
    <row r="61" spans="1:35" ht="26.25" customHeight="1" x14ac:dyDescent="0.2">
      <c r="A61" s="362"/>
      <c r="B61" s="363"/>
      <c r="C61" s="363"/>
      <c r="D61" s="364"/>
      <c r="E61" s="385"/>
      <c r="F61" s="386"/>
      <c r="G61" s="54"/>
      <c r="H61" s="60"/>
      <c r="I61" s="370"/>
      <c r="J61" s="371"/>
      <c r="K61" s="54"/>
      <c r="L61" s="55"/>
      <c r="M61" s="54"/>
      <c r="N61" s="55"/>
      <c r="O61" s="54"/>
      <c r="P61" s="55"/>
      <c r="Q61" s="54"/>
      <c r="R61" s="55"/>
      <c r="S61" s="54"/>
      <c r="T61" s="55"/>
      <c r="U61" s="54"/>
      <c r="V61" s="55"/>
      <c r="W61" s="54"/>
      <c r="X61" s="55"/>
      <c r="Y61" s="60"/>
      <c r="Z61" s="46"/>
      <c r="AA61" s="43"/>
      <c r="AB61" s="46"/>
      <c r="AC61" s="43"/>
      <c r="AD61" s="46"/>
      <c r="AE61" s="43"/>
      <c r="AF61" s="29"/>
      <c r="AG61" s="76"/>
      <c r="AH61" s="77"/>
      <c r="AI61" s="78"/>
    </row>
    <row r="62" spans="1:35" ht="26.25" customHeight="1" x14ac:dyDescent="0.2">
      <c r="A62" s="362"/>
      <c r="B62" s="363"/>
      <c r="C62" s="363"/>
      <c r="D62" s="364"/>
      <c r="E62" s="385"/>
      <c r="F62" s="386"/>
      <c r="G62" s="54"/>
      <c r="H62" s="55"/>
      <c r="I62" s="370"/>
      <c r="J62" s="371"/>
      <c r="K62" s="54"/>
      <c r="L62" s="55"/>
      <c r="M62" s="54"/>
      <c r="N62" s="55"/>
      <c r="O62" s="54"/>
      <c r="P62" s="55"/>
      <c r="Q62" s="54"/>
      <c r="R62" s="55"/>
      <c r="S62" s="54"/>
      <c r="T62" s="55"/>
      <c r="U62" s="54"/>
      <c r="V62" s="55"/>
      <c r="W62" s="54"/>
      <c r="X62" s="55"/>
      <c r="Y62" s="60"/>
      <c r="Z62" s="46"/>
      <c r="AA62" s="43"/>
      <c r="AB62" s="46"/>
      <c r="AC62" s="43"/>
      <c r="AD62" s="46"/>
      <c r="AE62" s="43"/>
      <c r="AF62" s="29"/>
      <c r="AG62" s="76"/>
      <c r="AH62" s="77"/>
      <c r="AI62" s="78"/>
    </row>
    <row r="63" spans="1:35" ht="26.25" customHeight="1" x14ac:dyDescent="0.2">
      <c r="A63" s="362"/>
      <c r="B63" s="363"/>
      <c r="C63" s="363"/>
      <c r="D63" s="364"/>
      <c r="E63" s="385"/>
      <c r="F63" s="386"/>
      <c r="G63" s="54"/>
      <c r="H63" s="55"/>
      <c r="I63" s="370"/>
      <c r="J63" s="371"/>
      <c r="K63" s="54"/>
      <c r="L63" s="55"/>
      <c r="M63" s="54"/>
      <c r="N63" s="55"/>
      <c r="O63" s="54"/>
      <c r="P63" s="55"/>
      <c r="Q63" s="54"/>
      <c r="R63" s="55"/>
      <c r="S63" s="54"/>
      <c r="T63" s="55"/>
      <c r="U63" s="54"/>
      <c r="V63" s="55"/>
      <c r="W63" s="54"/>
      <c r="X63" s="55"/>
      <c r="Y63" s="60"/>
      <c r="Z63" s="46"/>
      <c r="AA63" s="43"/>
      <c r="AB63" s="46"/>
      <c r="AC63" s="43"/>
      <c r="AD63" s="46"/>
      <c r="AE63" s="43"/>
      <c r="AF63" s="29"/>
      <c r="AG63" s="76"/>
      <c r="AH63" s="77"/>
      <c r="AI63" s="78"/>
    </row>
    <row r="64" spans="1:35" ht="26.25" customHeight="1" x14ac:dyDescent="0.2">
      <c r="A64" s="362"/>
      <c r="B64" s="363"/>
      <c r="C64" s="363"/>
      <c r="D64" s="364"/>
      <c r="E64" s="385"/>
      <c r="F64" s="386"/>
      <c r="G64" s="54"/>
      <c r="H64" s="55"/>
      <c r="I64" s="370"/>
      <c r="J64" s="371"/>
      <c r="K64" s="60"/>
      <c r="L64" s="55"/>
      <c r="M64" s="60"/>
      <c r="N64" s="55"/>
      <c r="O64" s="60"/>
      <c r="P64" s="55"/>
      <c r="Q64" s="60"/>
      <c r="R64" s="55"/>
      <c r="S64" s="60"/>
      <c r="T64" s="55"/>
      <c r="U64" s="60"/>
      <c r="V64" s="55"/>
      <c r="W64" s="60"/>
      <c r="X64" s="55"/>
      <c r="Y64" s="60"/>
      <c r="Z64" s="46"/>
      <c r="AA64" s="43"/>
      <c r="AB64" s="46"/>
      <c r="AC64" s="43"/>
      <c r="AD64" s="46"/>
      <c r="AE64" s="43"/>
      <c r="AF64" s="29"/>
      <c r="AG64" s="76"/>
      <c r="AH64" s="77"/>
      <c r="AI64" s="78"/>
    </row>
    <row r="65" spans="1:35" ht="26.25" customHeight="1" x14ac:dyDescent="0.2">
      <c r="A65" s="362"/>
      <c r="B65" s="363"/>
      <c r="C65" s="363"/>
      <c r="D65" s="364"/>
      <c r="E65" s="385"/>
      <c r="F65" s="386"/>
      <c r="G65" s="54"/>
      <c r="H65" s="55"/>
      <c r="I65" s="370"/>
      <c r="J65" s="371"/>
      <c r="K65" s="54"/>
      <c r="L65" s="55"/>
      <c r="M65" s="54"/>
      <c r="N65" s="55"/>
      <c r="O65" s="54"/>
      <c r="P65" s="55"/>
      <c r="Q65" s="54"/>
      <c r="R65" s="55"/>
      <c r="S65" s="54"/>
      <c r="T65" s="55"/>
      <c r="U65" s="54"/>
      <c r="V65" s="55"/>
      <c r="W65" s="54"/>
      <c r="X65" s="55"/>
      <c r="Y65" s="60"/>
      <c r="Z65" s="46"/>
      <c r="AA65" s="43"/>
      <c r="AB65" s="46"/>
      <c r="AC65" s="43"/>
      <c r="AD65" s="46"/>
      <c r="AE65" s="43"/>
      <c r="AF65" s="29"/>
      <c r="AG65" s="76"/>
      <c r="AH65" s="77"/>
      <c r="AI65" s="78"/>
    </row>
    <row r="66" spans="1:35" ht="26.25" customHeight="1" thickBot="1" x14ac:dyDescent="0.25">
      <c r="A66" s="365"/>
      <c r="B66" s="366"/>
      <c r="C66" s="366"/>
      <c r="D66" s="367"/>
      <c r="E66" s="387"/>
      <c r="F66" s="388"/>
      <c r="G66" s="56"/>
      <c r="H66" s="57"/>
      <c r="I66" s="377"/>
      <c r="J66" s="378"/>
      <c r="K66" s="56"/>
      <c r="L66" s="57"/>
      <c r="M66" s="56"/>
      <c r="N66" s="57"/>
      <c r="O66" s="56"/>
      <c r="P66" s="57"/>
      <c r="Q66" s="56"/>
      <c r="R66" s="57"/>
      <c r="S66" s="56"/>
      <c r="T66" s="57"/>
      <c r="U66" s="56"/>
      <c r="V66" s="57"/>
      <c r="W66" s="56"/>
      <c r="X66" s="57"/>
      <c r="Y66" s="60"/>
      <c r="Z66" s="47"/>
      <c r="AA66" s="48"/>
      <c r="AB66" s="47"/>
      <c r="AC66" s="48"/>
      <c r="AD66" s="47"/>
      <c r="AE66" s="48"/>
      <c r="AF66" s="29"/>
      <c r="AG66" s="79"/>
      <c r="AH66" s="80"/>
      <c r="AI66" s="81"/>
    </row>
    <row r="67" spans="1:3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</sheetData>
  <mergeCells count="294">
    <mergeCell ref="W58:X58"/>
    <mergeCell ref="A59:D66"/>
    <mergeCell ref="S57:T57"/>
    <mergeCell ref="U57:V57"/>
    <mergeCell ref="W57:X57"/>
    <mergeCell ref="A58:D58"/>
    <mergeCell ref="G58:H59"/>
    <mergeCell ref="I58:J66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Q57:R57"/>
    <mergeCell ref="S58:T58"/>
    <mergeCell ref="U58:V58"/>
    <mergeCell ref="E58:F66"/>
    <mergeCell ref="AG55:AI55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U54:V54"/>
    <mergeCell ref="W54:X54"/>
    <mergeCell ref="E55:F55"/>
    <mergeCell ref="G55:H55"/>
    <mergeCell ref="I55:J55"/>
    <mergeCell ref="K55:L55"/>
    <mergeCell ref="M55:N55"/>
    <mergeCell ref="O55:P55"/>
    <mergeCell ref="Q55:R55"/>
    <mergeCell ref="S55:T55"/>
    <mergeCell ref="I54:J54"/>
    <mergeCell ref="K54:L54"/>
    <mergeCell ref="M54:N54"/>
    <mergeCell ref="O54:P54"/>
    <mergeCell ref="Q54:R54"/>
    <mergeCell ref="S54:T54"/>
    <mergeCell ref="U55:V55"/>
    <mergeCell ref="W55:X55"/>
    <mergeCell ref="A51:D51"/>
    <mergeCell ref="A52:D52"/>
    <mergeCell ref="A53:D53"/>
    <mergeCell ref="A54:D54"/>
    <mergeCell ref="E54:F54"/>
    <mergeCell ref="G54:H54"/>
    <mergeCell ref="O49:P49"/>
    <mergeCell ref="Q49:R49"/>
    <mergeCell ref="S49:T49"/>
    <mergeCell ref="U49:V49"/>
    <mergeCell ref="W49:X49"/>
    <mergeCell ref="A50:D50"/>
    <mergeCell ref="A49:D49"/>
    <mergeCell ref="E49:F49"/>
    <mergeCell ref="G49:H49"/>
    <mergeCell ref="I49:J49"/>
    <mergeCell ref="K49:L49"/>
    <mergeCell ref="M49:N49"/>
    <mergeCell ref="M48:N48"/>
    <mergeCell ref="O48:P48"/>
    <mergeCell ref="Q48:R48"/>
    <mergeCell ref="S48:T48"/>
    <mergeCell ref="U48:V48"/>
    <mergeCell ref="W48:X48"/>
    <mergeCell ref="O47:P47"/>
    <mergeCell ref="Q47:R47"/>
    <mergeCell ref="S47:T47"/>
    <mergeCell ref="U47:V47"/>
    <mergeCell ref="W47:X47"/>
    <mergeCell ref="M47:N47"/>
    <mergeCell ref="A48:D48"/>
    <mergeCell ref="E48:F48"/>
    <mergeCell ref="G48:H48"/>
    <mergeCell ref="I48:J48"/>
    <mergeCell ref="K48:L48"/>
    <mergeCell ref="A47:D47"/>
    <mergeCell ref="E47:F47"/>
    <mergeCell ref="G47:H47"/>
    <mergeCell ref="I47:J47"/>
    <mergeCell ref="K47:L47"/>
    <mergeCell ref="M46:N46"/>
    <mergeCell ref="O46:P46"/>
    <mergeCell ref="Q46:R46"/>
    <mergeCell ref="S46:T46"/>
    <mergeCell ref="U46:V46"/>
    <mergeCell ref="W46:X46"/>
    <mergeCell ref="O45:P45"/>
    <mergeCell ref="Q45:R45"/>
    <mergeCell ref="S45:T45"/>
    <mergeCell ref="U45:V45"/>
    <mergeCell ref="W45:X45"/>
    <mergeCell ref="M45:N45"/>
    <mergeCell ref="A46:D46"/>
    <mergeCell ref="E46:F46"/>
    <mergeCell ref="G46:H46"/>
    <mergeCell ref="I46:J46"/>
    <mergeCell ref="K46:L46"/>
    <mergeCell ref="A45:D45"/>
    <mergeCell ref="E45:F45"/>
    <mergeCell ref="G45:H45"/>
    <mergeCell ref="I45:J45"/>
    <mergeCell ref="K45:L45"/>
    <mergeCell ref="O44:P44"/>
    <mergeCell ref="Q44:R44"/>
    <mergeCell ref="S44:T44"/>
    <mergeCell ref="U44:V44"/>
    <mergeCell ref="W44:X44"/>
    <mergeCell ref="O43:P43"/>
    <mergeCell ref="Q43:R43"/>
    <mergeCell ref="S43:T43"/>
    <mergeCell ref="U43:V43"/>
    <mergeCell ref="W43:X43"/>
    <mergeCell ref="G44:H44"/>
    <mergeCell ref="I44:J44"/>
    <mergeCell ref="K44:L44"/>
    <mergeCell ref="A43:D43"/>
    <mergeCell ref="E43:F43"/>
    <mergeCell ref="G43:H43"/>
    <mergeCell ref="I43:J43"/>
    <mergeCell ref="K43:L43"/>
    <mergeCell ref="M44:N44"/>
    <mergeCell ref="M43:N43"/>
    <mergeCell ref="U42:V42"/>
    <mergeCell ref="W42:X42"/>
    <mergeCell ref="Z42:AA44"/>
    <mergeCell ref="AB42:AC44"/>
    <mergeCell ref="AD42:AE44"/>
    <mergeCell ref="AG42:AI44"/>
    <mergeCell ref="AG41:AI41"/>
    <mergeCell ref="A42:D42"/>
    <mergeCell ref="E42:F42"/>
    <mergeCell ref="G42:H42"/>
    <mergeCell ref="I42:J42"/>
    <mergeCell ref="K42:L42"/>
    <mergeCell ref="M42:N42"/>
    <mergeCell ref="O42:P42"/>
    <mergeCell ref="Q42:R42"/>
    <mergeCell ref="S42:T42"/>
    <mergeCell ref="S41:T41"/>
    <mergeCell ref="U41:V41"/>
    <mergeCell ref="W41:X41"/>
    <mergeCell ref="Z41:AA41"/>
    <mergeCell ref="AB41:AC41"/>
    <mergeCell ref="AD41:AE41"/>
    <mergeCell ref="A44:D44"/>
    <mergeCell ref="E44:F44"/>
    <mergeCell ref="AD40:AE40"/>
    <mergeCell ref="AG40:AI40"/>
    <mergeCell ref="A41:D41"/>
    <mergeCell ref="E41:F41"/>
    <mergeCell ref="G41:H41"/>
    <mergeCell ref="I41:J41"/>
    <mergeCell ref="K41:L41"/>
    <mergeCell ref="M41:N41"/>
    <mergeCell ref="O41:P41"/>
    <mergeCell ref="Q41:R41"/>
    <mergeCell ref="Q40:R40"/>
    <mergeCell ref="S40:T40"/>
    <mergeCell ref="U40:V40"/>
    <mergeCell ref="W40:X40"/>
    <mergeCell ref="Z40:AA40"/>
    <mergeCell ref="AB40:AC40"/>
    <mergeCell ref="E40:F40"/>
    <mergeCell ref="G40:H40"/>
    <mergeCell ref="I40:J40"/>
    <mergeCell ref="K40:L40"/>
    <mergeCell ref="M40:N40"/>
    <mergeCell ref="O40:P40"/>
    <mergeCell ref="U39:V39"/>
    <mergeCell ref="W39:X39"/>
    <mergeCell ref="Z39:AA39"/>
    <mergeCell ref="AB39:AC39"/>
    <mergeCell ref="AD39:AE39"/>
    <mergeCell ref="AG39:AI39"/>
    <mergeCell ref="AG38:AH38"/>
    <mergeCell ref="A39:D39"/>
    <mergeCell ref="E39:F39"/>
    <mergeCell ref="G39:H39"/>
    <mergeCell ref="I39:J39"/>
    <mergeCell ref="K39:L39"/>
    <mergeCell ref="M39:N39"/>
    <mergeCell ref="O39:P39"/>
    <mergeCell ref="Q39:R39"/>
    <mergeCell ref="S39:T39"/>
    <mergeCell ref="S38:T38"/>
    <mergeCell ref="U38:V38"/>
    <mergeCell ref="W38:X38"/>
    <mergeCell ref="Z38:AA38"/>
    <mergeCell ref="AB38:AC38"/>
    <mergeCell ref="AD38:AE38"/>
    <mergeCell ref="AD37:AE37"/>
    <mergeCell ref="AG37:AH37"/>
    <mergeCell ref="A38:D38"/>
    <mergeCell ref="E38:F38"/>
    <mergeCell ref="G38:H38"/>
    <mergeCell ref="I38:J38"/>
    <mergeCell ref="K38:L38"/>
    <mergeCell ref="M38:N38"/>
    <mergeCell ref="O38:P38"/>
    <mergeCell ref="Q38:R38"/>
    <mergeCell ref="Q37:R37"/>
    <mergeCell ref="S37:T37"/>
    <mergeCell ref="U37:V37"/>
    <mergeCell ref="W37:X37"/>
    <mergeCell ref="Z37:AA37"/>
    <mergeCell ref="AB37:AC37"/>
    <mergeCell ref="G31:H35"/>
    <mergeCell ref="U31:V36"/>
    <mergeCell ref="W31:X36"/>
    <mergeCell ref="A37:D37"/>
    <mergeCell ref="E37:F37"/>
    <mergeCell ref="G37:H37"/>
    <mergeCell ref="I37:J37"/>
    <mergeCell ref="K37:L37"/>
    <mergeCell ref="M37:N37"/>
    <mergeCell ref="O37:P37"/>
    <mergeCell ref="G24:H29"/>
    <mergeCell ref="I24:J24"/>
    <mergeCell ref="U24:V29"/>
    <mergeCell ref="W24:X29"/>
    <mergeCell ref="Z24:AA24"/>
    <mergeCell ref="I25:J25"/>
    <mergeCell ref="I26:J26"/>
    <mergeCell ref="AG12:AI12"/>
    <mergeCell ref="G15:H22"/>
    <mergeCell ref="U15:V22"/>
    <mergeCell ref="W15:X22"/>
    <mergeCell ref="O20:P20"/>
    <mergeCell ref="O21:P21"/>
    <mergeCell ref="S12:T12"/>
    <mergeCell ref="U12:V12"/>
    <mergeCell ref="W12:X12"/>
    <mergeCell ref="Z12:AA12"/>
    <mergeCell ref="AB12:AC12"/>
    <mergeCell ref="AD12:AE12"/>
    <mergeCell ref="G12:H12"/>
    <mergeCell ref="I12:J12"/>
    <mergeCell ref="K12:L12"/>
    <mergeCell ref="M12:N12"/>
    <mergeCell ref="O12:P12"/>
    <mergeCell ref="AB9:AC11"/>
    <mergeCell ref="AD9:AE11"/>
    <mergeCell ref="A10:D10"/>
    <mergeCell ref="AG10:AG11"/>
    <mergeCell ref="A11:D11"/>
    <mergeCell ref="A12:A13"/>
    <mergeCell ref="B12:B13"/>
    <mergeCell ref="C12:C13"/>
    <mergeCell ref="D12:D13"/>
    <mergeCell ref="E12:F12"/>
    <mergeCell ref="W7:X7"/>
    <mergeCell ref="Z7:AA7"/>
    <mergeCell ref="A7:D7"/>
    <mergeCell ref="E7:F7"/>
    <mergeCell ref="G7:H7"/>
    <mergeCell ref="I7:J7"/>
    <mergeCell ref="K7:L7"/>
    <mergeCell ref="M7:N7"/>
    <mergeCell ref="Q12:R12"/>
    <mergeCell ref="E21:F21"/>
    <mergeCell ref="E22:F22"/>
    <mergeCell ref="E24:F24"/>
    <mergeCell ref="E18:F18"/>
    <mergeCell ref="C2:J4"/>
    <mergeCell ref="AG2:AI4"/>
    <mergeCell ref="G6:H6"/>
    <mergeCell ref="I6:J6"/>
    <mergeCell ref="K6:L6"/>
    <mergeCell ref="M6:N6"/>
    <mergeCell ref="AB7:AC7"/>
    <mergeCell ref="AD7:AE7"/>
    <mergeCell ref="AG7:AI7"/>
    <mergeCell ref="A8:D8"/>
    <mergeCell ref="Z8:AA8"/>
    <mergeCell ref="AB8:AC8"/>
    <mergeCell ref="AD8:AE8"/>
    <mergeCell ref="AG8:AG9"/>
    <mergeCell ref="A9:D9"/>
    <mergeCell ref="Z9:AA11"/>
    <mergeCell ref="O7:P7"/>
    <mergeCell ref="Q7:R7"/>
    <mergeCell ref="S7:T7"/>
    <mergeCell ref="U7:V7"/>
  </mergeCells>
  <conditionalFormatting sqref="C15:C36">
    <cfRule type="cellIs" dxfId="19" priority="5" operator="greaterThan">
      <formula>#REF!</formula>
    </cfRule>
  </conditionalFormatting>
  <conditionalFormatting sqref="E41:AE41">
    <cfRule type="cellIs" dxfId="18" priority="3" operator="lessThan">
      <formula>0</formula>
    </cfRule>
    <cfRule type="cellIs" dxfId="17" priority="4" operator="greaterThan">
      <formula>0</formula>
    </cfRule>
  </conditionalFormatting>
  <conditionalFormatting sqref="AG41:AI41">
    <cfRule type="cellIs" dxfId="16" priority="1" operator="greaterThan">
      <formula>0</formula>
    </cfRule>
    <cfRule type="cellIs" dxfId="15" priority="2" operator="lessThan">
      <formula>0</formula>
    </cfRule>
  </conditionalFormatting>
  <hyperlinks>
    <hyperlink ref="F11" r:id="rId1" xr:uid="{FCD3804A-F580-4232-82BF-34EB357C838B}"/>
    <hyperlink ref="J11" r:id="rId2" xr:uid="{D9CE46C4-179F-4818-BC02-67F0CC18337A}"/>
    <hyperlink ref="L11" r:id="rId3" xr:uid="{09C4FF5E-1FCB-4BD9-8F98-62E04A2270F1}"/>
    <hyperlink ref="X11" r:id="rId4" xr:uid="{D28A70EF-C3B0-4777-B1DF-72CA9BCCBDD0}"/>
    <hyperlink ref="P11" r:id="rId5" xr:uid="{7E413E1A-1C36-4908-BEB8-B34A19BC1084}"/>
    <hyperlink ref="T11" r:id="rId6" xr:uid="{828FC843-8B61-43A2-8A6F-AC97759D1656}"/>
    <hyperlink ref="V11" r:id="rId7" xr:uid="{F875CCF3-3097-40D9-903F-86C528D0C46E}"/>
    <hyperlink ref="N11" r:id="rId8" xr:uid="{8F444C28-9CF0-44CC-8DC5-E1900BF0F06B}"/>
    <hyperlink ref="R11" r:id="rId9" xr:uid="{E0AECD02-21AD-4C13-A77D-1C4CC90FDC45}"/>
    <hyperlink ref="H11" r:id="rId10" xr:uid="{48BA3994-3993-4A18-8E45-C520FAAF90FF}"/>
  </hyperlinks>
  <printOptions horizontalCentered="1" verticalCentered="1"/>
  <pageMargins left="0" right="0" top="0" bottom="0" header="0.62992125984251968" footer="0"/>
  <pageSetup paperSize="8" scale="35" orientation="landscape" r:id="rId11"/>
  <headerFooter alignWithMargins="0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E441-1887-4FB8-9965-9082A21477F7}">
  <dimension ref="B4:I18"/>
  <sheetViews>
    <sheetView topLeftCell="B9" workbookViewId="0">
      <selection activeCell="F18" sqref="F18"/>
    </sheetView>
  </sheetViews>
  <sheetFormatPr defaultRowHeight="12.75" x14ac:dyDescent="0.2"/>
  <cols>
    <col min="2" max="2" width="26.5703125" customWidth="1"/>
    <col min="3" max="3" width="15" bestFit="1" customWidth="1"/>
    <col min="4" max="4" width="11.140625" customWidth="1"/>
    <col min="5" max="5" width="17.85546875" bestFit="1" customWidth="1"/>
    <col min="6" max="6" width="16" bestFit="1" customWidth="1"/>
    <col min="7" max="7" width="30.140625" style="164" customWidth="1"/>
    <col min="8" max="8" width="32.5703125" bestFit="1" customWidth="1"/>
    <col min="9" max="9" width="16" bestFit="1" customWidth="1"/>
  </cols>
  <sheetData>
    <row r="4" spans="2:9" ht="13.5" thickBot="1" x14ac:dyDescent="0.25">
      <c r="B4" s="389" t="s">
        <v>261</v>
      </c>
      <c r="C4" s="390"/>
      <c r="D4" s="390"/>
      <c r="E4" s="390"/>
      <c r="F4" s="390"/>
      <c r="G4" s="390"/>
      <c r="H4" s="390"/>
      <c r="I4" s="390"/>
    </row>
    <row r="5" spans="2:9" x14ac:dyDescent="0.2">
      <c r="B5" s="165" t="s">
        <v>158</v>
      </c>
      <c r="C5" s="193" t="s">
        <v>253</v>
      </c>
      <c r="D5" s="194"/>
      <c r="E5" s="194"/>
      <c r="F5" s="195"/>
      <c r="G5" s="175" t="s">
        <v>252</v>
      </c>
      <c r="H5" s="184" t="s">
        <v>287</v>
      </c>
      <c r="I5" s="184" t="s">
        <v>288</v>
      </c>
    </row>
    <row r="6" spans="2:9" x14ac:dyDescent="0.2">
      <c r="B6" s="167" t="s">
        <v>230</v>
      </c>
      <c r="C6" s="187"/>
      <c r="D6" s="189">
        <v>6010</v>
      </c>
      <c r="E6" s="188">
        <v>843.7</v>
      </c>
      <c r="F6" s="188">
        <f>E6*D6</f>
        <v>5070637</v>
      </c>
      <c r="G6" s="180">
        <v>6673932.5999999996</v>
      </c>
      <c r="H6" s="177">
        <f>G6</f>
        <v>6673932.5999999996</v>
      </c>
      <c r="I6" s="177">
        <f t="shared" ref="I6:I7" si="0">F7-H6</f>
        <v>-5882328.1004909994</v>
      </c>
    </row>
    <row r="7" spans="2:9" x14ac:dyDescent="0.2">
      <c r="B7" s="167" t="s">
        <v>105</v>
      </c>
      <c r="C7" s="211" t="s">
        <v>257</v>
      </c>
      <c r="D7" s="391">
        <v>1007</v>
      </c>
      <c r="E7" s="393">
        <v>786.10178699999994</v>
      </c>
      <c r="F7" s="393">
        <f>E7*D7</f>
        <v>791604.49950899999</v>
      </c>
      <c r="G7" s="180">
        <v>6752419.2999999998</v>
      </c>
      <c r="H7" s="177">
        <f>G7</f>
        <v>6752419.2999999998</v>
      </c>
      <c r="I7" s="177">
        <f t="shared" si="0"/>
        <v>-6752419.2999999998</v>
      </c>
    </row>
    <row r="8" spans="2:9" ht="13.5" thickBot="1" x14ac:dyDescent="0.25">
      <c r="B8" s="171" t="s">
        <v>111</v>
      </c>
      <c r="C8" s="212"/>
      <c r="D8" s="392"/>
      <c r="E8" s="394"/>
      <c r="F8" s="394"/>
      <c r="G8" s="181">
        <v>6087166.3082999997</v>
      </c>
      <c r="H8" s="179">
        <v>5887245.3799999999</v>
      </c>
      <c r="I8" s="190">
        <f>F9-H8</f>
        <v>-25003.880490999669</v>
      </c>
    </row>
    <row r="9" spans="2:9" x14ac:dyDescent="0.2">
      <c r="B9" s="196" t="s">
        <v>258</v>
      </c>
      <c r="C9" s="197"/>
      <c r="D9" s="197"/>
      <c r="E9" s="197"/>
      <c r="F9" s="200">
        <f>SUM(F6:F8)</f>
        <v>5862241.4995090002</v>
      </c>
      <c r="G9" s="205"/>
      <c r="H9" s="207"/>
    </row>
    <row r="10" spans="2:9" ht="13.5" thickBot="1" x14ac:dyDescent="0.25">
      <c r="B10" s="198"/>
      <c r="C10" s="199"/>
      <c r="D10" s="199"/>
      <c r="E10" s="199"/>
      <c r="F10" s="201"/>
      <c r="G10" s="208"/>
      <c r="H10" s="210"/>
    </row>
    <row r="18" spans="6:8" ht="13.35" customHeight="1" x14ac:dyDescent="0.2">
      <c r="F18">
        <v>21777.25</v>
      </c>
      <c r="H18" s="174"/>
    </row>
  </sheetData>
  <mergeCells count="9">
    <mergeCell ref="B4:I4"/>
    <mergeCell ref="B9:E10"/>
    <mergeCell ref="F9:F10"/>
    <mergeCell ref="G9:H10"/>
    <mergeCell ref="C5:F5"/>
    <mergeCell ref="C7:C8"/>
    <mergeCell ref="D7:D8"/>
    <mergeCell ref="E7:E8"/>
    <mergeCell ref="F7:F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EC00-94C6-4D47-A498-FF26941A36C0}">
  <sheetPr>
    <tabColor rgb="FF00B050"/>
    <pageSetUpPr fitToPage="1"/>
  </sheetPr>
  <dimension ref="A1:AI113"/>
  <sheetViews>
    <sheetView showGridLines="0" zoomScale="55" zoomScaleNormal="55" workbookViewId="0">
      <selection activeCell="C28" sqref="C28"/>
    </sheetView>
  </sheetViews>
  <sheetFormatPr defaultColWidth="9.140625" defaultRowHeight="14.25" x14ac:dyDescent="0.2"/>
  <cols>
    <col min="1" max="1" width="7.140625" style="2" customWidth="1"/>
    <col min="2" max="2" width="76.140625" style="2" customWidth="1"/>
    <col min="3" max="3" width="13.42578125" style="2" bestFit="1" customWidth="1"/>
    <col min="4" max="4" width="9.85546875" style="2" customWidth="1"/>
    <col min="5" max="5" width="17" style="2" customWidth="1"/>
    <col min="6" max="6" width="30.42578125" style="2" customWidth="1"/>
    <col min="7" max="7" width="22.42578125" style="2" customWidth="1"/>
    <col min="8" max="8" width="26.42578125" style="2" customWidth="1"/>
    <col min="9" max="9" width="22.42578125" style="2" customWidth="1"/>
    <col min="10" max="10" width="33.140625" style="2" customWidth="1"/>
    <col min="11" max="11" width="22.42578125" style="2" customWidth="1"/>
    <col min="12" max="12" width="25.85546875" style="2" customWidth="1"/>
    <col min="13" max="13" width="22.42578125" style="2" customWidth="1"/>
    <col min="14" max="14" width="31.42578125" style="2" customWidth="1"/>
    <col min="15" max="15" width="4.85546875" style="2" customWidth="1"/>
    <col min="16" max="16" width="24.85546875" style="2" customWidth="1"/>
    <col min="17" max="21" width="19.5703125" style="2" customWidth="1"/>
    <col min="22" max="22" width="0.85546875" style="2" customWidth="1"/>
    <col min="23" max="24" width="19.5703125" style="2" customWidth="1"/>
    <col min="25" max="25" width="26.140625" style="2" customWidth="1"/>
    <col min="26" max="26" width="1.5703125" style="2" customWidth="1"/>
    <col min="27" max="27" width="8.5703125" style="2" customWidth="1"/>
    <col min="28" max="28" width="9.140625" style="2"/>
    <col min="29" max="29" width="16.140625" style="2" bestFit="1" customWidth="1"/>
    <col min="30" max="16384" width="9.140625" style="2"/>
  </cols>
  <sheetData>
    <row r="1" spans="1:35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5" ht="15.75" customHeight="1" x14ac:dyDescent="0.2">
      <c r="A2" s="1"/>
      <c r="B2" s="1"/>
      <c r="C2" s="289" t="s">
        <v>4</v>
      </c>
      <c r="D2" s="289"/>
      <c r="E2" s="289"/>
      <c r="F2" s="28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90" t="s">
        <v>188</v>
      </c>
      <c r="X2" s="290"/>
      <c r="Y2" s="290"/>
    </row>
    <row r="3" spans="1:35" ht="16.5" customHeight="1" x14ac:dyDescent="0.2">
      <c r="A3" s="1"/>
      <c r="B3" s="1"/>
      <c r="C3" s="289"/>
      <c r="D3" s="289"/>
      <c r="E3" s="289"/>
      <c r="F3" s="28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291"/>
      <c r="X3" s="291"/>
      <c r="Y3" s="291"/>
    </row>
    <row r="4" spans="1:35" ht="41.25" customHeight="1" x14ac:dyDescent="0.2">
      <c r="A4" s="1"/>
      <c r="B4" s="1"/>
      <c r="C4" s="289"/>
      <c r="D4" s="289"/>
      <c r="E4" s="289"/>
      <c r="F4" s="28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91"/>
      <c r="X4" s="291"/>
      <c r="Y4" s="291"/>
    </row>
    <row r="5" spans="1:35" ht="20.45" customHeight="1" thickBot="1" x14ac:dyDescent="0.25">
      <c r="A5" s="91"/>
      <c r="B5" s="91"/>
      <c r="C5" s="92"/>
      <c r="D5" s="92"/>
      <c r="E5" s="92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spans="1:35" ht="15.75" customHeight="1" thickBot="1" x14ac:dyDescent="0.25">
      <c r="A6" s="1"/>
      <c r="B6" s="1"/>
      <c r="C6" s="1"/>
      <c r="D6" s="1"/>
      <c r="E6" s="1"/>
      <c r="F6" s="1"/>
      <c r="G6" s="292" t="s">
        <v>89</v>
      </c>
      <c r="H6" s="292"/>
      <c r="I6" s="292" t="s">
        <v>89</v>
      </c>
      <c r="J6" s="292"/>
      <c r="K6" s="61"/>
      <c r="L6" s="61"/>
      <c r="M6" s="61"/>
      <c r="N6" s="61"/>
      <c r="O6" s="61"/>
      <c r="P6" s="61"/>
      <c r="Q6" s="61"/>
      <c r="R6" s="61"/>
      <c r="S6" s="61"/>
      <c r="T6" s="1"/>
      <c r="U6" s="1"/>
      <c r="V6" s="1"/>
      <c r="W6" s="1"/>
      <c r="X6" s="1"/>
      <c r="Y6" s="1"/>
    </row>
    <row r="7" spans="1:35" ht="16.5" customHeight="1" x14ac:dyDescent="0.2">
      <c r="A7" s="302" t="s">
        <v>229</v>
      </c>
      <c r="B7" s="303"/>
      <c r="C7" s="303"/>
      <c r="D7" s="304"/>
      <c r="E7" s="280" t="s">
        <v>58</v>
      </c>
      <c r="F7" s="280"/>
      <c r="G7" s="280" t="s">
        <v>78</v>
      </c>
      <c r="H7" s="280"/>
      <c r="I7" s="278" t="s">
        <v>230</v>
      </c>
      <c r="J7" s="279"/>
      <c r="K7" s="278" t="s">
        <v>105</v>
      </c>
      <c r="L7" s="279"/>
      <c r="M7" s="280" t="s">
        <v>111</v>
      </c>
      <c r="N7" s="280"/>
      <c r="O7" s="62"/>
      <c r="P7" s="299" t="s">
        <v>19</v>
      </c>
      <c r="Q7" s="299"/>
      <c r="R7" s="299" t="s">
        <v>19</v>
      </c>
      <c r="S7" s="299"/>
      <c r="T7" s="300" t="s">
        <v>19</v>
      </c>
      <c r="U7" s="301"/>
      <c r="V7" s="4"/>
      <c r="W7" s="269" t="s">
        <v>22</v>
      </c>
      <c r="X7" s="269"/>
      <c r="Y7" s="269"/>
    </row>
    <row r="8" spans="1:35" ht="16.5" customHeight="1" x14ac:dyDescent="0.2">
      <c r="A8" s="293" t="s">
        <v>100</v>
      </c>
      <c r="B8" s="294"/>
      <c r="C8" s="294"/>
      <c r="D8" s="295"/>
      <c r="E8" s="6" t="s">
        <v>3</v>
      </c>
      <c r="F8" s="5"/>
      <c r="G8" s="6" t="s">
        <v>3</v>
      </c>
      <c r="H8" s="5"/>
      <c r="I8" s="6" t="s">
        <v>3</v>
      </c>
      <c r="J8" s="5"/>
      <c r="K8" s="6" t="s">
        <v>3</v>
      </c>
      <c r="L8" s="5"/>
      <c r="M8" s="6" t="s">
        <v>3</v>
      </c>
      <c r="N8" s="5"/>
      <c r="O8" s="63"/>
      <c r="P8" s="264" t="s">
        <v>26</v>
      </c>
      <c r="Q8" s="264"/>
      <c r="R8" s="264" t="s">
        <v>26</v>
      </c>
      <c r="S8" s="264"/>
      <c r="T8" s="296" t="s">
        <v>26</v>
      </c>
      <c r="U8" s="297"/>
      <c r="V8" s="7"/>
      <c r="W8" s="264" t="s">
        <v>23</v>
      </c>
      <c r="X8" s="8" t="s">
        <v>20</v>
      </c>
      <c r="Y8" s="35">
        <v>44958</v>
      </c>
    </row>
    <row r="9" spans="1:35" ht="16.5" customHeight="1" x14ac:dyDescent="0.2">
      <c r="A9" s="293" t="s">
        <v>101</v>
      </c>
      <c r="B9" s="285"/>
      <c r="C9" s="285"/>
      <c r="D9" s="286"/>
      <c r="E9" s="6" t="s">
        <v>0</v>
      </c>
      <c r="F9" s="58" t="s">
        <v>86</v>
      </c>
      <c r="G9" s="6" t="s">
        <v>0</v>
      </c>
      <c r="H9" s="5" t="s">
        <v>79</v>
      </c>
      <c r="I9" s="6" t="s">
        <v>0</v>
      </c>
      <c r="J9" s="5" t="s">
        <v>212</v>
      </c>
      <c r="K9" s="6" t="s">
        <v>0</v>
      </c>
      <c r="L9" s="5" t="s">
        <v>106</v>
      </c>
      <c r="M9" s="6" t="s">
        <v>0</v>
      </c>
      <c r="N9" s="5" t="s">
        <v>112</v>
      </c>
      <c r="O9" s="63"/>
      <c r="P9" s="298" t="s">
        <v>123</v>
      </c>
      <c r="Q9" s="298"/>
      <c r="R9" s="298"/>
      <c r="S9" s="298"/>
      <c r="T9" s="272"/>
      <c r="U9" s="273"/>
      <c r="V9" s="7"/>
      <c r="W9" s="264"/>
      <c r="X9" s="8" t="s">
        <v>47</v>
      </c>
      <c r="Y9" s="36">
        <v>1056.896</v>
      </c>
    </row>
    <row r="10" spans="1:35" ht="16.5" customHeight="1" x14ac:dyDescent="0.2">
      <c r="A10" s="284" t="s">
        <v>102</v>
      </c>
      <c r="B10" s="285"/>
      <c r="C10" s="285"/>
      <c r="D10" s="286"/>
      <c r="E10" s="6" t="s">
        <v>1</v>
      </c>
      <c r="F10" s="5" t="s">
        <v>72</v>
      </c>
      <c r="G10" s="6" t="s">
        <v>1</v>
      </c>
      <c r="H10" s="5" t="s">
        <v>80</v>
      </c>
      <c r="I10" s="6" t="s">
        <v>1</v>
      </c>
      <c r="J10" s="5" t="s">
        <v>231</v>
      </c>
      <c r="K10" s="6" t="s">
        <v>1</v>
      </c>
      <c r="L10" s="5" t="s">
        <v>107</v>
      </c>
      <c r="M10" s="6" t="s">
        <v>1</v>
      </c>
      <c r="N10" s="5" t="s">
        <v>113</v>
      </c>
      <c r="O10" s="63"/>
      <c r="P10" s="298"/>
      <c r="Q10" s="298"/>
      <c r="R10" s="298"/>
      <c r="S10" s="298"/>
      <c r="T10" s="274"/>
      <c r="U10" s="275"/>
      <c r="V10" s="7"/>
      <c r="W10" s="264" t="s">
        <v>24</v>
      </c>
      <c r="X10" s="8" t="s">
        <v>20</v>
      </c>
      <c r="Y10" s="35">
        <v>45413</v>
      </c>
    </row>
    <row r="11" spans="1:35" ht="16.5" customHeight="1" x14ac:dyDescent="0.2">
      <c r="A11" s="265" t="s">
        <v>103</v>
      </c>
      <c r="B11" s="266"/>
      <c r="C11" s="266"/>
      <c r="D11" s="267"/>
      <c r="E11" s="6" t="s">
        <v>2</v>
      </c>
      <c r="F11" s="50" t="s">
        <v>57</v>
      </c>
      <c r="G11" s="6" t="s">
        <v>2</v>
      </c>
      <c r="H11" s="50" t="s">
        <v>81</v>
      </c>
      <c r="I11" s="6" t="s">
        <v>2</v>
      </c>
      <c r="J11" s="50" t="s">
        <v>185</v>
      </c>
      <c r="K11" s="6" t="s">
        <v>2</v>
      </c>
      <c r="L11" s="50" t="s">
        <v>108</v>
      </c>
      <c r="M11" s="6" t="s">
        <v>2</v>
      </c>
      <c r="N11" s="50" t="s">
        <v>114</v>
      </c>
      <c r="O11" s="64"/>
      <c r="P11" s="298"/>
      <c r="Q11" s="298"/>
      <c r="R11" s="298"/>
      <c r="S11" s="298"/>
      <c r="T11" s="276"/>
      <c r="U11" s="277"/>
      <c r="V11" s="9"/>
      <c r="W11" s="264"/>
      <c r="X11" s="8" t="s">
        <v>48</v>
      </c>
      <c r="Y11" s="36">
        <v>1110.8869999999999</v>
      </c>
    </row>
    <row r="12" spans="1:35" ht="15.75" x14ac:dyDescent="0.2">
      <c r="A12" s="268" t="s">
        <v>29</v>
      </c>
      <c r="B12" s="282" t="s">
        <v>5</v>
      </c>
      <c r="C12" s="287" t="s">
        <v>9</v>
      </c>
      <c r="D12" s="270" t="s">
        <v>30</v>
      </c>
      <c r="E12" s="268" t="s">
        <v>28</v>
      </c>
      <c r="F12" s="258"/>
      <c r="G12" s="268" t="s">
        <v>28</v>
      </c>
      <c r="H12" s="258"/>
      <c r="I12" s="268" t="s">
        <v>28</v>
      </c>
      <c r="J12" s="258"/>
      <c r="K12" s="268" t="s">
        <v>28</v>
      </c>
      <c r="L12" s="258"/>
      <c r="M12" s="268" t="s">
        <v>28</v>
      </c>
      <c r="N12" s="258"/>
      <c r="O12" s="4"/>
      <c r="P12" s="269" t="s">
        <v>28</v>
      </c>
      <c r="Q12" s="269"/>
      <c r="R12" s="269" t="s">
        <v>28</v>
      </c>
      <c r="S12" s="269"/>
      <c r="T12" s="270" t="s">
        <v>28</v>
      </c>
      <c r="U12" s="271"/>
      <c r="V12" s="4"/>
      <c r="W12" s="269" t="s">
        <v>28</v>
      </c>
      <c r="X12" s="269"/>
      <c r="Y12" s="269"/>
    </row>
    <row r="13" spans="1:35" ht="15.75" x14ac:dyDescent="0.2">
      <c r="A13" s="268"/>
      <c r="B13" s="283"/>
      <c r="C13" s="288"/>
      <c r="D13" s="270"/>
      <c r="E13" s="10" t="s">
        <v>31</v>
      </c>
      <c r="F13" s="11" t="s">
        <v>32</v>
      </c>
      <c r="G13" s="10" t="s">
        <v>31</v>
      </c>
      <c r="H13" s="11" t="s">
        <v>32</v>
      </c>
      <c r="I13" s="10" t="s">
        <v>31</v>
      </c>
      <c r="J13" s="11" t="s">
        <v>32</v>
      </c>
      <c r="K13" s="10" t="s">
        <v>31</v>
      </c>
      <c r="L13" s="11" t="s">
        <v>32</v>
      </c>
      <c r="M13" s="10" t="s">
        <v>31</v>
      </c>
      <c r="N13" s="11" t="s">
        <v>32</v>
      </c>
      <c r="O13" s="4"/>
      <c r="P13" s="33" t="s">
        <v>31</v>
      </c>
      <c r="Q13" s="33" t="s">
        <v>32</v>
      </c>
      <c r="R13" s="33" t="s">
        <v>31</v>
      </c>
      <c r="S13" s="33" t="s">
        <v>32</v>
      </c>
      <c r="T13" s="33" t="s">
        <v>31</v>
      </c>
      <c r="U13" s="33" t="s">
        <v>32</v>
      </c>
      <c r="V13" s="4"/>
      <c r="W13" s="33" t="s">
        <v>9</v>
      </c>
      <c r="X13" s="33" t="s">
        <v>31</v>
      </c>
      <c r="Y13" s="33" t="s">
        <v>32</v>
      </c>
    </row>
    <row r="14" spans="1:35" s="101" customFormat="1" ht="18.75" customHeight="1" x14ac:dyDescent="0.2">
      <c r="A14" s="93"/>
      <c r="B14" s="94" t="s">
        <v>91</v>
      </c>
      <c r="C14" s="95"/>
      <c r="D14" s="96"/>
      <c r="E14" s="93"/>
      <c r="F14" s="98">
        <f>SUM(F15:F22)</f>
        <v>0</v>
      </c>
      <c r="G14" s="93"/>
      <c r="H14" s="98">
        <f>SUM(H15:H22)</f>
        <v>6110718.0804000003</v>
      </c>
      <c r="I14" s="93"/>
      <c r="J14" s="98">
        <f>SUM(J15:J22)</f>
        <v>5699829.5800000001</v>
      </c>
      <c r="K14" s="93"/>
      <c r="L14" s="98">
        <f>SUM(L15:L22)</f>
        <v>6786670.3000000007</v>
      </c>
      <c r="M14" s="93"/>
      <c r="N14" s="98">
        <f>SUM(N15:N22)</f>
        <v>6150668.7000000011</v>
      </c>
      <c r="O14" s="99"/>
      <c r="P14" s="100"/>
      <c r="Q14" s="100"/>
      <c r="R14" s="100"/>
      <c r="S14" s="100"/>
      <c r="T14" s="100"/>
      <c r="U14" s="100"/>
      <c r="V14" s="99"/>
      <c r="W14" s="100"/>
      <c r="X14" s="100"/>
      <c r="Y14" s="100"/>
    </row>
    <row r="15" spans="1:35" ht="69" customHeight="1" x14ac:dyDescent="0.2">
      <c r="A15" s="12" t="s">
        <v>74</v>
      </c>
      <c r="B15" s="51" t="s">
        <v>242</v>
      </c>
      <c r="C15" s="14">
        <v>5764.77</v>
      </c>
      <c r="D15" s="15" t="s">
        <v>66</v>
      </c>
      <c r="E15" s="16">
        <v>0</v>
      </c>
      <c r="F15" s="17">
        <f>E15*C15</f>
        <v>0</v>
      </c>
      <c r="G15" s="49">
        <v>870</v>
      </c>
      <c r="H15" s="17">
        <f>G15*C15</f>
        <v>5015349.9000000004</v>
      </c>
      <c r="I15" s="49">
        <v>850</v>
      </c>
      <c r="J15" s="17">
        <f>I15*C15</f>
        <v>4900054.5</v>
      </c>
      <c r="K15" s="49">
        <v>990</v>
      </c>
      <c r="L15" s="17">
        <f>K15*C15</f>
        <v>5707122.3000000007</v>
      </c>
      <c r="M15" s="49">
        <v>910</v>
      </c>
      <c r="N15" s="17">
        <f>M15*C15</f>
        <v>5245940.7</v>
      </c>
      <c r="O15" s="18"/>
      <c r="P15" s="34">
        <v>838.2</v>
      </c>
      <c r="Q15" s="34">
        <f t="shared" ref="Q15:Q22" si="0">P15*C15</f>
        <v>4832030.2140000006</v>
      </c>
      <c r="R15" s="34">
        <v>0</v>
      </c>
      <c r="S15" s="34">
        <f t="shared" ref="S15:S22" si="1">R15*C15</f>
        <v>0</v>
      </c>
      <c r="T15" s="34">
        <v>0</v>
      </c>
      <c r="U15" s="34">
        <f t="shared" ref="U15:U22" si="2">T15*C15</f>
        <v>0</v>
      </c>
      <c r="V15" s="18"/>
      <c r="W15" s="37">
        <v>6010</v>
      </c>
      <c r="X15" s="34">
        <v>843.7</v>
      </c>
      <c r="Y15" s="34">
        <f>X15*W15</f>
        <v>5070637</v>
      </c>
      <c r="AI15" s="2">
        <f>250*30</f>
        <v>7500</v>
      </c>
    </row>
    <row r="16" spans="1:35" ht="57" x14ac:dyDescent="0.2">
      <c r="A16" s="12" t="s">
        <v>74</v>
      </c>
      <c r="B16" s="51" t="s">
        <v>104</v>
      </c>
      <c r="C16" s="14">
        <v>69.239999999999995</v>
      </c>
      <c r="D16" s="15" t="s">
        <v>66</v>
      </c>
      <c r="E16" s="16">
        <v>0</v>
      </c>
      <c r="F16" s="17">
        <f>E16*C16</f>
        <v>0</v>
      </c>
      <c r="G16" s="49">
        <v>870</v>
      </c>
      <c r="H16" s="17">
        <f>G16*C16</f>
        <v>60238.799999999996</v>
      </c>
      <c r="I16" s="49">
        <v>850</v>
      </c>
      <c r="J16" s="17">
        <f>I16*C16</f>
        <v>58853.999999999993</v>
      </c>
      <c r="K16" s="49">
        <v>990</v>
      </c>
      <c r="L16" s="17">
        <f>K16*C16</f>
        <v>68547.599999999991</v>
      </c>
      <c r="M16" s="49">
        <v>910</v>
      </c>
      <c r="N16" s="17">
        <f>M16*C16</f>
        <v>63008.399999999994</v>
      </c>
      <c r="O16" s="18"/>
      <c r="P16" s="34">
        <v>838.2</v>
      </c>
      <c r="Q16" s="34">
        <f t="shared" si="0"/>
        <v>58036.968000000001</v>
      </c>
      <c r="R16" s="34">
        <v>0</v>
      </c>
      <c r="S16" s="34">
        <f t="shared" si="1"/>
        <v>0</v>
      </c>
      <c r="T16" s="34">
        <v>0</v>
      </c>
      <c r="U16" s="34">
        <f t="shared" si="2"/>
        <v>0</v>
      </c>
      <c r="V16" s="18"/>
      <c r="W16" s="37">
        <v>0</v>
      </c>
      <c r="X16" s="34">
        <v>0</v>
      </c>
      <c r="Y16" s="34">
        <f>X16*W16</f>
        <v>0</v>
      </c>
      <c r="AI16" s="2">
        <f>AI15*12</f>
        <v>90000</v>
      </c>
    </row>
    <row r="17" spans="1:25" ht="118.35" customHeight="1" x14ac:dyDescent="0.2">
      <c r="A17" s="12" t="s">
        <v>75</v>
      </c>
      <c r="B17" s="51" t="s">
        <v>281</v>
      </c>
      <c r="C17" s="14">
        <v>1039.1600000000001</v>
      </c>
      <c r="D17" s="15" t="s">
        <v>66</v>
      </c>
      <c r="E17" s="16">
        <v>0</v>
      </c>
      <c r="F17" s="17">
        <f t="shared" ref="F17" si="3">E17*C17</f>
        <v>0</v>
      </c>
      <c r="G17" s="49">
        <v>921.69</v>
      </c>
      <c r="H17" s="17">
        <f>G17*C17</f>
        <v>957783.38040000014</v>
      </c>
      <c r="I17" s="49">
        <v>713</v>
      </c>
      <c r="J17" s="17">
        <f>I17*C17</f>
        <v>740921.08000000007</v>
      </c>
      <c r="K17" s="49">
        <v>940</v>
      </c>
      <c r="L17" s="17">
        <f>K17*C17</f>
        <v>976810.4</v>
      </c>
      <c r="M17" s="49">
        <v>810</v>
      </c>
      <c r="N17" s="17">
        <f>M17*C17</f>
        <v>841719.60000000009</v>
      </c>
      <c r="O17" s="18"/>
      <c r="P17" s="34">
        <v>700</v>
      </c>
      <c r="Q17" s="34">
        <f t="shared" si="0"/>
        <v>727412</v>
      </c>
      <c r="R17" s="34">
        <v>0</v>
      </c>
      <c r="S17" s="34">
        <f t="shared" si="1"/>
        <v>0</v>
      </c>
      <c r="T17" s="34">
        <v>0</v>
      </c>
      <c r="U17" s="34">
        <f t="shared" si="2"/>
        <v>0</v>
      </c>
      <c r="V17" s="18"/>
      <c r="W17" s="37">
        <v>1007</v>
      </c>
      <c r="X17" s="34">
        <v>712.5</v>
      </c>
      <c r="Y17" s="34">
        <f>W17*X17</f>
        <v>717487.5</v>
      </c>
    </row>
    <row r="18" spans="1:25" ht="72.599999999999994" customHeight="1" x14ac:dyDescent="0.2">
      <c r="A18" s="12" t="s">
        <v>76</v>
      </c>
      <c r="B18" s="51" t="s">
        <v>235</v>
      </c>
      <c r="C18" s="14"/>
      <c r="D18" s="15" t="s">
        <v>67</v>
      </c>
      <c r="E18" s="379" t="s">
        <v>273</v>
      </c>
      <c r="F18" s="380"/>
      <c r="G18" s="379" t="s">
        <v>266</v>
      </c>
      <c r="H18" s="380"/>
      <c r="I18" s="379" t="s">
        <v>273</v>
      </c>
      <c r="J18" s="380"/>
      <c r="K18" s="308" t="s">
        <v>283</v>
      </c>
      <c r="L18" s="309"/>
      <c r="M18" s="379" t="s">
        <v>273</v>
      </c>
      <c r="N18" s="380"/>
      <c r="O18" s="18"/>
      <c r="P18" s="34">
        <v>0</v>
      </c>
      <c r="Q18" s="34">
        <f t="shared" si="0"/>
        <v>0</v>
      </c>
      <c r="R18" s="34">
        <v>0</v>
      </c>
      <c r="S18" s="34">
        <f t="shared" si="1"/>
        <v>0</v>
      </c>
      <c r="T18" s="34">
        <v>0</v>
      </c>
      <c r="U18" s="34">
        <f t="shared" si="2"/>
        <v>0</v>
      </c>
      <c r="V18" s="18"/>
      <c r="W18" s="37">
        <v>0</v>
      </c>
      <c r="X18" s="34">
        <v>0</v>
      </c>
      <c r="Y18" s="34">
        <f>X18*W18</f>
        <v>0</v>
      </c>
    </row>
    <row r="19" spans="1:25" ht="52.7" customHeight="1" x14ac:dyDescent="0.2">
      <c r="A19" s="12" t="s">
        <v>77</v>
      </c>
      <c r="B19" s="51" t="s">
        <v>236</v>
      </c>
      <c r="C19" s="14">
        <v>263</v>
      </c>
      <c r="D19" s="15" t="s">
        <v>274</v>
      </c>
      <c r="E19" s="16">
        <v>0</v>
      </c>
      <c r="F19" s="17">
        <f>E19*C19</f>
        <v>0</v>
      </c>
      <c r="G19" s="49">
        <v>150</v>
      </c>
      <c r="H19" s="17">
        <f>G19*C19</f>
        <v>39450</v>
      </c>
      <c r="I19" s="379" t="s">
        <v>266</v>
      </c>
      <c r="J19" s="380"/>
      <c r="K19" s="49">
        <v>130</v>
      </c>
      <c r="L19" s="17">
        <f>K19*C19</f>
        <v>34190</v>
      </c>
      <c r="M19" s="49">
        <v>0</v>
      </c>
      <c r="N19" s="17">
        <f>M19*C19</f>
        <v>0</v>
      </c>
      <c r="O19" s="18"/>
      <c r="P19" s="34">
        <v>0</v>
      </c>
      <c r="Q19" s="34">
        <f t="shared" si="0"/>
        <v>0</v>
      </c>
      <c r="R19" s="34">
        <v>0</v>
      </c>
      <c r="S19" s="34">
        <f t="shared" si="1"/>
        <v>0</v>
      </c>
      <c r="T19" s="34">
        <v>0</v>
      </c>
      <c r="U19" s="34">
        <f t="shared" si="2"/>
        <v>0</v>
      </c>
      <c r="V19" s="18"/>
      <c r="W19" s="37">
        <v>0</v>
      </c>
      <c r="X19" s="34">
        <v>0</v>
      </c>
      <c r="Y19" s="34">
        <f>W19*X19</f>
        <v>0</v>
      </c>
    </row>
    <row r="20" spans="1:25" ht="52.7" customHeight="1" x14ac:dyDescent="0.2">
      <c r="A20" s="12">
        <v>5</v>
      </c>
      <c r="B20" s="51" t="s">
        <v>240</v>
      </c>
      <c r="C20" s="14">
        <v>0</v>
      </c>
      <c r="D20" s="15" t="s">
        <v>243</v>
      </c>
      <c r="E20" s="379" t="s">
        <v>273</v>
      </c>
      <c r="F20" s="380"/>
      <c r="G20" s="379" t="s">
        <v>273</v>
      </c>
      <c r="H20" s="380"/>
      <c r="I20" s="379" t="s">
        <v>273</v>
      </c>
      <c r="J20" s="380"/>
      <c r="K20" s="308" t="s">
        <v>251</v>
      </c>
      <c r="L20" s="309"/>
      <c r="M20" s="379" t="s">
        <v>273</v>
      </c>
      <c r="N20" s="380"/>
      <c r="O20" s="18"/>
      <c r="P20" s="34">
        <v>0</v>
      </c>
      <c r="Q20" s="34">
        <f t="shared" si="0"/>
        <v>0</v>
      </c>
      <c r="R20" s="34">
        <v>0</v>
      </c>
      <c r="S20" s="34">
        <f t="shared" si="1"/>
        <v>0</v>
      </c>
      <c r="T20" s="34">
        <v>0</v>
      </c>
      <c r="U20" s="34">
        <f t="shared" si="2"/>
        <v>0</v>
      </c>
      <c r="V20" s="18"/>
      <c r="W20" s="37">
        <v>0</v>
      </c>
      <c r="X20" s="34">
        <v>0</v>
      </c>
      <c r="Y20" s="34">
        <f t="shared" ref="Y20:Y34" si="4">W20*X20</f>
        <v>0</v>
      </c>
    </row>
    <row r="21" spans="1:25" ht="70.349999999999994" customHeight="1" x14ac:dyDescent="0.2">
      <c r="A21" s="12">
        <v>6</v>
      </c>
      <c r="B21" s="51" t="s">
        <v>241</v>
      </c>
      <c r="C21" s="14">
        <v>8.1199999999999992</v>
      </c>
      <c r="D21" s="15" t="s">
        <v>243</v>
      </c>
      <c r="E21" s="16">
        <v>0</v>
      </c>
      <c r="F21" s="17">
        <f>E21*C21</f>
        <v>0</v>
      </c>
      <c r="G21" s="308" t="s">
        <v>285</v>
      </c>
      <c r="H21" s="309"/>
      <c r="I21" s="381" t="s">
        <v>282</v>
      </c>
      <c r="J21" s="382"/>
      <c r="K21" s="308" t="s">
        <v>251</v>
      </c>
      <c r="L21" s="309"/>
      <c r="M21" s="49">
        <v>0</v>
      </c>
      <c r="N21" s="17">
        <f>M21*C21</f>
        <v>0</v>
      </c>
      <c r="O21" s="18"/>
      <c r="P21" s="34">
        <v>0</v>
      </c>
      <c r="Q21" s="34">
        <f t="shared" si="0"/>
        <v>0</v>
      </c>
      <c r="R21" s="34">
        <v>0</v>
      </c>
      <c r="S21" s="34">
        <f t="shared" si="1"/>
        <v>0</v>
      </c>
      <c r="T21" s="34">
        <v>0</v>
      </c>
      <c r="U21" s="34">
        <f t="shared" si="2"/>
        <v>0</v>
      </c>
      <c r="V21" s="18"/>
      <c r="W21" s="37">
        <v>0</v>
      </c>
      <c r="X21" s="34">
        <v>0</v>
      </c>
      <c r="Y21" s="34">
        <f t="shared" si="4"/>
        <v>0</v>
      </c>
    </row>
    <row r="22" spans="1:25" ht="70.349999999999994" customHeight="1" x14ac:dyDescent="0.2">
      <c r="A22" s="12">
        <v>6</v>
      </c>
      <c r="B22" s="51" t="s">
        <v>249</v>
      </c>
      <c r="C22" s="14">
        <v>2526.4</v>
      </c>
      <c r="D22" s="15" t="s">
        <v>243</v>
      </c>
      <c r="E22" s="381" t="s">
        <v>267</v>
      </c>
      <c r="F22" s="382"/>
      <c r="G22" s="49">
        <v>15</v>
      </c>
      <c r="H22" s="17">
        <f>G22*C22</f>
        <v>37896</v>
      </c>
      <c r="I22" s="383" t="s">
        <v>286</v>
      </c>
      <c r="J22" s="384"/>
      <c r="K22" s="383" t="s">
        <v>286</v>
      </c>
      <c r="L22" s="384"/>
      <c r="M22" s="383" t="s">
        <v>286</v>
      </c>
      <c r="N22" s="384"/>
      <c r="O22" s="18"/>
      <c r="P22" s="34">
        <v>0</v>
      </c>
      <c r="Q22" s="34">
        <f t="shared" si="0"/>
        <v>0</v>
      </c>
      <c r="R22" s="34">
        <v>0</v>
      </c>
      <c r="S22" s="34">
        <f t="shared" si="1"/>
        <v>0</v>
      </c>
      <c r="T22" s="34">
        <v>0</v>
      </c>
      <c r="U22" s="34">
        <f t="shared" si="2"/>
        <v>0</v>
      </c>
      <c r="V22" s="18"/>
      <c r="W22" s="37">
        <v>0</v>
      </c>
      <c r="X22" s="34">
        <v>0</v>
      </c>
      <c r="Y22" s="34">
        <f t="shared" si="4"/>
        <v>0</v>
      </c>
    </row>
    <row r="23" spans="1:25" s="101" customFormat="1" ht="21" customHeight="1" x14ac:dyDescent="0.2">
      <c r="A23" s="102"/>
      <c r="B23" s="103" t="s">
        <v>61</v>
      </c>
      <c r="C23" s="104"/>
      <c r="D23" s="105"/>
      <c r="E23" s="106"/>
      <c r="F23" s="107">
        <f>SUM(F24:F29)</f>
        <v>0</v>
      </c>
      <c r="G23" s="106"/>
      <c r="H23" s="107">
        <f>SUM(H24:H29)</f>
        <v>191118.8</v>
      </c>
      <c r="I23" s="106"/>
      <c r="J23" s="107">
        <f>SUM(J24:J29)</f>
        <v>90303.8</v>
      </c>
      <c r="K23" s="106"/>
      <c r="L23" s="107">
        <f>SUM(L24:L29)</f>
        <v>90306.8</v>
      </c>
      <c r="M23" s="106"/>
      <c r="N23" s="107">
        <f>SUM(N24:N29)</f>
        <v>157797.19999999998</v>
      </c>
      <c r="O23" s="108"/>
      <c r="P23" s="109"/>
      <c r="Q23" s="109"/>
      <c r="R23" s="109"/>
      <c r="S23" s="109"/>
      <c r="T23" s="109"/>
      <c r="U23" s="109"/>
      <c r="V23" s="108"/>
      <c r="W23" s="110"/>
      <c r="X23" s="109"/>
      <c r="Y23" s="109"/>
    </row>
    <row r="24" spans="1:25" ht="41.45" customHeight="1" x14ac:dyDescent="0.2">
      <c r="A24" s="12"/>
      <c r="B24" s="51" t="s">
        <v>237</v>
      </c>
      <c r="C24" s="14">
        <v>0</v>
      </c>
      <c r="D24" s="15" t="s">
        <v>69</v>
      </c>
      <c r="E24" s="383" t="s">
        <v>266</v>
      </c>
      <c r="F24" s="384"/>
      <c r="G24" s="49">
        <v>0</v>
      </c>
      <c r="H24" s="88">
        <f t="shared" ref="H24:H29" si="5">G24*C24</f>
        <v>0</v>
      </c>
      <c r="I24" s="383" t="s">
        <v>266</v>
      </c>
      <c r="J24" s="384"/>
      <c r="K24" s="308" t="s">
        <v>251</v>
      </c>
      <c r="L24" s="309"/>
      <c r="M24" s="383" t="s">
        <v>266</v>
      </c>
      <c r="N24" s="384"/>
      <c r="O24" s="59"/>
      <c r="P24" s="305" t="s">
        <v>109</v>
      </c>
      <c r="Q24" s="306"/>
      <c r="R24" s="38">
        <v>0</v>
      </c>
      <c r="S24" s="34">
        <f t="shared" ref="S24:S29" si="6">R24*C24</f>
        <v>0</v>
      </c>
      <c r="T24" s="38">
        <v>0</v>
      </c>
      <c r="U24" s="34">
        <f t="shared" ref="U24:U29" si="7">T24*C24</f>
        <v>0</v>
      </c>
      <c r="V24" s="18"/>
      <c r="W24" s="89">
        <v>0</v>
      </c>
      <c r="X24" s="38">
        <v>0</v>
      </c>
      <c r="Y24" s="34">
        <f t="shared" si="4"/>
        <v>0</v>
      </c>
    </row>
    <row r="25" spans="1:25" ht="34.35" customHeight="1" x14ac:dyDescent="0.2">
      <c r="A25" s="12"/>
      <c r="B25" s="51" t="s">
        <v>239</v>
      </c>
      <c r="C25" s="14">
        <v>172</v>
      </c>
      <c r="D25" s="15" t="s">
        <v>274</v>
      </c>
      <c r="E25" s="49">
        <v>0</v>
      </c>
      <c r="F25" s="88">
        <f t="shared" ref="F25:F34" si="8">E25*C25</f>
        <v>0</v>
      </c>
      <c r="G25" s="49">
        <v>285</v>
      </c>
      <c r="H25" s="88">
        <f t="shared" si="5"/>
        <v>49020</v>
      </c>
      <c r="I25" s="383" t="s">
        <v>266</v>
      </c>
      <c r="J25" s="384"/>
      <c r="K25" s="49">
        <v>0</v>
      </c>
      <c r="L25" s="17">
        <f t="shared" ref="L25:L29" si="9">K25*C25</f>
        <v>0</v>
      </c>
      <c r="M25" s="49">
        <v>210</v>
      </c>
      <c r="N25" s="17">
        <f>M25*C25</f>
        <v>36120</v>
      </c>
      <c r="O25" s="59"/>
      <c r="P25" s="38">
        <v>0</v>
      </c>
      <c r="Q25" s="34">
        <f>P25*C25</f>
        <v>0</v>
      </c>
      <c r="R25" s="38">
        <v>0</v>
      </c>
      <c r="S25" s="34">
        <f t="shared" si="6"/>
        <v>0</v>
      </c>
      <c r="T25" s="38">
        <v>0</v>
      </c>
      <c r="U25" s="34">
        <f t="shared" si="7"/>
        <v>0</v>
      </c>
      <c r="V25" s="18"/>
      <c r="W25" s="89">
        <v>0</v>
      </c>
      <c r="X25" s="38">
        <v>0</v>
      </c>
      <c r="Y25" s="34">
        <f t="shared" si="4"/>
        <v>0</v>
      </c>
    </row>
    <row r="26" spans="1:25" ht="34.700000000000003" customHeight="1" x14ac:dyDescent="0.2">
      <c r="A26" s="12"/>
      <c r="B26" s="51" t="s">
        <v>238</v>
      </c>
      <c r="C26" s="14">
        <v>0</v>
      </c>
      <c r="D26" s="15" t="s">
        <v>110</v>
      </c>
      <c r="E26" s="308" t="s">
        <v>266</v>
      </c>
      <c r="F26" s="309"/>
      <c r="G26" s="49">
        <v>0</v>
      </c>
      <c r="H26" s="88">
        <f t="shared" si="5"/>
        <v>0</v>
      </c>
      <c r="I26" s="308" t="s">
        <v>266</v>
      </c>
      <c r="J26" s="309"/>
      <c r="K26" s="308" t="s">
        <v>284</v>
      </c>
      <c r="L26" s="309"/>
      <c r="M26" s="308" t="s">
        <v>266</v>
      </c>
      <c r="N26" s="309"/>
      <c r="O26" s="59"/>
      <c r="P26" s="38">
        <v>30</v>
      </c>
      <c r="Q26" s="34">
        <f>P26*C26</f>
        <v>0</v>
      </c>
      <c r="R26" s="38">
        <v>0</v>
      </c>
      <c r="S26" s="34">
        <f t="shared" si="6"/>
        <v>0</v>
      </c>
      <c r="T26" s="38">
        <v>0</v>
      </c>
      <c r="U26" s="34">
        <f t="shared" si="7"/>
        <v>0</v>
      </c>
      <c r="V26" s="18"/>
      <c r="W26" s="89">
        <v>0</v>
      </c>
      <c r="X26" s="38">
        <v>0</v>
      </c>
      <c r="Y26" s="34">
        <f t="shared" si="4"/>
        <v>0</v>
      </c>
    </row>
    <row r="27" spans="1:25" ht="18.75" customHeight="1" x14ac:dyDescent="0.2">
      <c r="A27" s="12"/>
      <c r="B27" s="51" t="s">
        <v>268</v>
      </c>
      <c r="C27" s="14">
        <v>754.98</v>
      </c>
      <c r="D27" s="15" t="s">
        <v>110</v>
      </c>
      <c r="E27" s="49">
        <v>0</v>
      </c>
      <c r="F27" s="88">
        <f>E27*C27</f>
        <v>0</v>
      </c>
      <c r="G27" s="49">
        <v>60</v>
      </c>
      <c r="H27" s="88">
        <f t="shared" si="5"/>
        <v>45298.8</v>
      </c>
      <c r="I27" s="49">
        <v>60</v>
      </c>
      <c r="J27" s="17">
        <f>I27*C27</f>
        <v>45298.8</v>
      </c>
      <c r="K27" s="49">
        <v>60</v>
      </c>
      <c r="L27" s="17">
        <f t="shared" si="9"/>
        <v>45298.8</v>
      </c>
      <c r="M27" s="49">
        <v>85</v>
      </c>
      <c r="N27" s="17">
        <f>M27*C27</f>
        <v>64173.3</v>
      </c>
      <c r="O27" s="59"/>
      <c r="P27" s="38">
        <v>0</v>
      </c>
      <c r="Q27" s="34">
        <f>P27*C27</f>
        <v>0</v>
      </c>
      <c r="R27" s="38">
        <v>0</v>
      </c>
      <c r="S27" s="34">
        <f t="shared" si="6"/>
        <v>0</v>
      </c>
      <c r="T27" s="38">
        <v>0</v>
      </c>
      <c r="U27" s="34">
        <f t="shared" si="7"/>
        <v>0</v>
      </c>
      <c r="V27" s="18"/>
      <c r="W27" s="89">
        <v>0</v>
      </c>
      <c r="X27" s="38">
        <v>0</v>
      </c>
      <c r="Y27" s="34">
        <f t="shared" si="4"/>
        <v>0</v>
      </c>
    </row>
    <row r="28" spans="1:25" ht="18.75" customHeight="1" x14ac:dyDescent="0.2">
      <c r="A28" s="12"/>
      <c r="B28" s="51" t="s">
        <v>270</v>
      </c>
      <c r="C28" s="14">
        <v>5</v>
      </c>
      <c r="D28" s="15" t="s">
        <v>272</v>
      </c>
      <c r="E28" s="49">
        <v>0</v>
      </c>
      <c r="F28" s="88">
        <f>E28*C28</f>
        <v>0</v>
      </c>
      <c r="G28" s="49">
        <v>19360</v>
      </c>
      <c r="H28" s="88">
        <f t="shared" si="5"/>
        <v>96800</v>
      </c>
      <c r="I28" s="49">
        <v>9000</v>
      </c>
      <c r="J28" s="17">
        <f>I28*C28</f>
        <v>45000</v>
      </c>
      <c r="K28" s="49">
        <v>9000</v>
      </c>
      <c r="L28" s="17">
        <f t="shared" si="9"/>
        <v>45000</v>
      </c>
      <c r="M28" s="49">
        <v>11500</v>
      </c>
      <c r="N28" s="17">
        <f>M28*C28</f>
        <v>57500</v>
      </c>
      <c r="O28" s="59"/>
      <c r="P28" s="38">
        <v>0</v>
      </c>
      <c r="Q28" s="34">
        <f>P28*C28</f>
        <v>0</v>
      </c>
      <c r="R28" s="38">
        <v>0</v>
      </c>
      <c r="S28" s="34">
        <f t="shared" si="6"/>
        <v>0</v>
      </c>
      <c r="T28" s="38">
        <v>0</v>
      </c>
      <c r="U28" s="34">
        <f t="shared" si="7"/>
        <v>0</v>
      </c>
      <c r="V28" s="18"/>
      <c r="W28" s="89">
        <v>13</v>
      </c>
      <c r="X28" s="38">
        <f>74117/W28</f>
        <v>5701.3076923076924</v>
      </c>
      <c r="Y28" s="34">
        <f>X28*W28</f>
        <v>74117</v>
      </c>
    </row>
    <row r="29" spans="1:25" ht="18.75" customHeight="1" x14ac:dyDescent="0.2">
      <c r="A29" s="12"/>
      <c r="B29" s="51" t="s">
        <v>275</v>
      </c>
      <c r="C29" s="14">
        <v>1</v>
      </c>
      <c r="D29" s="15" t="s">
        <v>67</v>
      </c>
      <c r="E29" s="49">
        <v>0</v>
      </c>
      <c r="F29" s="88">
        <f t="shared" si="8"/>
        <v>0</v>
      </c>
      <c r="G29" s="49">
        <v>0</v>
      </c>
      <c r="H29" s="88">
        <f t="shared" si="5"/>
        <v>0</v>
      </c>
      <c r="I29" s="49">
        <v>5</v>
      </c>
      <c r="J29" s="17">
        <f>I29*C29</f>
        <v>5</v>
      </c>
      <c r="K29" s="49">
        <v>8</v>
      </c>
      <c r="L29" s="17">
        <f t="shared" si="9"/>
        <v>8</v>
      </c>
      <c r="M29" s="49">
        <v>3.9</v>
      </c>
      <c r="N29" s="17">
        <f>M29*C29</f>
        <v>3.9</v>
      </c>
      <c r="O29" s="59"/>
      <c r="P29" s="38">
        <v>0</v>
      </c>
      <c r="Q29" s="34">
        <f>P29*C29</f>
        <v>0</v>
      </c>
      <c r="R29" s="38">
        <v>0</v>
      </c>
      <c r="S29" s="34">
        <f t="shared" si="6"/>
        <v>0</v>
      </c>
      <c r="T29" s="38">
        <v>0</v>
      </c>
      <c r="U29" s="34">
        <f t="shared" si="7"/>
        <v>0</v>
      </c>
      <c r="V29" s="18"/>
      <c r="W29" s="89">
        <v>0</v>
      </c>
      <c r="X29" s="38">
        <v>0</v>
      </c>
      <c r="Y29" s="34">
        <f t="shared" si="4"/>
        <v>0</v>
      </c>
    </row>
    <row r="30" spans="1:25" s="101" customFormat="1" ht="18.75" customHeight="1" x14ac:dyDescent="0.2">
      <c r="A30" s="102"/>
      <c r="B30" s="103" t="s">
        <v>97</v>
      </c>
      <c r="C30" s="104"/>
      <c r="D30" s="105"/>
      <c r="E30" s="106"/>
      <c r="F30" s="107">
        <f>SUM(F31:F34)</f>
        <v>0</v>
      </c>
      <c r="G30" s="106"/>
      <c r="H30" s="107">
        <f>SUM(H31:H36)</f>
        <v>0</v>
      </c>
      <c r="I30" s="106"/>
      <c r="J30" s="107">
        <f>SUM(J31:J36)</f>
        <v>0</v>
      </c>
      <c r="K30" s="106"/>
      <c r="L30" s="107">
        <f>SUM(L31:L36)</f>
        <v>0</v>
      </c>
      <c r="M30" s="106"/>
      <c r="N30" s="107">
        <f>SUM(N31:N36)</f>
        <v>0</v>
      </c>
      <c r="O30" s="108"/>
      <c r="P30" s="109"/>
      <c r="Q30" s="109"/>
      <c r="R30" s="109"/>
      <c r="S30" s="109"/>
      <c r="T30" s="109"/>
      <c r="U30" s="109"/>
      <c r="V30" s="108"/>
      <c r="W30" s="110"/>
      <c r="X30" s="109"/>
      <c r="Y30" s="109"/>
    </row>
    <row r="31" spans="1:25" ht="18.75" customHeight="1" x14ac:dyDescent="0.2">
      <c r="A31" s="12"/>
      <c r="B31" s="51" t="s">
        <v>59</v>
      </c>
      <c r="C31" s="14">
        <v>0</v>
      </c>
      <c r="D31" s="15" t="s">
        <v>68</v>
      </c>
      <c r="E31" s="16">
        <v>0</v>
      </c>
      <c r="F31" s="88">
        <f t="shared" si="8"/>
        <v>0</v>
      </c>
      <c r="G31" s="49">
        <v>0</v>
      </c>
      <c r="H31" s="88">
        <f>G31*C31</f>
        <v>0</v>
      </c>
      <c r="I31" s="49">
        <v>270</v>
      </c>
      <c r="J31" s="17">
        <f>I31*C31</f>
        <v>0</v>
      </c>
      <c r="K31" s="49">
        <v>0</v>
      </c>
      <c r="L31" s="17">
        <f>K31*C31</f>
        <v>0</v>
      </c>
      <c r="M31" s="49">
        <v>425</v>
      </c>
      <c r="N31" s="17">
        <f>M31*C31</f>
        <v>0</v>
      </c>
      <c r="O31" s="18"/>
      <c r="P31" s="34">
        <v>0</v>
      </c>
      <c r="Q31" s="34">
        <f>P31*C31</f>
        <v>0</v>
      </c>
      <c r="R31" s="34">
        <v>0</v>
      </c>
      <c r="S31" s="34">
        <f>R31*C31</f>
        <v>0</v>
      </c>
      <c r="T31" s="34">
        <v>0</v>
      </c>
      <c r="U31" s="34">
        <f>T31*C31</f>
        <v>0</v>
      </c>
      <c r="V31" s="18"/>
      <c r="W31" s="37">
        <v>0</v>
      </c>
      <c r="X31" s="34">
        <v>0</v>
      </c>
      <c r="Y31" s="34">
        <f t="shared" si="4"/>
        <v>0</v>
      </c>
    </row>
    <row r="32" spans="1:25" ht="18.75" customHeight="1" x14ac:dyDescent="0.2">
      <c r="A32" s="12"/>
      <c r="B32" s="51" t="s">
        <v>65</v>
      </c>
      <c r="C32" s="14">
        <v>0</v>
      </c>
      <c r="D32" s="15" t="s">
        <v>68</v>
      </c>
      <c r="E32" s="16">
        <v>0</v>
      </c>
      <c r="F32" s="88">
        <f t="shared" si="8"/>
        <v>0</v>
      </c>
      <c r="G32" s="49">
        <v>0</v>
      </c>
      <c r="H32" s="88">
        <f>G32*C32</f>
        <v>0</v>
      </c>
      <c r="I32" s="49">
        <v>300</v>
      </c>
      <c r="J32" s="17">
        <f>I32*C32</f>
        <v>0</v>
      </c>
      <c r="K32" s="49">
        <v>0</v>
      </c>
      <c r="L32" s="17">
        <f>K32*C32</f>
        <v>0</v>
      </c>
      <c r="M32" s="49">
        <v>559</v>
      </c>
      <c r="N32" s="17">
        <f>M32*C32</f>
        <v>0</v>
      </c>
      <c r="O32" s="18"/>
      <c r="P32" s="34">
        <v>0</v>
      </c>
      <c r="Q32" s="34">
        <f>P32*C32</f>
        <v>0</v>
      </c>
      <c r="R32" s="34">
        <v>0</v>
      </c>
      <c r="S32" s="34">
        <f>R32*C32</f>
        <v>0</v>
      </c>
      <c r="T32" s="34">
        <v>0</v>
      </c>
      <c r="U32" s="34">
        <f>T32*C32</f>
        <v>0</v>
      </c>
      <c r="V32" s="18"/>
      <c r="W32" s="37">
        <v>0</v>
      </c>
      <c r="X32" s="34">
        <v>0</v>
      </c>
      <c r="Y32" s="34">
        <f t="shared" si="4"/>
        <v>0</v>
      </c>
    </row>
    <row r="33" spans="1:29" ht="20.25" customHeight="1" x14ac:dyDescent="0.2">
      <c r="A33" s="12"/>
      <c r="B33" s="13" t="s">
        <v>60</v>
      </c>
      <c r="C33" s="14">
        <v>0</v>
      </c>
      <c r="D33" s="15" t="s">
        <v>68</v>
      </c>
      <c r="E33" s="16">
        <v>0</v>
      </c>
      <c r="F33" s="88">
        <f t="shared" si="8"/>
        <v>0</v>
      </c>
      <c r="G33" s="49">
        <v>0</v>
      </c>
      <c r="H33" s="88">
        <f>G33*C33</f>
        <v>0</v>
      </c>
      <c r="I33" s="49">
        <v>400</v>
      </c>
      <c r="J33" s="17">
        <f>I33*C33</f>
        <v>0</v>
      </c>
      <c r="K33" s="49">
        <v>0</v>
      </c>
      <c r="L33" s="17">
        <f>K33*C33</f>
        <v>0</v>
      </c>
      <c r="M33" s="49">
        <v>725</v>
      </c>
      <c r="N33" s="17">
        <f>M33*C33</f>
        <v>0</v>
      </c>
      <c r="O33" s="18"/>
      <c r="P33" s="34">
        <v>0</v>
      </c>
      <c r="Q33" s="34">
        <f>P33*C33</f>
        <v>0</v>
      </c>
      <c r="R33" s="34">
        <v>0</v>
      </c>
      <c r="S33" s="34">
        <f>R33*C33</f>
        <v>0</v>
      </c>
      <c r="T33" s="34">
        <v>0</v>
      </c>
      <c r="U33" s="34">
        <f>T33*C33</f>
        <v>0</v>
      </c>
      <c r="V33" s="18"/>
      <c r="W33" s="37">
        <v>0</v>
      </c>
      <c r="X33" s="38">
        <v>0</v>
      </c>
      <c r="Y33" s="34">
        <f t="shared" si="4"/>
        <v>0</v>
      </c>
    </row>
    <row r="34" spans="1:29" ht="20.25" customHeight="1" x14ac:dyDescent="0.2">
      <c r="A34" s="12"/>
      <c r="B34" s="13" t="s">
        <v>64</v>
      </c>
      <c r="C34" s="14">
        <v>0</v>
      </c>
      <c r="D34" s="15" t="s">
        <v>70</v>
      </c>
      <c r="E34" s="16">
        <v>0</v>
      </c>
      <c r="F34" s="88">
        <f t="shared" si="8"/>
        <v>0</v>
      </c>
      <c r="G34" s="16">
        <v>0</v>
      </c>
      <c r="H34" s="88">
        <f>G34*C34</f>
        <v>0</v>
      </c>
      <c r="I34" s="16">
        <v>0</v>
      </c>
      <c r="J34" s="17">
        <f>I34*C34</f>
        <v>0</v>
      </c>
      <c r="K34" s="16">
        <v>0</v>
      </c>
      <c r="L34" s="17">
        <f>K34*C34</f>
        <v>0</v>
      </c>
      <c r="M34" s="16">
        <v>0</v>
      </c>
      <c r="N34" s="17">
        <f>M34*C34</f>
        <v>0</v>
      </c>
      <c r="O34" s="18"/>
      <c r="P34" s="34">
        <v>0</v>
      </c>
      <c r="Q34" s="34">
        <f>P34*C34</f>
        <v>0</v>
      </c>
      <c r="R34" s="34">
        <v>0</v>
      </c>
      <c r="S34" s="34">
        <f>R34*C34</f>
        <v>0</v>
      </c>
      <c r="T34" s="34">
        <v>0</v>
      </c>
      <c r="U34" s="34">
        <f>T34*C34</f>
        <v>0</v>
      </c>
      <c r="V34" s="18"/>
      <c r="W34" s="37">
        <v>0</v>
      </c>
      <c r="X34" s="38">
        <v>0</v>
      </c>
      <c r="Y34" s="34">
        <f t="shared" si="4"/>
        <v>0</v>
      </c>
    </row>
    <row r="35" spans="1:29" ht="20.25" customHeight="1" x14ac:dyDescent="0.2">
      <c r="A35" s="12"/>
      <c r="B35" s="13"/>
      <c r="C35" s="14"/>
      <c r="D35" s="15"/>
      <c r="E35" s="16"/>
      <c r="F35" s="88"/>
      <c r="G35" s="16"/>
      <c r="H35" s="88"/>
      <c r="I35" s="16"/>
      <c r="J35" s="17"/>
      <c r="K35" s="16"/>
      <c r="L35" s="17"/>
      <c r="M35" s="16"/>
      <c r="N35" s="17"/>
      <c r="O35" s="18"/>
      <c r="P35" s="34"/>
      <c r="Q35" s="34"/>
      <c r="R35" s="34"/>
      <c r="S35" s="34"/>
      <c r="T35" s="34"/>
      <c r="U35" s="34"/>
      <c r="V35" s="18"/>
      <c r="W35" s="37"/>
      <c r="X35" s="38"/>
      <c r="Y35" s="34"/>
    </row>
    <row r="36" spans="1:29" ht="19.350000000000001" customHeight="1" x14ac:dyDescent="0.2">
      <c r="A36" s="12"/>
      <c r="B36" s="13" t="s">
        <v>228</v>
      </c>
      <c r="C36" s="14">
        <v>0</v>
      </c>
      <c r="D36" s="15"/>
      <c r="E36" s="16"/>
      <c r="F36" s="162" t="e">
        <f>+E39/$C$36</f>
        <v>#DIV/0!</v>
      </c>
      <c r="G36" s="16"/>
      <c r="H36" s="17"/>
      <c r="I36" s="16"/>
      <c r="J36" s="17"/>
      <c r="K36" s="16"/>
      <c r="L36" s="17"/>
      <c r="M36" s="16"/>
      <c r="N36" s="17"/>
      <c r="O36" s="18"/>
      <c r="P36" s="34"/>
      <c r="Q36" s="34"/>
      <c r="R36" s="34"/>
      <c r="S36" s="34"/>
      <c r="T36" s="34"/>
      <c r="U36" s="34"/>
      <c r="V36" s="18"/>
      <c r="W36" s="37"/>
      <c r="X36" s="38"/>
      <c r="Y36" s="34"/>
    </row>
    <row r="37" spans="1:29" ht="20.100000000000001" customHeight="1" x14ac:dyDescent="0.2">
      <c r="A37" s="316" t="s">
        <v>37</v>
      </c>
      <c r="B37" s="317"/>
      <c r="C37" s="317"/>
      <c r="D37" s="318"/>
      <c r="E37" s="254">
        <f>SUM(F15:F34)</f>
        <v>0</v>
      </c>
      <c r="F37" s="255"/>
      <c r="G37" s="254">
        <f>G39</f>
        <v>6301836.8804000001</v>
      </c>
      <c r="H37" s="255"/>
      <c r="I37" s="254">
        <v>6557547.5999999996</v>
      </c>
      <c r="J37" s="255"/>
      <c r="K37" s="254">
        <f>K39</f>
        <v>6876977.1000000006</v>
      </c>
      <c r="L37" s="255"/>
      <c r="M37" s="254">
        <f>M39</f>
        <v>6308465.9000000013</v>
      </c>
      <c r="N37" s="255"/>
      <c r="O37" s="19"/>
      <c r="P37" s="307">
        <f>SUM(Q15:Q34)</f>
        <v>5617479.182000001</v>
      </c>
      <c r="Q37" s="307"/>
      <c r="R37" s="307">
        <f>SUM(S15:S34)</f>
        <v>0</v>
      </c>
      <c r="S37" s="307"/>
      <c r="T37" s="307">
        <f>SUM(U15:U34)</f>
        <v>0</v>
      </c>
      <c r="U37" s="307"/>
      <c r="V37" s="19"/>
      <c r="W37" s="333" t="s">
        <v>21</v>
      </c>
      <c r="X37" s="333"/>
      <c r="Y37" s="70">
        <f>SUM(Y15:Y34)</f>
        <v>5862241.5</v>
      </c>
    </row>
    <row r="38" spans="1:29" ht="20.100000000000001" customHeight="1" x14ac:dyDescent="0.2">
      <c r="A38" s="316" t="s">
        <v>8</v>
      </c>
      <c r="B38" s="317"/>
      <c r="C38" s="317"/>
      <c r="D38" s="318"/>
      <c r="E38" s="256">
        <v>0</v>
      </c>
      <c r="F38" s="257"/>
      <c r="G38" s="256">
        <f>G37-G39</f>
        <v>0</v>
      </c>
      <c r="H38" s="257"/>
      <c r="I38" s="256">
        <f>I37-I39</f>
        <v>767414.21999999974</v>
      </c>
      <c r="J38" s="257"/>
      <c r="K38" s="256">
        <v>0</v>
      </c>
      <c r="L38" s="257"/>
      <c r="M38" s="256">
        <v>0</v>
      </c>
      <c r="N38" s="257"/>
      <c r="O38" s="4"/>
      <c r="P38" s="307">
        <f>P39-P37</f>
        <v>0</v>
      </c>
      <c r="Q38" s="307"/>
      <c r="R38" s="307">
        <f>R39-R37</f>
        <v>0</v>
      </c>
      <c r="S38" s="307"/>
      <c r="T38" s="331">
        <f>T39-T37</f>
        <v>0</v>
      </c>
      <c r="U38" s="332"/>
      <c r="V38" s="19"/>
      <c r="W38" s="333" t="s">
        <v>51</v>
      </c>
      <c r="X38" s="333"/>
      <c r="Y38" s="39">
        <f>Y37*(Y11/Y9)</f>
        <v>6161711.1553175524</v>
      </c>
    </row>
    <row r="39" spans="1:29" ht="20.100000000000001" customHeight="1" x14ac:dyDescent="0.2">
      <c r="A39" s="316" t="s">
        <v>36</v>
      </c>
      <c r="B39" s="317"/>
      <c r="C39" s="317"/>
      <c r="D39" s="318"/>
      <c r="E39" s="254">
        <f>F30+F23+F14</f>
        <v>0</v>
      </c>
      <c r="F39" s="258"/>
      <c r="G39" s="254">
        <f>H30+H23+H14</f>
        <v>6301836.8804000001</v>
      </c>
      <c r="H39" s="258"/>
      <c r="I39" s="254">
        <f>J30+J23+J14</f>
        <v>5790133.3799999999</v>
      </c>
      <c r="J39" s="258"/>
      <c r="K39" s="254">
        <f>L30+L23+L14</f>
        <v>6876977.1000000006</v>
      </c>
      <c r="L39" s="258"/>
      <c r="M39" s="254">
        <f>N30+N23+N14</f>
        <v>6308465.9000000013</v>
      </c>
      <c r="N39" s="258"/>
      <c r="O39" s="4"/>
      <c r="P39" s="307">
        <f>SUM(Q15:Q34)</f>
        <v>5617479.182000001</v>
      </c>
      <c r="Q39" s="269"/>
      <c r="R39" s="307">
        <f>SUM(S15:S34)</f>
        <v>0</v>
      </c>
      <c r="S39" s="269"/>
      <c r="T39" s="307">
        <f>SUM(U15:U34)</f>
        <v>0</v>
      </c>
      <c r="U39" s="269"/>
      <c r="V39" s="4"/>
      <c r="W39" s="334"/>
      <c r="X39" s="335"/>
      <c r="Y39" s="336"/>
    </row>
    <row r="40" spans="1:29" ht="20.100000000000001" customHeight="1" x14ac:dyDescent="0.2">
      <c r="A40" s="20"/>
      <c r="B40" s="21"/>
      <c r="C40" s="21"/>
      <c r="D40" s="22" t="s">
        <v>45</v>
      </c>
      <c r="E40" s="259" t="e">
        <f>E38/E39</f>
        <v>#DIV/0!</v>
      </c>
      <c r="F40" s="260"/>
      <c r="G40" s="259">
        <f>G38/G39</f>
        <v>0</v>
      </c>
      <c r="H40" s="260"/>
      <c r="I40" s="259">
        <f>I38/I39</f>
        <v>0.13253826287504275</v>
      </c>
      <c r="J40" s="260"/>
      <c r="K40" s="259">
        <f>K38/K39</f>
        <v>0</v>
      </c>
      <c r="L40" s="260"/>
      <c r="M40" s="259">
        <f>M38/M39</f>
        <v>0</v>
      </c>
      <c r="N40" s="260"/>
      <c r="O40" s="65"/>
      <c r="P40" s="331"/>
      <c r="Q40" s="332"/>
      <c r="R40" s="331"/>
      <c r="S40" s="332"/>
      <c r="T40" s="331"/>
      <c r="U40" s="332"/>
      <c r="V40" s="19"/>
      <c r="W40" s="307" t="s">
        <v>27</v>
      </c>
      <c r="X40" s="307"/>
      <c r="Y40" s="307"/>
    </row>
    <row r="41" spans="1:29" ht="21.95" customHeight="1" x14ac:dyDescent="0.2">
      <c r="A41" s="351" t="s">
        <v>7</v>
      </c>
      <c r="B41" s="352"/>
      <c r="C41" s="352"/>
      <c r="D41" s="353"/>
      <c r="E41" s="261">
        <f>(E39/Y38)-1</f>
        <v>-1</v>
      </c>
      <c r="F41" s="262"/>
      <c r="G41" s="261">
        <f>(G39/Y38)-1</f>
        <v>2.2741365434100214E-2</v>
      </c>
      <c r="H41" s="262"/>
      <c r="I41" s="261">
        <f>(I39/Y37)-1</f>
        <v>-1.2300434910434865E-2</v>
      </c>
      <c r="J41" s="262"/>
      <c r="K41" s="261" t="e">
        <f>(K39/W38)-1</f>
        <v>#VALUE!</v>
      </c>
      <c r="L41" s="262"/>
      <c r="M41" s="261" t="e">
        <f>(M39/W38)-1</f>
        <v>#VALUE!</v>
      </c>
      <c r="N41" s="262"/>
      <c r="O41" s="23"/>
      <c r="P41" s="337">
        <f>(P39/$Y$38)-1</f>
        <v>-8.8324811014206639E-2</v>
      </c>
      <c r="Q41" s="337"/>
      <c r="R41" s="337">
        <f>(R39/$Y$38)-1</f>
        <v>-1</v>
      </c>
      <c r="S41" s="337"/>
      <c r="T41" s="338">
        <f>(T39/$Y$38)-1</f>
        <v>-1</v>
      </c>
      <c r="U41" s="339"/>
      <c r="V41" s="23"/>
      <c r="W41" s="354">
        <f>I39-Y37</f>
        <v>-72108.120000000112</v>
      </c>
      <c r="X41" s="354"/>
      <c r="Y41" s="354"/>
    </row>
    <row r="42" spans="1:29" ht="24.75" customHeight="1" x14ac:dyDescent="0.2">
      <c r="A42" s="348" t="s">
        <v>11</v>
      </c>
      <c r="B42" s="349"/>
      <c r="C42" s="349"/>
      <c r="D42" s="350"/>
      <c r="E42" s="252" t="s">
        <v>52</v>
      </c>
      <c r="F42" s="253"/>
      <c r="G42" s="252" t="s">
        <v>52</v>
      </c>
      <c r="H42" s="253"/>
      <c r="I42" s="252" t="s">
        <v>52</v>
      </c>
      <c r="J42" s="253"/>
      <c r="K42" s="252" t="s">
        <v>52</v>
      </c>
      <c r="L42" s="253"/>
      <c r="M42" s="252" t="s">
        <v>52</v>
      </c>
      <c r="N42" s="253"/>
      <c r="O42" s="24"/>
      <c r="P42" s="340" t="s">
        <v>35</v>
      </c>
      <c r="Q42" s="340"/>
      <c r="R42" s="340" t="s">
        <v>35</v>
      </c>
      <c r="S42" s="340"/>
      <c r="T42" s="341" t="s">
        <v>35</v>
      </c>
      <c r="U42" s="342"/>
      <c r="V42" s="24"/>
      <c r="W42" s="347" t="s">
        <v>33</v>
      </c>
      <c r="X42" s="347"/>
      <c r="Y42" s="347"/>
    </row>
    <row r="43" spans="1:29" ht="24.75" customHeight="1" x14ac:dyDescent="0.2">
      <c r="A43" s="348" t="s">
        <v>44</v>
      </c>
      <c r="B43" s="349"/>
      <c r="C43" s="349"/>
      <c r="D43" s="350"/>
      <c r="E43" s="252" t="s">
        <v>53</v>
      </c>
      <c r="F43" s="253"/>
      <c r="G43" s="252" t="s">
        <v>53</v>
      </c>
      <c r="H43" s="253"/>
      <c r="I43" s="252" t="s">
        <v>53</v>
      </c>
      <c r="J43" s="253"/>
      <c r="K43" s="252" t="s">
        <v>53</v>
      </c>
      <c r="L43" s="253"/>
      <c r="M43" s="252" t="s">
        <v>53</v>
      </c>
      <c r="N43" s="253"/>
      <c r="O43" s="24"/>
      <c r="P43" s="340"/>
      <c r="Q43" s="340"/>
      <c r="R43" s="340"/>
      <c r="S43" s="340"/>
      <c r="T43" s="343"/>
      <c r="U43" s="344"/>
      <c r="V43" s="24"/>
      <c r="W43" s="347"/>
      <c r="X43" s="347"/>
      <c r="Y43" s="347"/>
    </row>
    <row r="44" spans="1:29" ht="24.75" customHeight="1" x14ac:dyDescent="0.2">
      <c r="A44" s="348" t="s">
        <v>38</v>
      </c>
      <c r="B44" s="349"/>
      <c r="C44" s="349"/>
      <c r="D44" s="350"/>
      <c r="E44" s="252" t="s">
        <v>54</v>
      </c>
      <c r="F44" s="253"/>
      <c r="G44" s="252" t="s">
        <v>54</v>
      </c>
      <c r="H44" s="253"/>
      <c r="I44" s="252" t="s">
        <v>54</v>
      </c>
      <c r="J44" s="253"/>
      <c r="K44" s="252" t="s">
        <v>54</v>
      </c>
      <c r="L44" s="253"/>
      <c r="M44" s="252" t="s">
        <v>54</v>
      </c>
      <c r="N44" s="253"/>
      <c r="O44" s="24"/>
      <c r="P44" s="340"/>
      <c r="Q44" s="340"/>
      <c r="R44" s="340"/>
      <c r="S44" s="340"/>
      <c r="T44" s="345"/>
      <c r="U44" s="346"/>
      <c r="V44" s="24"/>
      <c r="W44" s="347"/>
      <c r="X44" s="347"/>
      <c r="Y44" s="347"/>
      <c r="AC44" s="191"/>
    </row>
    <row r="45" spans="1:29" ht="24.75" customHeight="1" x14ac:dyDescent="0.2">
      <c r="A45" s="348" t="s">
        <v>50</v>
      </c>
      <c r="B45" s="349"/>
      <c r="C45" s="349"/>
      <c r="D45" s="350"/>
      <c r="E45" s="263" t="s">
        <v>52</v>
      </c>
      <c r="F45" s="236"/>
      <c r="G45" s="263" t="s">
        <v>52</v>
      </c>
      <c r="H45" s="236"/>
      <c r="I45" s="263" t="s">
        <v>52</v>
      </c>
      <c r="J45" s="236"/>
      <c r="K45" s="263" t="s">
        <v>52</v>
      </c>
      <c r="L45" s="236"/>
      <c r="M45" s="263" t="s">
        <v>52</v>
      </c>
      <c r="N45" s="236"/>
      <c r="O45" s="66"/>
      <c r="P45" s="40"/>
      <c r="Q45" s="41"/>
      <c r="R45" s="40"/>
      <c r="S45" s="41"/>
      <c r="T45" s="40"/>
      <c r="U45" s="41"/>
      <c r="V45" s="24"/>
      <c r="W45" s="73"/>
      <c r="X45" s="74"/>
      <c r="Y45" s="75"/>
      <c r="AC45" s="191"/>
    </row>
    <row r="46" spans="1:29" ht="24.75" customHeight="1" x14ac:dyDescent="0.2">
      <c r="A46" s="348" t="s">
        <v>34</v>
      </c>
      <c r="B46" s="349"/>
      <c r="C46" s="349"/>
      <c r="D46" s="350"/>
      <c r="E46" s="355"/>
      <c r="F46" s="356"/>
      <c r="G46" s="355"/>
      <c r="H46" s="356"/>
      <c r="I46" s="355"/>
      <c r="J46" s="356"/>
      <c r="K46" s="355"/>
      <c r="L46" s="356"/>
      <c r="M46" s="355"/>
      <c r="N46" s="356"/>
      <c r="O46" s="67"/>
      <c r="P46" s="42" t="s">
        <v>39</v>
      </c>
      <c r="Q46" s="90"/>
      <c r="R46" s="42" t="s">
        <v>39</v>
      </c>
      <c r="S46" s="90"/>
      <c r="T46" s="42" t="s">
        <v>39</v>
      </c>
      <c r="U46" s="90"/>
      <c r="V46" s="24"/>
      <c r="W46" s="76"/>
      <c r="X46" s="77"/>
      <c r="Y46" s="78"/>
    </row>
    <row r="47" spans="1:29" ht="24.75" customHeight="1" x14ac:dyDescent="0.2">
      <c r="A47" s="348" t="s">
        <v>10</v>
      </c>
      <c r="B47" s="349"/>
      <c r="C47" s="349"/>
      <c r="D47" s="350"/>
      <c r="E47" s="233" t="s">
        <v>55</v>
      </c>
      <c r="F47" s="234"/>
      <c r="G47" s="233" t="s">
        <v>55</v>
      </c>
      <c r="H47" s="234"/>
      <c r="I47" s="233" t="s">
        <v>55</v>
      </c>
      <c r="J47" s="234"/>
      <c r="K47" s="233" t="s">
        <v>55</v>
      </c>
      <c r="L47" s="234"/>
      <c r="M47" s="233" t="s">
        <v>55</v>
      </c>
      <c r="N47" s="234"/>
      <c r="O47" s="24"/>
      <c r="P47" s="42"/>
      <c r="Q47" s="90"/>
      <c r="R47" s="42"/>
      <c r="S47" s="90"/>
      <c r="T47" s="42"/>
      <c r="U47" s="90"/>
      <c r="V47" s="24"/>
      <c r="W47" s="76"/>
      <c r="X47" s="77"/>
      <c r="Y47" s="78"/>
    </row>
    <row r="48" spans="1:29" ht="24.75" customHeight="1" x14ac:dyDescent="0.2">
      <c r="A48" s="348" t="s">
        <v>43</v>
      </c>
      <c r="B48" s="349"/>
      <c r="C48" s="349"/>
      <c r="D48" s="350"/>
      <c r="E48" s="235" t="s">
        <v>52</v>
      </c>
      <c r="F48" s="236"/>
      <c r="G48" s="235" t="s">
        <v>52</v>
      </c>
      <c r="H48" s="236"/>
      <c r="I48" s="235" t="s">
        <v>52</v>
      </c>
      <c r="J48" s="236"/>
      <c r="K48" s="235" t="s">
        <v>52</v>
      </c>
      <c r="L48" s="236"/>
      <c r="M48" s="235" t="s">
        <v>52</v>
      </c>
      <c r="N48" s="236"/>
      <c r="O48" s="66"/>
      <c r="P48" s="42" t="s">
        <v>40</v>
      </c>
      <c r="Q48" s="90" t="s">
        <v>105</v>
      </c>
      <c r="R48" s="42" t="s">
        <v>40</v>
      </c>
      <c r="S48" s="90"/>
      <c r="T48" s="42" t="s">
        <v>40</v>
      </c>
      <c r="U48" s="90"/>
      <c r="V48" s="24"/>
      <c r="W48" s="76"/>
      <c r="X48" s="77"/>
      <c r="Y48" s="78"/>
    </row>
    <row r="49" spans="1:25" ht="24.75" customHeight="1" x14ac:dyDescent="0.2">
      <c r="A49" s="348" t="s">
        <v>12</v>
      </c>
      <c r="B49" s="349"/>
      <c r="C49" s="349"/>
      <c r="D49" s="350"/>
      <c r="E49" s="237" t="s">
        <v>56</v>
      </c>
      <c r="F49" s="234"/>
      <c r="G49" s="237" t="s">
        <v>56</v>
      </c>
      <c r="H49" s="234"/>
      <c r="I49" s="237" t="s">
        <v>56</v>
      </c>
      <c r="J49" s="234"/>
      <c r="K49" s="237" t="s">
        <v>56</v>
      </c>
      <c r="L49" s="234"/>
      <c r="M49" s="237" t="s">
        <v>56</v>
      </c>
      <c r="N49" s="234"/>
      <c r="O49" s="24"/>
      <c r="P49" s="42"/>
      <c r="Q49" s="90"/>
      <c r="R49" s="42"/>
      <c r="S49" s="90"/>
      <c r="T49" s="42"/>
      <c r="U49" s="90"/>
      <c r="V49" s="24"/>
      <c r="W49" s="76"/>
      <c r="X49" s="77"/>
      <c r="Y49" s="78"/>
    </row>
    <row r="50" spans="1:25" ht="24.75" customHeight="1" x14ac:dyDescent="0.2">
      <c r="A50" s="348" t="s">
        <v>13</v>
      </c>
      <c r="B50" s="349"/>
      <c r="C50" s="349"/>
      <c r="D50" s="350"/>
      <c r="E50" s="25" t="s">
        <v>17</v>
      </c>
      <c r="F50" s="26" t="s">
        <v>18</v>
      </c>
      <c r="G50" s="25" t="s">
        <v>17</v>
      </c>
      <c r="H50" s="26" t="s">
        <v>18</v>
      </c>
      <c r="I50" s="25" t="s">
        <v>17</v>
      </c>
      <c r="J50" s="26" t="s">
        <v>18</v>
      </c>
      <c r="K50" s="25" t="s">
        <v>17</v>
      </c>
      <c r="L50" s="26" t="s">
        <v>18</v>
      </c>
      <c r="M50" s="25" t="s">
        <v>17</v>
      </c>
      <c r="N50" s="26" t="s">
        <v>18</v>
      </c>
      <c r="O50" s="27"/>
      <c r="P50" s="42" t="s">
        <v>41</v>
      </c>
      <c r="Q50" s="90"/>
      <c r="R50" s="42" t="s">
        <v>41</v>
      </c>
      <c r="S50" s="90"/>
      <c r="T50" s="42" t="s">
        <v>41</v>
      </c>
      <c r="U50" s="90"/>
      <c r="V50" s="24"/>
      <c r="W50" s="76"/>
      <c r="X50" s="77"/>
      <c r="Y50" s="78"/>
    </row>
    <row r="51" spans="1:25" ht="24.75" customHeight="1" x14ac:dyDescent="0.2">
      <c r="A51" s="348" t="s">
        <v>14</v>
      </c>
      <c r="B51" s="349"/>
      <c r="C51" s="349"/>
      <c r="D51" s="350"/>
      <c r="E51" s="71">
        <v>0.3</v>
      </c>
      <c r="F51" s="72">
        <f>E51*E39</f>
        <v>0</v>
      </c>
      <c r="G51" s="71">
        <v>0.8</v>
      </c>
      <c r="H51" s="72">
        <f>G51*G39</f>
        <v>5041469.5043200003</v>
      </c>
      <c r="I51" s="71">
        <v>0.7</v>
      </c>
      <c r="J51" s="72">
        <f>I51*I39</f>
        <v>4053093.3659999995</v>
      </c>
      <c r="K51" s="71">
        <v>0.8</v>
      </c>
      <c r="L51" s="72">
        <f>K51*K39</f>
        <v>5501581.6800000006</v>
      </c>
      <c r="M51" s="71">
        <v>0.3</v>
      </c>
      <c r="N51" s="72">
        <f>M51*M39</f>
        <v>1892539.7700000003</v>
      </c>
      <c r="O51" s="68"/>
      <c r="P51" s="44"/>
      <c r="Q51" s="90"/>
      <c r="R51" s="44"/>
      <c r="S51" s="90"/>
      <c r="T51" s="44"/>
      <c r="U51" s="90"/>
      <c r="V51" s="24"/>
      <c r="W51" s="76"/>
      <c r="X51" s="77"/>
      <c r="Y51" s="78"/>
    </row>
    <row r="52" spans="1:25" ht="24.75" customHeight="1" x14ac:dyDescent="0.2">
      <c r="A52" s="348" t="s">
        <v>15</v>
      </c>
      <c r="B52" s="349"/>
      <c r="C52" s="349"/>
      <c r="D52" s="350"/>
      <c r="E52" s="71">
        <v>0</v>
      </c>
      <c r="F52" s="72">
        <f>E52*E39</f>
        <v>0</v>
      </c>
      <c r="G52" s="71">
        <v>0</v>
      </c>
      <c r="H52" s="72">
        <f>G52*G39</f>
        <v>0</v>
      </c>
      <c r="I52" s="71">
        <v>0</v>
      </c>
      <c r="J52" s="72">
        <f>I52*I39</f>
        <v>0</v>
      </c>
      <c r="K52" s="71">
        <v>0</v>
      </c>
      <c r="L52" s="72">
        <f>K52*K39</f>
        <v>0</v>
      </c>
      <c r="M52" s="71">
        <v>0</v>
      </c>
      <c r="N52" s="72">
        <f>M52*M39</f>
        <v>0</v>
      </c>
      <c r="O52" s="68"/>
      <c r="P52" s="44"/>
      <c r="Q52" s="90"/>
      <c r="R52" s="44"/>
      <c r="S52" s="90"/>
      <c r="T52" s="44"/>
      <c r="U52" s="90"/>
      <c r="V52" s="24"/>
      <c r="W52" s="76"/>
      <c r="X52" s="77"/>
      <c r="Y52" s="78"/>
    </row>
    <row r="53" spans="1:25" ht="24.75" customHeight="1" x14ac:dyDescent="0.2">
      <c r="A53" s="348" t="s">
        <v>16</v>
      </c>
      <c r="B53" s="349"/>
      <c r="C53" s="349"/>
      <c r="D53" s="350"/>
      <c r="E53" s="71">
        <v>0.7</v>
      </c>
      <c r="F53" s="72">
        <f>E53*E39</f>
        <v>0</v>
      </c>
      <c r="G53" s="71">
        <v>0.2</v>
      </c>
      <c r="H53" s="72">
        <f>G53*G39</f>
        <v>1260367.3760800001</v>
      </c>
      <c r="I53" s="71">
        <v>0.3</v>
      </c>
      <c r="J53" s="72">
        <f>I53*I39</f>
        <v>1737040.014</v>
      </c>
      <c r="K53" s="71">
        <v>0.2</v>
      </c>
      <c r="L53" s="72">
        <f>K53*K39</f>
        <v>1375395.4200000002</v>
      </c>
      <c r="M53" s="71">
        <v>0.7</v>
      </c>
      <c r="N53" s="72">
        <f>M53*M39</f>
        <v>4415926.1300000008</v>
      </c>
      <c r="O53" s="68"/>
      <c r="P53" s="44"/>
      <c r="Q53" s="90"/>
      <c r="R53" s="44"/>
      <c r="S53" s="90"/>
      <c r="T53" s="44"/>
      <c r="U53" s="90"/>
      <c r="V53" s="24"/>
      <c r="W53" s="76"/>
      <c r="X53" s="77"/>
      <c r="Y53" s="78"/>
    </row>
    <row r="54" spans="1:25" ht="24.75" customHeight="1" x14ac:dyDescent="0.2">
      <c r="A54" s="375" t="s">
        <v>25</v>
      </c>
      <c r="B54" s="288"/>
      <c r="C54" s="288"/>
      <c r="D54" s="376"/>
      <c r="E54" s="238" t="s">
        <v>6</v>
      </c>
      <c r="F54" s="239"/>
      <c r="G54" s="238" t="s">
        <v>6</v>
      </c>
      <c r="H54" s="239"/>
      <c r="I54" s="238" t="s">
        <v>6</v>
      </c>
      <c r="J54" s="239"/>
      <c r="K54" s="238" t="s">
        <v>6</v>
      </c>
      <c r="L54" s="239"/>
      <c r="M54" s="238" t="s">
        <v>6</v>
      </c>
      <c r="N54" s="239"/>
      <c r="O54" s="69"/>
      <c r="P54" s="45"/>
      <c r="Q54" s="90"/>
      <c r="R54" s="45"/>
      <c r="S54" s="90"/>
      <c r="T54" s="45"/>
      <c r="U54" s="90"/>
      <c r="V54" s="27"/>
      <c r="W54" s="76"/>
      <c r="X54" s="77"/>
      <c r="Y54" s="78"/>
    </row>
    <row r="55" spans="1:25" ht="24.75" customHeight="1" x14ac:dyDescent="0.2">
      <c r="A55" s="28"/>
      <c r="B55" s="32"/>
      <c r="C55" s="84"/>
      <c r="D55" s="83" t="s">
        <v>216</v>
      </c>
      <c r="E55" s="235"/>
      <c r="F55" s="236"/>
      <c r="G55" s="233"/>
      <c r="H55" s="234"/>
      <c r="I55" s="233" t="s">
        <v>56</v>
      </c>
      <c r="J55" s="234"/>
      <c r="K55" s="233"/>
      <c r="L55" s="234"/>
      <c r="M55" s="233" t="s">
        <v>277</v>
      </c>
      <c r="N55" s="234"/>
      <c r="O55" s="24"/>
      <c r="P55" s="42" t="s">
        <v>46</v>
      </c>
      <c r="Q55" s="90" t="s">
        <v>96</v>
      </c>
      <c r="R55" s="42" t="s">
        <v>46</v>
      </c>
      <c r="S55" s="90"/>
      <c r="T55" s="42" t="s">
        <v>46</v>
      </c>
      <c r="U55" s="90"/>
      <c r="V55" s="29"/>
      <c r="W55" s="357"/>
      <c r="X55" s="358"/>
      <c r="Y55" s="359"/>
    </row>
    <row r="56" spans="1:25" ht="24.75" customHeight="1" x14ac:dyDescent="0.2">
      <c r="A56" s="28"/>
      <c r="B56" s="32"/>
      <c r="C56" s="84"/>
      <c r="D56" s="83" t="s">
        <v>49</v>
      </c>
      <c r="E56" s="233"/>
      <c r="F56" s="234"/>
      <c r="G56" s="233"/>
      <c r="H56" s="234"/>
      <c r="I56" s="233" t="s">
        <v>280</v>
      </c>
      <c r="J56" s="234"/>
      <c r="K56" s="233"/>
      <c r="L56" s="234"/>
      <c r="M56" s="233"/>
      <c r="N56" s="234"/>
      <c r="O56" s="24"/>
      <c r="P56" s="46"/>
      <c r="Q56" s="90"/>
      <c r="R56" s="46"/>
      <c r="S56" s="90"/>
      <c r="T56" s="46"/>
      <c r="U56" s="90"/>
      <c r="V56" s="29"/>
      <c r="W56" s="76"/>
      <c r="X56" s="77"/>
      <c r="Y56" s="78"/>
    </row>
    <row r="57" spans="1:25" ht="24.75" customHeight="1" x14ac:dyDescent="0.2">
      <c r="A57" s="30"/>
      <c r="B57" s="31"/>
      <c r="C57" s="85"/>
      <c r="D57" s="82" t="s">
        <v>42</v>
      </c>
      <c r="E57" s="233" t="s">
        <v>53</v>
      </c>
      <c r="F57" s="234"/>
      <c r="G57" s="233" t="s">
        <v>56</v>
      </c>
      <c r="H57" s="234"/>
      <c r="I57" s="233" t="s">
        <v>56</v>
      </c>
      <c r="J57" s="234"/>
      <c r="K57" s="233" t="s">
        <v>53</v>
      </c>
      <c r="L57" s="234"/>
      <c r="M57" s="233" t="s">
        <v>53</v>
      </c>
      <c r="N57" s="234"/>
      <c r="O57" s="24"/>
      <c r="P57" s="46"/>
      <c r="Q57" s="43"/>
      <c r="R57" s="46"/>
      <c r="S57" s="43"/>
      <c r="T57" s="46"/>
      <c r="U57" s="43"/>
      <c r="V57" s="29"/>
      <c r="W57" s="76"/>
      <c r="X57" s="77"/>
      <c r="Y57" s="78"/>
    </row>
    <row r="58" spans="1:25" ht="28.5" customHeight="1" x14ac:dyDescent="0.2">
      <c r="A58" s="372" t="s">
        <v>83</v>
      </c>
      <c r="B58" s="373"/>
      <c r="C58" s="373"/>
      <c r="D58" s="374"/>
      <c r="E58" s="368" t="s">
        <v>271</v>
      </c>
      <c r="F58" s="361"/>
      <c r="G58" s="368" t="s">
        <v>276</v>
      </c>
      <c r="H58" s="369"/>
      <c r="I58" s="368" t="s">
        <v>279</v>
      </c>
      <c r="J58" s="369"/>
      <c r="K58" s="368" t="s">
        <v>279</v>
      </c>
      <c r="L58" s="369"/>
      <c r="M58" s="368" t="s">
        <v>278</v>
      </c>
      <c r="N58" s="369"/>
      <c r="O58" s="60"/>
      <c r="P58" s="46"/>
      <c r="Q58" s="43"/>
      <c r="R58" s="46"/>
      <c r="S58" s="43"/>
      <c r="T58" s="46"/>
      <c r="U58" s="43"/>
      <c r="V58" s="29"/>
      <c r="W58" s="76"/>
      <c r="X58" s="77"/>
      <c r="Y58" s="78"/>
    </row>
    <row r="59" spans="1:25" ht="26.25" customHeight="1" x14ac:dyDescent="0.2">
      <c r="A59" s="362" t="s">
        <v>217</v>
      </c>
      <c r="B59" s="363"/>
      <c r="C59" s="363"/>
      <c r="D59" s="364"/>
      <c r="E59" s="385"/>
      <c r="F59" s="386"/>
      <c r="G59" s="370"/>
      <c r="H59" s="371"/>
      <c r="I59" s="370"/>
      <c r="J59" s="371"/>
      <c r="K59" s="370"/>
      <c r="L59" s="371"/>
      <c r="M59" s="370"/>
      <c r="N59" s="371"/>
      <c r="O59" s="60"/>
      <c r="P59" s="46"/>
      <c r="Q59" s="43"/>
      <c r="R59" s="46"/>
      <c r="S59" s="43"/>
      <c r="T59" s="46"/>
      <c r="U59" s="43"/>
      <c r="V59" s="29"/>
      <c r="W59" s="76"/>
      <c r="X59" s="77"/>
      <c r="Y59" s="78"/>
    </row>
    <row r="60" spans="1:25" ht="26.25" customHeight="1" x14ac:dyDescent="0.2">
      <c r="A60" s="362"/>
      <c r="B60" s="363"/>
      <c r="C60" s="363"/>
      <c r="D60" s="364"/>
      <c r="E60" s="385"/>
      <c r="F60" s="386"/>
      <c r="G60" s="370"/>
      <c r="H60" s="371"/>
      <c r="I60" s="370"/>
      <c r="J60" s="371"/>
      <c r="K60" s="370"/>
      <c r="L60" s="371"/>
      <c r="M60" s="370"/>
      <c r="N60" s="371"/>
      <c r="O60" s="60"/>
      <c r="P60" s="46"/>
      <c r="Q60" s="43"/>
      <c r="R60" s="46"/>
      <c r="S60" s="43"/>
      <c r="T60" s="46"/>
      <c r="U60" s="43"/>
      <c r="V60" s="29"/>
      <c r="W60" s="76"/>
      <c r="X60" s="77"/>
      <c r="Y60" s="78"/>
    </row>
    <row r="61" spans="1:25" ht="26.25" customHeight="1" x14ac:dyDescent="0.2">
      <c r="A61" s="362"/>
      <c r="B61" s="363"/>
      <c r="C61" s="363"/>
      <c r="D61" s="364"/>
      <c r="E61" s="385"/>
      <c r="F61" s="386"/>
      <c r="G61" s="370"/>
      <c r="H61" s="371"/>
      <c r="I61" s="370"/>
      <c r="J61" s="371"/>
      <c r="K61" s="370"/>
      <c r="L61" s="371"/>
      <c r="M61" s="370"/>
      <c r="N61" s="371"/>
      <c r="O61" s="60"/>
      <c r="P61" s="46"/>
      <c r="Q61" s="43"/>
      <c r="R61" s="46"/>
      <c r="S61" s="43"/>
      <c r="T61" s="46"/>
      <c r="U61" s="43"/>
      <c r="V61" s="29"/>
      <c r="W61" s="76"/>
      <c r="X61" s="77"/>
      <c r="Y61" s="78"/>
    </row>
    <row r="62" spans="1:25" ht="26.25" customHeight="1" x14ac:dyDescent="0.2">
      <c r="A62" s="362"/>
      <c r="B62" s="363"/>
      <c r="C62" s="363"/>
      <c r="D62" s="364"/>
      <c r="E62" s="385"/>
      <c r="F62" s="386"/>
      <c r="G62" s="370"/>
      <c r="H62" s="371"/>
      <c r="I62" s="370"/>
      <c r="J62" s="371"/>
      <c r="K62" s="370"/>
      <c r="L62" s="371"/>
      <c r="M62" s="370"/>
      <c r="N62" s="371"/>
      <c r="O62" s="60"/>
      <c r="P62" s="46"/>
      <c r="Q62" s="43"/>
      <c r="R62" s="46"/>
      <c r="S62" s="43"/>
      <c r="T62" s="46"/>
      <c r="U62" s="43"/>
      <c r="V62" s="29"/>
      <c r="W62" s="76"/>
      <c r="X62" s="77"/>
      <c r="Y62" s="78"/>
    </row>
    <row r="63" spans="1:25" ht="26.25" customHeight="1" x14ac:dyDescent="0.2">
      <c r="A63" s="362"/>
      <c r="B63" s="363"/>
      <c r="C63" s="363"/>
      <c r="D63" s="364"/>
      <c r="E63" s="385"/>
      <c r="F63" s="386"/>
      <c r="G63" s="370"/>
      <c r="H63" s="371"/>
      <c r="I63" s="370"/>
      <c r="J63" s="371"/>
      <c r="K63" s="370"/>
      <c r="L63" s="371"/>
      <c r="M63" s="370"/>
      <c r="N63" s="371"/>
      <c r="O63" s="60"/>
      <c r="P63" s="46"/>
      <c r="Q63" s="43"/>
      <c r="R63" s="46"/>
      <c r="S63" s="43"/>
      <c r="T63" s="46"/>
      <c r="U63" s="43"/>
      <c r="V63" s="29"/>
      <c r="W63" s="76"/>
      <c r="X63" s="77"/>
      <c r="Y63" s="78"/>
    </row>
    <row r="64" spans="1:25" ht="26.25" customHeight="1" x14ac:dyDescent="0.2">
      <c r="A64" s="362"/>
      <c r="B64" s="363"/>
      <c r="C64" s="363"/>
      <c r="D64" s="364"/>
      <c r="E64" s="385"/>
      <c r="F64" s="386"/>
      <c r="G64" s="370"/>
      <c r="H64" s="371"/>
      <c r="I64" s="370"/>
      <c r="J64" s="371"/>
      <c r="K64" s="370"/>
      <c r="L64" s="371"/>
      <c r="M64" s="370"/>
      <c r="N64" s="371"/>
      <c r="O64" s="60"/>
      <c r="P64" s="46"/>
      <c r="Q64" s="43"/>
      <c r="R64" s="46"/>
      <c r="S64" s="43"/>
      <c r="T64" s="46"/>
      <c r="U64" s="43"/>
      <c r="V64" s="29"/>
      <c r="W64" s="76"/>
      <c r="X64" s="77"/>
      <c r="Y64" s="78"/>
    </row>
    <row r="65" spans="1:25" ht="26.25" customHeight="1" x14ac:dyDescent="0.2">
      <c r="A65" s="362"/>
      <c r="B65" s="363"/>
      <c r="C65" s="363"/>
      <c r="D65" s="364"/>
      <c r="E65" s="385"/>
      <c r="F65" s="386"/>
      <c r="G65" s="370"/>
      <c r="H65" s="371"/>
      <c r="I65" s="370"/>
      <c r="J65" s="371"/>
      <c r="K65" s="370"/>
      <c r="L65" s="371"/>
      <c r="M65" s="370"/>
      <c r="N65" s="371"/>
      <c r="O65" s="60"/>
      <c r="P65" s="46"/>
      <c r="Q65" s="43"/>
      <c r="R65" s="46"/>
      <c r="S65" s="43"/>
      <c r="T65" s="46"/>
      <c r="U65" s="43"/>
      <c r="V65" s="29"/>
      <c r="W65" s="76"/>
      <c r="X65" s="77"/>
      <c r="Y65" s="78"/>
    </row>
    <row r="66" spans="1:25" ht="26.25" customHeight="1" thickBot="1" x14ac:dyDescent="0.25">
      <c r="A66" s="365"/>
      <c r="B66" s="366"/>
      <c r="C66" s="366"/>
      <c r="D66" s="367"/>
      <c r="E66" s="387"/>
      <c r="F66" s="388"/>
      <c r="G66" s="377"/>
      <c r="H66" s="378"/>
      <c r="I66" s="377"/>
      <c r="J66" s="378"/>
      <c r="K66" s="377"/>
      <c r="L66" s="378"/>
      <c r="M66" s="377"/>
      <c r="N66" s="378"/>
      <c r="O66" s="60"/>
      <c r="P66" s="47"/>
      <c r="Q66" s="48"/>
      <c r="R66" s="47"/>
      <c r="S66" s="48"/>
      <c r="T66" s="47"/>
      <c r="U66" s="48"/>
      <c r="V66" s="29"/>
      <c r="W66" s="79"/>
      <c r="X66" s="80"/>
      <c r="Y66" s="8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</sheetData>
  <mergeCells count="201">
    <mergeCell ref="C2:F4"/>
    <mergeCell ref="W2:Y4"/>
    <mergeCell ref="G6:H6"/>
    <mergeCell ref="I6:J6"/>
    <mergeCell ref="R7:S7"/>
    <mergeCell ref="T7:U7"/>
    <mergeCell ref="W7:Y7"/>
    <mergeCell ref="A8:D8"/>
    <mergeCell ref="P8:Q8"/>
    <mergeCell ref="R8:S8"/>
    <mergeCell ref="T8:U8"/>
    <mergeCell ref="W8:W9"/>
    <mergeCell ref="A9:D9"/>
    <mergeCell ref="P9:Q11"/>
    <mergeCell ref="K7:L7"/>
    <mergeCell ref="M7:N7"/>
    <mergeCell ref="P7:Q7"/>
    <mergeCell ref="A7:D7"/>
    <mergeCell ref="E7:F7"/>
    <mergeCell ref="G7:H7"/>
    <mergeCell ref="I7:J7"/>
    <mergeCell ref="R9:S11"/>
    <mergeCell ref="T9:U11"/>
    <mergeCell ref="A10:D10"/>
    <mergeCell ref="W10:W11"/>
    <mergeCell ref="A11:D11"/>
    <mergeCell ref="A12:A13"/>
    <mergeCell ref="B12:B13"/>
    <mergeCell ref="C12:C13"/>
    <mergeCell ref="D12:D13"/>
    <mergeCell ref="E12:F12"/>
    <mergeCell ref="W12:Y12"/>
    <mergeCell ref="E18:F18"/>
    <mergeCell ref="G18:H18"/>
    <mergeCell ref="I18:J18"/>
    <mergeCell ref="M18:N18"/>
    <mergeCell ref="I19:J19"/>
    <mergeCell ref="E20:F20"/>
    <mergeCell ref="M12:N12"/>
    <mergeCell ref="P12:Q12"/>
    <mergeCell ref="R12:S12"/>
    <mergeCell ref="T12:U12"/>
    <mergeCell ref="G12:H12"/>
    <mergeCell ref="I12:J12"/>
    <mergeCell ref="K12:L12"/>
    <mergeCell ref="K18:L18"/>
    <mergeCell ref="P24:Q24"/>
    <mergeCell ref="E26:F26"/>
    <mergeCell ref="I26:J26"/>
    <mergeCell ref="M26:N26"/>
    <mergeCell ref="E22:F22"/>
    <mergeCell ref="E24:F24"/>
    <mergeCell ref="I24:J24"/>
    <mergeCell ref="M24:N24"/>
    <mergeCell ref="G20:H20"/>
    <mergeCell ref="K20:L20"/>
    <mergeCell ref="M20:N20"/>
    <mergeCell ref="K21:L21"/>
    <mergeCell ref="I21:J21"/>
    <mergeCell ref="I20:J20"/>
    <mergeCell ref="K24:L24"/>
    <mergeCell ref="K26:L26"/>
    <mergeCell ref="G21:H21"/>
    <mergeCell ref="I22:J22"/>
    <mergeCell ref="K22:L22"/>
    <mergeCell ref="M22:N22"/>
    <mergeCell ref="I25:J25"/>
    <mergeCell ref="T37:U37"/>
    <mergeCell ref="W37:X37"/>
    <mergeCell ref="A38:D38"/>
    <mergeCell ref="E38:F38"/>
    <mergeCell ref="G38:H38"/>
    <mergeCell ref="I38:J38"/>
    <mergeCell ref="K38:L38"/>
    <mergeCell ref="M37:N37"/>
    <mergeCell ref="P37:Q37"/>
    <mergeCell ref="R37:S37"/>
    <mergeCell ref="A37:D37"/>
    <mergeCell ref="E37:F37"/>
    <mergeCell ref="G37:H37"/>
    <mergeCell ref="I37:J37"/>
    <mergeCell ref="K37:L37"/>
    <mergeCell ref="P39:Q39"/>
    <mergeCell ref="R39:S39"/>
    <mergeCell ref="T39:U39"/>
    <mergeCell ref="W39:Y39"/>
    <mergeCell ref="W38:X38"/>
    <mergeCell ref="A39:D39"/>
    <mergeCell ref="E39:F39"/>
    <mergeCell ref="G39:H39"/>
    <mergeCell ref="I39:J39"/>
    <mergeCell ref="K39:L39"/>
    <mergeCell ref="M39:N39"/>
    <mergeCell ref="M38:N38"/>
    <mergeCell ref="P38:Q38"/>
    <mergeCell ref="R38:S38"/>
    <mergeCell ref="T38:U38"/>
    <mergeCell ref="T40:U40"/>
    <mergeCell ref="W40:Y40"/>
    <mergeCell ref="A41:D41"/>
    <mergeCell ref="E41:F41"/>
    <mergeCell ref="G41:H41"/>
    <mergeCell ref="I41:J41"/>
    <mergeCell ref="K41:L41"/>
    <mergeCell ref="M40:N40"/>
    <mergeCell ref="P40:Q40"/>
    <mergeCell ref="R40:S40"/>
    <mergeCell ref="E40:F40"/>
    <mergeCell ref="G40:H40"/>
    <mergeCell ref="I40:J40"/>
    <mergeCell ref="K40:L40"/>
    <mergeCell ref="P42:Q44"/>
    <mergeCell ref="R42:S44"/>
    <mergeCell ref="T42:U44"/>
    <mergeCell ref="W42:Y44"/>
    <mergeCell ref="W41:Y41"/>
    <mergeCell ref="A42:D42"/>
    <mergeCell ref="E42:F42"/>
    <mergeCell ref="G42:H42"/>
    <mergeCell ref="I42:J42"/>
    <mergeCell ref="K42:L42"/>
    <mergeCell ref="M42:N42"/>
    <mergeCell ref="M41:N41"/>
    <mergeCell ref="P41:Q41"/>
    <mergeCell ref="R41:S41"/>
    <mergeCell ref="T41:U41"/>
    <mergeCell ref="I44:J44"/>
    <mergeCell ref="K44:L44"/>
    <mergeCell ref="M44:N44"/>
    <mergeCell ref="K43:L43"/>
    <mergeCell ref="M43:N43"/>
    <mergeCell ref="A44:D44"/>
    <mergeCell ref="E44:F44"/>
    <mergeCell ref="G44:H44"/>
    <mergeCell ref="A43:D43"/>
    <mergeCell ref="E43:F43"/>
    <mergeCell ref="G43:H43"/>
    <mergeCell ref="I43:J43"/>
    <mergeCell ref="I46:J46"/>
    <mergeCell ref="K46:L46"/>
    <mergeCell ref="M46:N46"/>
    <mergeCell ref="K45:L45"/>
    <mergeCell ref="M45:N45"/>
    <mergeCell ref="A46:D46"/>
    <mergeCell ref="E46:F46"/>
    <mergeCell ref="G46:H46"/>
    <mergeCell ref="A45:D45"/>
    <mergeCell ref="E45:F45"/>
    <mergeCell ref="G45:H45"/>
    <mergeCell ref="I45:J45"/>
    <mergeCell ref="K47:L47"/>
    <mergeCell ref="M47:N47"/>
    <mergeCell ref="A48:D48"/>
    <mergeCell ref="E48:F48"/>
    <mergeCell ref="G48:H48"/>
    <mergeCell ref="A47:D47"/>
    <mergeCell ref="E47:F47"/>
    <mergeCell ref="G47:H47"/>
    <mergeCell ref="I47:J47"/>
    <mergeCell ref="E54:F54"/>
    <mergeCell ref="K49:L49"/>
    <mergeCell ref="M49:N49"/>
    <mergeCell ref="A50:D50"/>
    <mergeCell ref="A49:D49"/>
    <mergeCell ref="E49:F49"/>
    <mergeCell ref="G49:H49"/>
    <mergeCell ref="I49:J49"/>
    <mergeCell ref="I48:J48"/>
    <mergeCell ref="K48:L48"/>
    <mergeCell ref="M48:N48"/>
    <mergeCell ref="G54:H54"/>
    <mergeCell ref="I54:J54"/>
    <mergeCell ref="K54:L54"/>
    <mergeCell ref="M54:N54"/>
    <mergeCell ref="A51:D51"/>
    <mergeCell ref="A52:D52"/>
    <mergeCell ref="A53:D53"/>
    <mergeCell ref="A54:D54"/>
    <mergeCell ref="W55:Y55"/>
    <mergeCell ref="E56:F56"/>
    <mergeCell ref="G56:H56"/>
    <mergeCell ref="I56:J56"/>
    <mergeCell ref="K56:L56"/>
    <mergeCell ref="E55:F55"/>
    <mergeCell ref="G55:H55"/>
    <mergeCell ref="I55:J55"/>
    <mergeCell ref="K55:L55"/>
    <mergeCell ref="M55:N55"/>
    <mergeCell ref="M58:N66"/>
    <mergeCell ref="A59:D66"/>
    <mergeCell ref="M57:N57"/>
    <mergeCell ref="A58:D58"/>
    <mergeCell ref="E58:F66"/>
    <mergeCell ref="G58:H66"/>
    <mergeCell ref="I58:J66"/>
    <mergeCell ref="M56:N56"/>
    <mergeCell ref="E57:F57"/>
    <mergeCell ref="G57:H57"/>
    <mergeCell ref="I57:J57"/>
    <mergeCell ref="K57:L57"/>
    <mergeCell ref="K58:L66"/>
  </mergeCells>
  <conditionalFormatting sqref="C15:C36">
    <cfRule type="cellIs" dxfId="14" priority="5" operator="greaterThan">
      <formula>#REF!</formula>
    </cfRule>
  </conditionalFormatting>
  <conditionalFormatting sqref="E41:U41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W41:Y41">
    <cfRule type="cellIs" dxfId="11" priority="1" operator="greaterThan">
      <formula>0</formula>
    </cfRule>
    <cfRule type="cellIs" dxfId="10" priority="2" operator="lessThan">
      <formula>0</formula>
    </cfRule>
  </conditionalFormatting>
  <hyperlinks>
    <hyperlink ref="F11" r:id="rId1" xr:uid="{F9C30D95-0C64-4752-AF68-80871CF90B30}"/>
    <hyperlink ref="H11" r:id="rId2" xr:uid="{72DD42D9-905E-4235-8791-3A31CB36FCC6}"/>
    <hyperlink ref="L11" r:id="rId3" xr:uid="{CBF9C8A6-372F-4891-8708-35D9ECFC7454}"/>
    <hyperlink ref="N11" r:id="rId4" xr:uid="{56585259-2D3D-4C1D-80AB-42D895C31495}"/>
    <hyperlink ref="J11" r:id="rId5" xr:uid="{EFC0E5C1-8048-4C7A-85DE-7B1D2500C589}"/>
  </hyperlinks>
  <printOptions horizontalCentered="1" verticalCentered="1"/>
  <pageMargins left="0" right="0" top="0" bottom="0" header="0.62992125984251968" footer="0"/>
  <pageSetup paperSize="8" scale="38" orientation="landscape" r:id="rId6"/>
  <headerFooter alignWithMargins="0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0C6A-50AD-47AA-9B04-145022BBF69D}">
  <sheetPr>
    <tabColor rgb="FF00B050"/>
    <pageSetUpPr fitToPage="1"/>
  </sheetPr>
  <dimension ref="A1:AI113"/>
  <sheetViews>
    <sheetView showGridLines="0" zoomScale="55" zoomScaleNormal="55" workbookViewId="0">
      <selection activeCell="C2" sqref="A2:F27"/>
    </sheetView>
  </sheetViews>
  <sheetFormatPr defaultColWidth="9.140625" defaultRowHeight="14.25" x14ac:dyDescent="0.2"/>
  <cols>
    <col min="1" max="1" width="7.140625" style="2" customWidth="1"/>
    <col min="2" max="2" width="76.140625" style="2" customWidth="1"/>
    <col min="3" max="3" width="13.42578125" style="2" bestFit="1" customWidth="1"/>
    <col min="4" max="4" width="9.85546875" style="2" customWidth="1"/>
    <col min="5" max="5" width="17" style="2" customWidth="1"/>
    <col min="6" max="6" width="30.42578125" style="2" customWidth="1"/>
    <col min="7" max="7" width="22.42578125" style="2" customWidth="1"/>
    <col min="8" max="8" width="26.42578125" style="2" customWidth="1"/>
    <col min="9" max="9" width="22.42578125" style="2" customWidth="1"/>
    <col min="10" max="10" width="33.140625" style="2" customWidth="1"/>
    <col min="11" max="11" width="22.42578125" style="2" customWidth="1"/>
    <col min="12" max="12" width="25.85546875" style="2" customWidth="1"/>
    <col min="13" max="13" width="22.42578125" style="2" customWidth="1"/>
    <col min="14" max="14" width="31.42578125" style="2" customWidth="1"/>
    <col min="15" max="15" width="4.85546875" style="2" customWidth="1"/>
    <col min="16" max="16" width="24.85546875" style="2" customWidth="1"/>
    <col min="17" max="21" width="19.5703125" style="2" customWidth="1"/>
    <col min="22" max="22" width="0.85546875" style="2" customWidth="1"/>
    <col min="23" max="24" width="19.5703125" style="2" customWidth="1"/>
    <col min="25" max="25" width="26.140625" style="2" customWidth="1"/>
    <col min="26" max="26" width="1.5703125" style="2" customWidth="1"/>
    <col min="27" max="27" width="8.5703125" style="2" customWidth="1"/>
    <col min="28" max="28" width="9.140625" style="2"/>
    <col min="29" max="29" width="16.140625" style="2" bestFit="1" customWidth="1"/>
    <col min="30" max="16384" width="9.140625" style="2"/>
  </cols>
  <sheetData>
    <row r="1" spans="1:35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5" ht="15.75" customHeight="1" x14ac:dyDescent="0.2">
      <c r="A2" s="1"/>
      <c r="B2" s="1"/>
      <c r="C2" s="289" t="s">
        <v>4</v>
      </c>
      <c r="D2" s="289"/>
      <c r="E2" s="289"/>
      <c r="F2" s="28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90" t="s">
        <v>188</v>
      </c>
      <c r="X2" s="290"/>
      <c r="Y2" s="290"/>
    </row>
    <row r="3" spans="1:35" ht="16.5" customHeight="1" x14ac:dyDescent="0.2">
      <c r="A3" s="1"/>
      <c r="B3" s="1"/>
      <c r="C3" s="289"/>
      <c r="D3" s="289"/>
      <c r="E3" s="289"/>
      <c r="F3" s="28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291"/>
      <c r="X3" s="291"/>
      <c r="Y3" s="291"/>
    </row>
    <row r="4" spans="1:35" ht="41.25" customHeight="1" x14ac:dyDescent="0.2">
      <c r="A4" s="1"/>
      <c r="B4" s="1"/>
      <c r="C4" s="289"/>
      <c r="D4" s="289"/>
      <c r="E4" s="289"/>
      <c r="F4" s="28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91"/>
      <c r="X4" s="291"/>
      <c r="Y4" s="291"/>
    </row>
    <row r="5" spans="1:35" ht="20.45" customHeight="1" thickBot="1" x14ac:dyDescent="0.25">
      <c r="A5" s="91"/>
      <c r="B5" s="91"/>
      <c r="C5" s="92"/>
      <c r="D5" s="92"/>
      <c r="E5" s="92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spans="1:35" ht="15.75" customHeight="1" thickBot="1" x14ac:dyDescent="0.25">
      <c r="A6" s="1"/>
      <c r="B6" s="1"/>
      <c r="C6" s="1"/>
      <c r="D6" s="1"/>
      <c r="E6" s="1"/>
      <c r="F6" s="1"/>
      <c r="G6" s="292" t="s">
        <v>89</v>
      </c>
      <c r="H6" s="292"/>
      <c r="I6" s="292" t="s">
        <v>89</v>
      </c>
      <c r="J6" s="292"/>
      <c r="K6" s="61"/>
      <c r="L6" s="61"/>
      <c r="M6" s="61"/>
      <c r="N6" s="61"/>
      <c r="O6" s="61"/>
      <c r="P6" s="61"/>
      <c r="Q6" s="61"/>
      <c r="R6" s="61"/>
      <c r="S6" s="61"/>
      <c r="T6" s="1"/>
      <c r="U6" s="1"/>
      <c r="V6" s="1"/>
      <c r="W6" s="1"/>
      <c r="X6" s="1"/>
      <c r="Y6" s="1"/>
    </row>
    <row r="7" spans="1:35" ht="16.5" customHeight="1" x14ac:dyDescent="0.2">
      <c r="A7" s="302" t="s">
        <v>229</v>
      </c>
      <c r="B7" s="303"/>
      <c r="C7" s="303"/>
      <c r="D7" s="304"/>
      <c r="E7" s="280" t="s">
        <v>58</v>
      </c>
      <c r="F7" s="280"/>
      <c r="G7" s="280" t="s">
        <v>78</v>
      </c>
      <c r="H7" s="280"/>
      <c r="I7" s="278" t="s">
        <v>230</v>
      </c>
      <c r="J7" s="279"/>
      <c r="K7" s="278" t="s">
        <v>105</v>
      </c>
      <c r="L7" s="279"/>
      <c r="M7" s="280" t="s">
        <v>111</v>
      </c>
      <c r="N7" s="280"/>
      <c r="O7" s="62"/>
      <c r="P7" s="299" t="s">
        <v>19</v>
      </c>
      <c r="Q7" s="299"/>
      <c r="R7" s="299" t="s">
        <v>19</v>
      </c>
      <c r="S7" s="299"/>
      <c r="T7" s="300" t="s">
        <v>19</v>
      </c>
      <c r="U7" s="301"/>
      <c r="V7" s="4"/>
      <c r="W7" s="269" t="s">
        <v>22</v>
      </c>
      <c r="X7" s="269"/>
      <c r="Y7" s="269"/>
    </row>
    <row r="8" spans="1:35" ht="16.5" customHeight="1" x14ac:dyDescent="0.2">
      <c r="A8" s="293" t="s">
        <v>100</v>
      </c>
      <c r="B8" s="294"/>
      <c r="C8" s="294"/>
      <c r="D8" s="295"/>
      <c r="E8" s="6" t="s">
        <v>3</v>
      </c>
      <c r="F8" s="5"/>
      <c r="G8" s="6" t="s">
        <v>3</v>
      </c>
      <c r="H8" s="5"/>
      <c r="I8" s="6" t="s">
        <v>3</v>
      </c>
      <c r="J8" s="5"/>
      <c r="K8" s="6" t="s">
        <v>3</v>
      </c>
      <c r="L8" s="5"/>
      <c r="M8" s="6" t="s">
        <v>3</v>
      </c>
      <c r="N8" s="5"/>
      <c r="O8" s="63"/>
      <c r="P8" s="264" t="s">
        <v>26</v>
      </c>
      <c r="Q8" s="264"/>
      <c r="R8" s="264" t="s">
        <v>26</v>
      </c>
      <c r="S8" s="264"/>
      <c r="T8" s="296" t="s">
        <v>26</v>
      </c>
      <c r="U8" s="297"/>
      <c r="V8" s="7"/>
      <c r="W8" s="264" t="s">
        <v>23</v>
      </c>
      <c r="X8" s="8" t="s">
        <v>20</v>
      </c>
      <c r="Y8" s="35">
        <v>44958</v>
      </c>
    </row>
    <row r="9" spans="1:35" ht="16.5" customHeight="1" x14ac:dyDescent="0.2">
      <c r="A9" s="293" t="s">
        <v>101</v>
      </c>
      <c r="B9" s="285"/>
      <c r="C9" s="285"/>
      <c r="D9" s="286"/>
      <c r="E9" s="6" t="s">
        <v>0</v>
      </c>
      <c r="F9" s="58" t="s">
        <v>86</v>
      </c>
      <c r="G9" s="6" t="s">
        <v>0</v>
      </c>
      <c r="H9" s="5" t="s">
        <v>79</v>
      </c>
      <c r="I9" s="6" t="s">
        <v>0</v>
      </c>
      <c r="J9" s="5" t="s">
        <v>212</v>
      </c>
      <c r="K9" s="6" t="s">
        <v>0</v>
      </c>
      <c r="L9" s="5" t="s">
        <v>106</v>
      </c>
      <c r="M9" s="6" t="s">
        <v>0</v>
      </c>
      <c r="N9" s="5" t="s">
        <v>112</v>
      </c>
      <c r="O9" s="63"/>
      <c r="P9" s="298" t="s">
        <v>123</v>
      </c>
      <c r="Q9" s="298"/>
      <c r="R9" s="298"/>
      <c r="S9" s="298"/>
      <c r="T9" s="272"/>
      <c r="U9" s="273"/>
      <c r="V9" s="7"/>
      <c r="W9" s="264"/>
      <c r="X9" s="8" t="s">
        <v>47</v>
      </c>
      <c r="Y9" s="36">
        <v>1056.896</v>
      </c>
    </row>
    <row r="10" spans="1:35" ht="16.5" customHeight="1" x14ac:dyDescent="0.2">
      <c r="A10" s="284" t="s">
        <v>102</v>
      </c>
      <c r="B10" s="285"/>
      <c r="C10" s="285"/>
      <c r="D10" s="286"/>
      <c r="E10" s="6" t="s">
        <v>1</v>
      </c>
      <c r="F10" s="5" t="s">
        <v>72</v>
      </c>
      <c r="G10" s="6" t="s">
        <v>1</v>
      </c>
      <c r="H10" s="5" t="s">
        <v>80</v>
      </c>
      <c r="I10" s="6" t="s">
        <v>1</v>
      </c>
      <c r="J10" s="5" t="s">
        <v>231</v>
      </c>
      <c r="K10" s="6" t="s">
        <v>1</v>
      </c>
      <c r="L10" s="5" t="s">
        <v>107</v>
      </c>
      <c r="M10" s="6" t="s">
        <v>1</v>
      </c>
      <c r="N10" s="5" t="s">
        <v>113</v>
      </c>
      <c r="O10" s="63"/>
      <c r="P10" s="298"/>
      <c r="Q10" s="298"/>
      <c r="R10" s="298"/>
      <c r="S10" s="298"/>
      <c r="T10" s="274"/>
      <c r="U10" s="275"/>
      <c r="V10" s="7"/>
      <c r="W10" s="264" t="s">
        <v>24</v>
      </c>
      <c r="X10" s="8" t="s">
        <v>20</v>
      </c>
      <c r="Y10" s="35">
        <v>45413</v>
      </c>
    </row>
    <row r="11" spans="1:35" ht="16.5" customHeight="1" x14ac:dyDescent="0.2">
      <c r="A11" s="265" t="s">
        <v>103</v>
      </c>
      <c r="B11" s="266"/>
      <c r="C11" s="266"/>
      <c r="D11" s="267"/>
      <c r="E11" s="6" t="s">
        <v>2</v>
      </c>
      <c r="F11" s="50" t="s">
        <v>57</v>
      </c>
      <c r="G11" s="6" t="s">
        <v>2</v>
      </c>
      <c r="H11" s="50" t="s">
        <v>81</v>
      </c>
      <c r="I11" s="6" t="s">
        <v>2</v>
      </c>
      <c r="J11" s="50" t="s">
        <v>185</v>
      </c>
      <c r="K11" s="6" t="s">
        <v>2</v>
      </c>
      <c r="L11" s="50" t="s">
        <v>108</v>
      </c>
      <c r="M11" s="6" t="s">
        <v>2</v>
      </c>
      <c r="N11" s="50" t="s">
        <v>114</v>
      </c>
      <c r="O11" s="64"/>
      <c r="P11" s="298"/>
      <c r="Q11" s="298"/>
      <c r="R11" s="298"/>
      <c r="S11" s="298"/>
      <c r="T11" s="276"/>
      <c r="U11" s="277"/>
      <c r="V11" s="9"/>
      <c r="W11" s="264"/>
      <c r="X11" s="8" t="s">
        <v>48</v>
      </c>
      <c r="Y11" s="36">
        <v>1110.8869999999999</v>
      </c>
    </row>
    <row r="12" spans="1:35" ht="15.75" x14ac:dyDescent="0.2">
      <c r="A12" s="268" t="s">
        <v>29</v>
      </c>
      <c r="B12" s="282" t="s">
        <v>5</v>
      </c>
      <c r="C12" s="287" t="s">
        <v>9</v>
      </c>
      <c r="D12" s="270" t="s">
        <v>30</v>
      </c>
      <c r="E12" s="268" t="s">
        <v>28</v>
      </c>
      <c r="F12" s="258"/>
      <c r="G12" s="268" t="s">
        <v>28</v>
      </c>
      <c r="H12" s="258"/>
      <c r="I12" s="268" t="s">
        <v>28</v>
      </c>
      <c r="J12" s="258"/>
      <c r="K12" s="268" t="s">
        <v>28</v>
      </c>
      <c r="L12" s="258"/>
      <c r="M12" s="268" t="s">
        <v>28</v>
      </c>
      <c r="N12" s="258"/>
      <c r="O12" s="4"/>
      <c r="P12" s="269" t="s">
        <v>28</v>
      </c>
      <c r="Q12" s="269"/>
      <c r="R12" s="269" t="s">
        <v>28</v>
      </c>
      <c r="S12" s="269"/>
      <c r="T12" s="270" t="s">
        <v>28</v>
      </c>
      <c r="U12" s="271"/>
      <c r="V12" s="4"/>
      <c r="W12" s="269" t="s">
        <v>28</v>
      </c>
      <c r="X12" s="269"/>
      <c r="Y12" s="269"/>
    </row>
    <row r="13" spans="1:35" ht="15.75" x14ac:dyDescent="0.2">
      <c r="A13" s="268"/>
      <c r="B13" s="283"/>
      <c r="C13" s="288"/>
      <c r="D13" s="270"/>
      <c r="E13" s="10" t="s">
        <v>31</v>
      </c>
      <c r="F13" s="11" t="s">
        <v>32</v>
      </c>
      <c r="G13" s="10" t="s">
        <v>31</v>
      </c>
      <c r="H13" s="11" t="s">
        <v>32</v>
      </c>
      <c r="I13" s="10" t="s">
        <v>31</v>
      </c>
      <c r="J13" s="11" t="s">
        <v>32</v>
      </c>
      <c r="K13" s="10" t="s">
        <v>31</v>
      </c>
      <c r="L13" s="11" t="s">
        <v>32</v>
      </c>
      <c r="M13" s="10" t="s">
        <v>31</v>
      </c>
      <c r="N13" s="11" t="s">
        <v>32</v>
      </c>
      <c r="O13" s="4"/>
      <c r="P13" s="33" t="s">
        <v>31</v>
      </c>
      <c r="Q13" s="33" t="s">
        <v>32</v>
      </c>
      <c r="R13" s="33" t="s">
        <v>31</v>
      </c>
      <c r="S13" s="33" t="s">
        <v>32</v>
      </c>
      <c r="T13" s="33" t="s">
        <v>31</v>
      </c>
      <c r="U13" s="33" t="s">
        <v>32</v>
      </c>
      <c r="V13" s="4"/>
      <c r="W13" s="33" t="s">
        <v>9</v>
      </c>
      <c r="X13" s="33" t="s">
        <v>31</v>
      </c>
      <c r="Y13" s="33" t="s">
        <v>32</v>
      </c>
    </row>
    <row r="14" spans="1:35" s="101" customFormat="1" ht="18.75" customHeight="1" x14ac:dyDescent="0.2">
      <c r="A14" s="93"/>
      <c r="B14" s="94" t="s">
        <v>91</v>
      </c>
      <c r="C14" s="95"/>
      <c r="D14" s="96"/>
      <c r="E14" s="93"/>
      <c r="F14" s="98">
        <f>SUM(F15:F22)</f>
        <v>0</v>
      </c>
      <c r="G14" s="93"/>
      <c r="H14" s="98">
        <f>SUM(H15:H22)</f>
        <v>6110718.0804000003</v>
      </c>
      <c r="I14" s="93"/>
      <c r="J14" s="98">
        <f>SUM(J15:J22)</f>
        <v>5699829.5800000001</v>
      </c>
      <c r="K14" s="93"/>
      <c r="L14" s="98">
        <f>SUM(L15:L22)</f>
        <v>6786670.3000000007</v>
      </c>
      <c r="M14" s="93"/>
      <c r="N14" s="98">
        <f>SUM(N15:N22)</f>
        <v>6150668.7000000011</v>
      </c>
      <c r="O14" s="99"/>
      <c r="P14" s="100"/>
      <c r="Q14" s="100"/>
      <c r="R14" s="100"/>
      <c r="S14" s="100"/>
      <c r="T14" s="100"/>
      <c r="U14" s="100"/>
      <c r="V14" s="99"/>
      <c r="W14" s="100"/>
      <c r="X14" s="100"/>
      <c r="Y14" s="100"/>
    </row>
    <row r="15" spans="1:35" ht="69" customHeight="1" x14ac:dyDescent="0.2">
      <c r="A15" s="12" t="s">
        <v>74</v>
      </c>
      <c r="B15" s="51" t="s">
        <v>242</v>
      </c>
      <c r="C15" s="14">
        <v>5764.77</v>
      </c>
      <c r="D15" s="15" t="s">
        <v>66</v>
      </c>
      <c r="E15" s="16">
        <v>0</v>
      </c>
      <c r="F15" s="17">
        <f>E15*C15</f>
        <v>0</v>
      </c>
      <c r="G15" s="49">
        <v>870</v>
      </c>
      <c r="H15" s="17">
        <f>G15*C15</f>
        <v>5015349.9000000004</v>
      </c>
      <c r="I15" s="49">
        <v>850</v>
      </c>
      <c r="J15" s="17">
        <f>I15*C15</f>
        <v>4900054.5</v>
      </c>
      <c r="K15" s="49">
        <v>990</v>
      </c>
      <c r="L15" s="17">
        <f>K15*C15</f>
        <v>5707122.3000000007</v>
      </c>
      <c r="M15" s="49">
        <v>910</v>
      </c>
      <c r="N15" s="17">
        <f>M15*C15</f>
        <v>5245940.7</v>
      </c>
      <c r="O15" s="18"/>
      <c r="P15" s="34">
        <v>838.2</v>
      </c>
      <c r="Q15" s="34">
        <f t="shared" ref="Q15:Q22" si="0">P15*C15</f>
        <v>4832030.2140000006</v>
      </c>
      <c r="R15" s="34">
        <v>0</v>
      </c>
      <c r="S15" s="34">
        <f t="shared" ref="S15:S22" si="1">R15*C15</f>
        <v>0</v>
      </c>
      <c r="T15" s="34">
        <v>0</v>
      </c>
      <c r="U15" s="34">
        <f t="shared" ref="U15:U22" si="2">T15*C15</f>
        <v>0</v>
      </c>
      <c r="V15" s="18"/>
      <c r="W15" s="37">
        <v>6010</v>
      </c>
      <c r="X15" s="34">
        <v>843.7</v>
      </c>
      <c r="Y15" s="34">
        <f>X15*W15</f>
        <v>5070637</v>
      </c>
      <c r="AI15" s="2">
        <f>250*30</f>
        <v>7500</v>
      </c>
    </row>
    <row r="16" spans="1:35" ht="57" x14ac:dyDescent="0.2">
      <c r="A16" s="12" t="s">
        <v>74</v>
      </c>
      <c r="B16" s="51" t="s">
        <v>104</v>
      </c>
      <c r="C16" s="14">
        <v>69.239999999999995</v>
      </c>
      <c r="D16" s="15" t="s">
        <v>66</v>
      </c>
      <c r="E16" s="16">
        <v>0</v>
      </c>
      <c r="F16" s="17">
        <f>E16*C16</f>
        <v>0</v>
      </c>
      <c r="G16" s="49">
        <v>870</v>
      </c>
      <c r="H16" s="17">
        <f>G16*C16</f>
        <v>60238.799999999996</v>
      </c>
      <c r="I16" s="49">
        <v>850</v>
      </c>
      <c r="J16" s="17">
        <f>I16*C16</f>
        <v>58853.999999999993</v>
      </c>
      <c r="K16" s="49">
        <v>990</v>
      </c>
      <c r="L16" s="17">
        <f>K16*C16</f>
        <v>68547.599999999991</v>
      </c>
      <c r="M16" s="49">
        <v>910</v>
      </c>
      <c r="N16" s="17">
        <f>M16*C16</f>
        <v>63008.399999999994</v>
      </c>
      <c r="O16" s="18"/>
      <c r="P16" s="34">
        <v>838.2</v>
      </c>
      <c r="Q16" s="34">
        <f t="shared" si="0"/>
        <v>58036.968000000001</v>
      </c>
      <c r="R16" s="34">
        <v>0</v>
      </c>
      <c r="S16" s="34">
        <f t="shared" si="1"/>
        <v>0</v>
      </c>
      <c r="T16" s="34">
        <v>0</v>
      </c>
      <c r="U16" s="34">
        <f t="shared" si="2"/>
        <v>0</v>
      </c>
      <c r="V16" s="18"/>
      <c r="W16" s="37">
        <v>0</v>
      </c>
      <c r="X16" s="34">
        <v>0</v>
      </c>
      <c r="Y16" s="34">
        <f>X16*W16</f>
        <v>0</v>
      </c>
      <c r="AI16" s="2">
        <f>AI15*12</f>
        <v>90000</v>
      </c>
    </row>
    <row r="17" spans="1:25" ht="118.35" customHeight="1" x14ac:dyDescent="0.2">
      <c r="A17" s="12" t="s">
        <v>75</v>
      </c>
      <c r="B17" s="51" t="s">
        <v>281</v>
      </c>
      <c r="C17" s="14">
        <v>1039.1600000000001</v>
      </c>
      <c r="D17" s="15" t="s">
        <v>66</v>
      </c>
      <c r="E17" s="16">
        <v>0</v>
      </c>
      <c r="F17" s="17">
        <f t="shared" ref="F17" si="3">E17*C17</f>
        <v>0</v>
      </c>
      <c r="G17" s="49">
        <v>921.69</v>
      </c>
      <c r="H17" s="17">
        <f>G17*C17</f>
        <v>957783.38040000014</v>
      </c>
      <c r="I17" s="49">
        <v>713</v>
      </c>
      <c r="J17" s="17">
        <f>I17*C17</f>
        <v>740921.08000000007</v>
      </c>
      <c r="K17" s="49">
        <v>940</v>
      </c>
      <c r="L17" s="17">
        <f>K17*C17</f>
        <v>976810.4</v>
      </c>
      <c r="M17" s="49">
        <v>810</v>
      </c>
      <c r="N17" s="17">
        <f>M17*C17</f>
        <v>841719.60000000009</v>
      </c>
      <c r="O17" s="18"/>
      <c r="P17" s="34">
        <v>700</v>
      </c>
      <c r="Q17" s="34">
        <f t="shared" si="0"/>
        <v>727412</v>
      </c>
      <c r="R17" s="34">
        <v>0</v>
      </c>
      <c r="S17" s="34">
        <f t="shared" si="1"/>
        <v>0</v>
      </c>
      <c r="T17" s="34">
        <v>0</v>
      </c>
      <c r="U17" s="34">
        <f t="shared" si="2"/>
        <v>0</v>
      </c>
      <c r="V17" s="18"/>
      <c r="W17" s="37">
        <v>1007</v>
      </c>
      <c r="X17" s="34">
        <v>712.5</v>
      </c>
      <c r="Y17" s="34">
        <f>W17*X17</f>
        <v>717487.5</v>
      </c>
    </row>
    <row r="18" spans="1:25" ht="72.599999999999994" customHeight="1" x14ac:dyDescent="0.2">
      <c r="A18" s="12" t="s">
        <v>76</v>
      </c>
      <c r="B18" s="51" t="s">
        <v>235</v>
      </c>
      <c r="C18" s="14"/>
      <c r="D18" s="15" t="s">
        <v>67</v>
      </c>
      <c r="E18" s="379" t="s">
        <v>273</v>
      </c>
      <c r="F18" s="380"/>
      <c r="G18" s="379" t="s">
        <v>266</v>
      </c>
      <c r="H18" s="380"/>
      <c r="I18" s="379" t="s">
        <v>273</v>
      </c>
      <c r="J18" s="380"/>
      <c r="K18" s="308" t="s">
        <v>283</v>
      </c>
      <c r="L18" s="309"/>
      <c r="M18" s="379" t="s">
        <v>273</v>
      </c>
      <c r="N18" s="380"/>
      <c r="O18" s="18"/>
      <c r="P18" s="34">
        <v>0</v>
      </c>
      <c r="Q18" s="34">
        <f t="shared" si="0"/>
        <v>0</v>
      </c>
      <c r="R18" s="34">
        <v>0</v>
      </c>
      <c r="S18" s="34">
        <f t="shared" si="1"/>
        <v>0</v>
      </c>
      <c r="T18" s="34">
        <v>0</v>
      </c>
      <c r="U18" s="34">
        <f t="shared" si="2"/>
        <v>0</v>
      </c>
      <c r="V18" s="18"/>
      <c r="W18" s="37">
        <v>0</v>
      </c>
      <c r="X18" s="34">
        <v>0</v>
      </c>
      <c r="Y18" s="34">
        <f>X18*W18</f>
        <v>0</v>
      </c>
    </row>
    <row r="19" spans="1:25" ht="52.7" customHeight="1" x14ac:dyDescent="0.2">
      <c r="A19" s="12" t="s">
        <v>77</v>
      </c>
      <c r="B19" s="51" t="s">
        <v>236</v>
      </c>
      <c r="C19" s="14">
        <v>263</v>
      </c>
      <c r="D19" s="15" t="s">
        <v>274</v>
      </c>
      <c r="E19" s="16">
        <v>0</v>
      </c>
      <c r="F19" s="17">
        <f>E19*C19</f>
        <v>0</v>
      </c>
      <c r="G19" s="49">
        <v>150</v>
      </c>
      <c r="H19" s="17">
        <f>G19*C19</f>
        <v>39450</v>
      </c>
      <c r="I19" s="379" t="s">
        <v>266</v>
      </c>
      <c r="J19" s="380"/>
      <c r="K19" s="49">
        <v>130</v>
      </c>
      <c r="L19" s="17">
        <f>K19*C19</f>
        <v>34190</v>
      </c>
      <c r="M19" s="49">
        <v>0</v>
      </c>
      <c r="N19" s="17">
        <f>M19*C19</f>
        <v>0</v>
      </c>
      <c r="O19" s="18"/>
      <c r="P19" s="34">
        <v>0</v>
      </c>
      <c r="Q19" s="34">
        <f t="shared" si="0"/>
        <v>0</v>
      </c>
      <c r="R19" s="34">
        <v>0</v>
      </c>
      <c r="S19" s="34">
        <f t="shared" si="1"/>
        <v>0</v>
      </c>
      <c r="T19" s="34">
        <v>0</v>
      </c>
      <c r="U19" s="34">
        <f t="shared" si="2"/>
        <v>0</v>
      </c>
      <c r="V19" s="18"/>
      <c r="W19" s="37">
        <v>0</v>
      </c>
      <c r="X19" s="34">
        <v>0</v>
      </c>
      <c r="Y19" s="34">
        <f>W19*X19</f>
        <v>0</v>
      </c>
    </row>
    <row r="20" spans="1:25" ht="52.7" customHeight="1" x14ac:dyDescent="0.2">
      <c r="A20" s="12">
        <v>5</v>
      </c>
      <c r="B20" s="51" t="s">
        <v>240</v>
      </c>
      <c r="C20" s="14">
        <v>0</v>
      </c>
      <c r="D20" s="15" t="s">
        <v>243</v>
      </c>
      <c r="E20" s="379" t="s">
        <v>273</v>
      </c>
      <c r="F20" s="380"/>
      <c r="G20" s="379" t="s">
        <v>273</v>
      </c>
      <c r="H20" s="380"/>
      <c r="I20" s="379" t="s">
        <v>273</v>
      </c>
      <c r="J20" s="380"/>
      <c r="K20" s="308" t="s">
        <v>251</v>
      </c>
      <c r="L20" s="309"/>
      <c r="M20" s="379" t="s">
        <v>273</v>
      </c>
      <c r="N20" s="380"/>
      <c r="O20" s="18"/>
      <c r="P20" s="34">
        <v>0</v>
      </c>
      <c r="Q20" s="34">
        <f t="shared" si="0"/>
        <v>0</v>
      </c>
      <c r="R20" s="34">
        <v>0</v>
      </c>
      <c r="S20" s="34">
        <f t="shared" si="1"/>
        <v>0</v>
      </c>
      <c r="T20" s="34">
        <v>0</v>
      </c>
      <c r="U20" s="34">
        <f t="shared" si="2"/>
        <v>0</v>
      </c>
      <c r="V20" s="18"/>
      <c r="W20" s="37">
        <v>0</v>
      </c>
      <c r="X20" s="34">
        <v>0</v>
      </c>
      <c r="Y20" s="34">
        <f t="shared" ref="Y20:Y34" si="4">W20*X20</f>
        <v>0</v>
      </c>
    </row>
    <row r="21" spans="1:25" ht="70.349999999999994" customHeight="1" x14ac:dyDescent="0.2">
      <c r="A21" s="12">
        <v>6</v>
      </c>
      <c r="B21" s="51" t="s">
        <v>241</v>
      </c>
      <c r="C21" s="14">
        <v>8.1199999999999992</v>
      </c>
      <c r="D21" s="15" t="s">
        <v>243</v>
      </c>
      <c r="E21" s="16">
        <v>0</v>
      </c>
      <c r="F21" s="17">
        <f>E21*C21</f>
        <v>0</v>
      </c>
      <c r="G21" s="308" t="s">
        <v>285</v>
      </c>
      <c r="H21" s="309"/>
      <c r="I21" s="381" t="s">
        <v>282</v>
      </c>
      <c r="J21" s="382"/>
      <c r="K21" s="308" t="s">
        <v>251</v>
      </c>
      <c r="L21" s="309"/>
      <c r="M21" s="49">
        <v>0</v>
      </c>
      <c r="N21" s="17">
        <f>M21*C21</f>
        <v>0</v>
      </c>
      <c r="O21" s="18"/>
      <c r="P21" s="34">
        <v>0</v>
      </c>
      <c r="Q21" s="34">
        <f t="shared" si="0"/>
        <v>0</v>
      </c>
      <c r="R21" s="34">
        <v>0</v>
      </c>
      <c r="S21" s="34">
        <f t="shared" si="1"/>
        <v>0</v>
      </c>
      <c r="T21" s="34">
        <v>0</v>
      </c>
      <c r="U21" s="34">
        <f t="shared" si="2"/>
        <v>0</v>
      </c>
      <c r="V21" s="18"/>
      <c r="W21" s="37">
        <v>0</v>
      </c>
      <c r="X21" s="34">
        <v>0</v>
      </c>
      <c r="Y21" s="34">
        <f t="shared" si="4"/>
        <v>0</v>
      </c>
    </row>
    <row r="22" spans="1:25" ht="70.349999999999994" customHeight="1" x14ac:dyDescent="0.2">
      <c r="A22" s="12">
        <v>6</v>
      </c>
      <c r="B22" s="51" t="s">
        <v>249</v>
      </c>
      <c r="C22" s="14">
        <v>2526.4</v>
      </c>
      <c r="D22" s="15" t="s">
        <v>243</v>
      </c>
      <c r="E22" s="381" t="s">
        <v>267</v>
      </c>
      <c r="F22" s="382"/>
      <c r="G22" s="49">
        <v>15</v>
      </c>
      <c r="H22" s="17">
        <f>G22*C22</f>
        <v>37896</v>
      </c>
      <c r="I22" s="383" t="s">
        <v>286</v>
      </c>
      <c r="J22" s="384"/>
      <c r="K22" s="383" t="s">
        <v>286</v>
      </c>
      <c r="L22" s="384"/>
      <c r="M22" s="383" t="s">
        <v>286</v>
      </c>
      <c r="N22" s="384"/>
      <c r="O22" s="18"/>
      <c r="P22" s="34">
        <v>0</v>
      </c>
      <c r="Q22" s="34">
        <f t="shared" si="0"/>
        <v>0</v>
      </c>
      <c r="R22" s="34">
        <v>0</v>
      </c>
      <c r="S22" s="34">
        <f t="shared" si="1"/>
        <v>0</v>
      </c>
      <c r="T22" s="34">
        <v>0</v>
      </c>
      <c r="U22" s="34">
        <f t="shared" si="2"/>
        <v>0</v>
      </c>
      <c r="V22" s="18"/>
      <c r="W22" s="37">
        <v>0</v>
      </c>
      <c r="X22" s="34">
        <v>0</v>
      </c>
      <c r="Y22" s="34">
        <f t="shared" si="4"/>
        <v>0</v>
      </c>
    </row>
    <row r="23" spans="1:25" s="101" customFormat="1" ht="21" customHeight="1" x14ac:dyDescent="0.2">
      <c r="A23" s="102"/>
      <c r="B23" s="103" t="s">
        <v>61</v>
      </c>
      <c r="C23" s="104"/>
      <c r="D23" s="105"/>
      <c r="E23" s="106"/>
      <c r="F23" s="107">
        <f>SUM(F24:F29)</f>
        <v>0</v>
      </c>
      <c r="G23" s="106"/>
      <c r="H23" s="107">
        <f>SUM(H24:H29)</f>
        <v>191118.8</v>
      </c>
      <c r="I23" s="106"/>
      <c r="J23" s="107">
        <f>SUM(J24:J29)</f>
        <v>90303.8</v>
      </c>
      <c r="K23" s="106"/>
      <c r="L23" s="107">
        <f>SUM(L24:L29)</f>
        <v>90306.8</v>
      </c>
      <c r="M23" s="106"/>
      <c r="N23" s="107">
        <f>SUM(N24:N29)</f>
        <v>157797.19999999998</v>
      </c>
      <c r="O23" s="108"/>
      <c r="P23" s="109"/>
      <c r="Q23" s="109"/>
      <c r="R23" s="109"/>
      <c r="S23" s="109"/>
      <c r="T23" s="109"/>
      <c r="U23" s="109"/>
      <c r="V23" s="108"/>
      <c r="W23" s="110"/>
      <c r="X23" s="109"/>
      <c r="Y23" s="109"/>
    </row>
    <row r="24" spans="1:25" ht="41.45" customHeight="1" x14ac:dyDescent="0.2">
      <c r="A24" s="12"/>
      <c r="B24" s="51" t="s">
        <v>237</v>
      </c>
      <c r="C24" s="14">
        <v>0</v>
      </c>
      <c r="D24" s="15" t="s">
        <v>69</v>
      </c>
      <c r="E24" s="383" t="s">
        <v>266</v>
      </c>
      <c r="F24" s="384"/>
      <c r="G24" s="49">
        <v>0</v>
      </c>
      <c r="H24" s="88">
        <f t="shared" ref="H24:H29" si="5">G24*C24</f>
        <v>0</v>
      </c>
      <c r="I24" s="383" t="s">
        <v>266</v>
      </c>
      <c r="J24" s="384"/>
      <c r="K24" s="308" t="s">
        <v>251</v>
      </c>
      <c r="L24" s="309"/>
      <c r="M24" s="383" t="s">
        <v>266</v>
      </c>
      <c r="N24" s="384"/>
      <c r="O24" s="59"/>
      <c r="P24" s="305" t="s">
        <v>109</v>
      </c>
      <c r="Q24" s="306"/>
      <c r="R24" s="38">
        <v>0</v>
      </c>
      <c r="S24" s="34">
        <f t="shared" ref="S24:S29" si="6">R24*C24</f>
        <v>0</v>
      </c>
      <c r="T24" s="38">
        <v>0</v>
      </c>
      <c r="U24" s="34">
        <f t="shared" ref="U24:U29" si="7">T24*C24</f>
        <v>0</v>
      </c>
      <c r="V24" s="18"/>
      <c r="W24" s="89">
        <v>0</v>
      </c>
      <c r="X24" s="38">
        <v>0</v>
      </c>
      <c r="Y24" s="34">
        <f t="shared" si="4"/>
        <v>0</v>
      </c>
    </row>
    <row r="25" spans="1:25" ht="34.35" customHeight="1" x14ac:dyDescent="0.2">
      <c r="A25" s="12"/>
      <c r="B25" s="51" t="s">
        <v>239</v>
      </c>
      <c r="C25" s="14">
        <v>172</v>
      </c>
      <c r="D25" s="15" t="s">
        <v>274</v>
      </c>
      <c r="E25" s="49">
        <v>0</v>
      </c>
      <c r="F25" s="88">
        <f t="shared" ref="F25:F34" si="8">E25*C25</f>
        <v>0</v>
      </c>
      <c r="G25" s="49">
        <v>285</v>
      </c>
      <c r="H25" s="88">
        <f t="shared" si="5"/>
        <v>49020</v>
      </c>
      <c r="I25" s="383" t="s">
        <v>266</v>
      </c>
      <c r="J25" s="384"/>
      <c r="K25" s="49">
        <v>0</v>
      </c>
      <c r="L25" s="17">
        <f t="shared" ref="L25:L29" si="9">K25*C25</f>
        <v>0</v>
      </c>
      <c r="M25" s="49">
        <v>210</v>
      </c>
      <c r="N25" s="17">
        <f>M25*C25</f>
        <v>36120</v>
      </c>
      <c r="O25" s="59"/>
      <c r="P25" s="38">
        <v>0</v>
      </c>
      <c r="Q25" s="34">
        <f>P25*C25</f>
        <v>0</v>
      </c>
      <c r="R25" s="38">
        <v>0</v>
      </c>
      <c r="S25" s="34">
        <f t="shared" si="6"/>
        <v>0</v>
      </c>
      <c r="T25" s="38">
        <v>0</v>
      </c>
      <c r="U25" s="34">
        <f t="shared" si="7"/>
        <v>0</v>
      </c>
      <c r="V25" s="18"/>
      <c r="W25" s="89">
        <v>0</v>
      </c>
      <c r="X25" s="38">
        <v>0</v>
      </c>
      <c r="Y25" s="34">
        <f t="shared" si="4"/>
        <v>0</v>
      </c>
    </row>
    <row r="26" spans="1:25" ht="34.700000000000003" customHeight="1" x14ac:dyDescent="0.2">
      <c r="A26" s="12"/>
      <c r="B26" s="51" t="s">
        <v>238</v>
      </c>
      <c r="C26" s="14">
        <v>0</v>
      </c>
      <c r="D26" s="15" t="s">
        <v>110</v>
      </c>
      <c r="E26" s="308" t="s">
        <v>266</v>
      </c>
      <c r="F26" s="309"/>
      <c r="G26" s="49">
        <v>0</v>
      </c>
      <c r="H26" s="88">
        <f t="shared" si="5"/>
        <v>0</v>
      </c>
      <c r="I26" s="308" t="s">
        <v>266</v>
      </c>
      <c r="J26" s="309"/>
      <c r="K26" s="308" t="s">
        <v>284</v>
      </c>
      <c r="L26" s="309"/>
      <c r="M26" s="308" t="s">
        <v>266</v>
      </c>
      <c r="N26" s="309"/>
      <c r="O26" s="59"/>
      <c r="P26" s="38">
        <v>30</v>
      </c>
      <c r="Q26" s="34">
        <f>P26*C26</f>
        <v>0</v>
      </c>
      <c r="R26" s="38">
        <v>0</v>
      </c>
      <c r="S26" s="34">
        <f t="shared" si="6"/>
        <v>0</v>
      </c>
      <c r="T26" s="38">
        <v>0</v>
      </c>
      <c r="U26" s="34">
        <f t="shared" si="7"/>
        <v>0</v>
      </c>
      <c r="V26" s="18"/>
      <c r="W26" s="89">
        <v>0</v>
      </c>
      <c r="X26" s="38">
        <v>0</v>
      </c>
      <c r="Y26" s="34">
        <f t="shared" si="4"/>
        <v>0</v>
      </c>
    </row>
    <row r="27" spans="1:25" ht="18.75" customHeight="1" x14ac:dyDescent="0.2">
      <c r="A27" s="12"/>
      <c r="B27" s="51" t="s">
        <v>268</v>
      </c>
      <c r="C27" s="14">
        <v>754.98</v>
      </c>
      <c r="D27" s="15" t="s">
        <v>110</v>
      </c>
      <c r="E27" s="49">
        <v>0</v>
      </c>
      <c r="F27" s="88">
        <f>E27*C27</f>
        <v>0</v>
      </c>
      <c r="G27" s="49">
        <v>60</v>
      </c>
      <c r="H27" s="88">
        <f t="shared" si="5"/>
        <v>45298.8</v>
      </c>
      <c r="I27" s="49">
        <v>60</v>
      </c>
      <c r="J27" s="17">
        <f>I27*C27</f>
        <v>45298.8</v>
      </c>
      <c r="K27" s="49">
        <v>60</v>
      </c>
      <c r="L27" s="17">
        <f t="shared" si="9"/>
        <v>45298.8</v>
      </c>
      <c r="M27" s="49">
        <v>85</v>
      </c>
      <c r="N27" s="17">
        <f>M27*C27</f>
        <v>64173.3</v>
      </c>
      <c r="O27" s="59"/>
      <c r="P27" s="38">
        <v>0</v>
      </c>
      <c r="Q27" s="34">
        <f>P27*C27</f>
        <v>0</v>
      </c>
      <c r="R27" s="38">
        <v>0</v>
      </c>
      <c r="S27" s="34">
        <f t="shared" si="6"/>
        <v>0</v>
      </c>
      <c r="T27" s="38">
        <v>0</v>
      </c>
      <c r="U27" s="34">
        <f t="shared" si="7"/>
        <v>0</v>
      </c>
      <c r="V27" s="18"/>
      <c r="W27" s="89">
        <v>0</v>
      </c>
      <c r="X27" s="38">
        <v>0</v>
      </c>
      <c r="Y27" s="34">
        <f t="shared" si="4"/>
        <v>0</v>
      </c>
    </row>
    <row r="28" spans="1:25" ht="18.75" customHeight="1" x14ac:dyDescent="0.2">
      <c r="A28" s="12"/>
      <c r="B28" s="51" t="s">
        <v>270</v>
      </c>
      <c r="C28" s="14">
        <v>5</v>
      </c>
      <c r="D28" s="15" t="s">
        <v>272</v>
      </c>
      <c r="E28" s="49">
        <v>0</v>
      </c>
      <c r="F28" s="88">
        <f>E28*C28</f>
        <v>0</v>
      </c>
      <c r="G28" s="49">
        <v>19360</v>
      </c>
      <c r="H28" s="88">
        <f t="shared" si="5"/>
        <v>96800</v>
      </c>
      <c r="I28" s="49">
        <v>9000</v>
      </c>
      <c r="J28" s="17">
        <f>I28*C28</f>
        <v>45000</v>
      </c>
      <c r="K28" s="49">
        <v>9000</v>
      </c>
      <c r="L28" s="17">
        <f t="shared" si="9"/>
        <v>45000</v>
      </c>
      <c r="M28" s="49">
        <v>11500</v>
      </c>
      <c r="N28" s="17">
        <f>M28*C28</f>
        <v>57500</v>
      </c>
      <c r="O28" s="59"/>
      <c r="P28" s="38">
        <v>0</v>
      </c>
      <c r="Q28" s="34">
        <f>P28*C28</f>
        <v>0</v>
      </c>
      <c r="R28" s="38">
        <v>0</v>
      </c>
      <c r="S28" s="34">
        <f t="shared" si="6"/>
        <v>0</v>
      </c>
      <c r="T28" s="38">
        <v>0</v>
      </c>
      <c r="U28" s="34">
        <f t="shared" si="7"/>
        <v>0</v>
      </c>
      <c r="V28" s="18"/>
      <c r="W28" s="89">
        <v>13</v>
      </c>
      <c r="X28" s="38">
        <f>74117/W28</f>
        <v>5701.3076923076924</v>
      </c>
      <c r="Y28" s="34">
        <f>X28*W28</f>
        <v>74117</v>
      </c>
    </row>
    <row r="29" spans="1:25" ht="18.75" customHeight="1" x14ac:dyDescent="0.2">
      <c r="A29" s="12"/>
      <c r="B29" s="51" t="s">
        <v>275</v>
      </c>
      <c r="C29" s="14">
        <v>1</v>
      </c>
      <c r="D29" s="15" t="s">
        <v>67</v>
      </c>
      <c r="E29" s="49">
        <v>0</v>
      </c>
      <c r="F29" s="88">
        <f t="shared" si="8"/>
        <v>0</v>
      </c>
      <c r="G29" s="49">
        <v>0</v>
      </c>
      <c r="H29" s="88">
        <f t="shared" si="5"/>
        <v>0</v>
      </c>
      <c r="I29" s="49">
        <v>5</v>
      </c>
      <c r="J29" s="17">
        <f>I29*C29</f>
        <v>5</v>
      </c>
      <c r="K29" s="49">
        <v>8</v>
      </c>
      <c r="L29" s="17">
        <f t="shared" si="9"/>
        <v>8</v>
      </c>
      <c r="M29" s="49">
        <v>3.9</v>
      </c>
      <c r="N29" s="17">
        <f>M29*C29</f>
        <v>3.9</v>
      </c>
      <c r="O29" s="59"/>
      <c r="P29" s="38">
        <v>0</v>
      </c>
      <c r="Q29" s="34">
        <f>P29*C29</f>
        <v>0</v>
      </c>
      <c r="R29" s="38">
        <v>0</v>
      </c>
      <c r="S29" s="34">
        <f t="shared" si="6"/>
        <v>0</v>
      </c>
      <c r="T29" s="38">
        <v>0</v>
      </c>
      <c r="U29" s="34">
        <f t="shared" si="7"/>
        <v>0</v>
      </c>
      <c r="V29" s="18"/>
      <c r="W29" s="89">
        <v>0</v>
      </c>
      <c r="X29" s="38">
        <v>0</v>
      </c>
      <c r="Y29" s="34">
        <f t="shared" si="4"/>
        <v>0</v>
      </c>
    </row>
    <row r="30" spans="1:25" s="101" customFormat="1" ht="18.75" customHeight="1" x14ac:dyDescent="0.2">
      <c r="A30" s="102"/>
      <c r="B30" s="103" t="s">
        <v>97</v>
      </c>
      <c r="C30" s="104"/>
      <c r="D30" s="105"/>
      <c r="E30" s="106"/>
      <c r="F30" s="107">
        <f>SUM(F31:F34)</f>
        <v>0</v>
      </c>
      <c r="G30" s="106"/>
      <c r="H30" s="107">
        <f>SUM(H31:H36)</f>
        <v>0</v>
      </c>
      <c r="I30" s="106"/>
      <c r="J30" s="107">
        <f>SUM(J31:J36)</f>
        <v>0</v>
      </c>
      <c r="K30" s="106"/>
      <c r="L30" s="107">
        <f>SUM(L31:L36)</f>
        <v>0</v>
      </c>
      <c r="M30" s="106"/>
      <c r="N30" s="107">
        <f>SUM(N31:N36)</f>
        <v>0</v>
      </c>
      <c r="O30" s="108"/>
      <c r="P30" s="109"/>
      <c r="Q30" s="109"/>
      <c r="R30" s="109"/>
      <c r="S30" s="109"/>
      <c r="T30" s="109"/>
      <c r="U30" s="109"/>
      <c r="V30" s="108"/>
      <c r="W30" s="110"/>
      <c r="X30" s="109"/>
      <c r="Y30" s="109"/>
    </row>
    <row r="31" spans="1:25" ht="18.75" customHeight="1" x14ac:dyDescent="0.2">
      <c r="A31" s="12"/>
      <c r="B31" s="51" t="s">
        <v>59</v>
      </c>
      <c r="C31" s="14">
        <v>0</v>
      </c>
      <c r="D31" s="15" t="s">
        <v>68</v>
      </c>
      <c r="E31" s="16">
        <v>0</v>
      </c>
      <c r="F31" s="88">
        <f t="shared" si="8"/>
        <v>0</v>
      </c>
      <c r="G31" s="49">
        <v>0</v>
      </c>
      <c r="H31" s="88">
        <f>G31*C31</f>
        <v>0</v>
      </c>
      <c r="I31" s="49">
        <v>270</v>
      </c>
      <c r="J31" s="17">
        <f>I31*C31</f>
        <v>0</v>
      </c>
      <c r="K31" s="49">
        <v>0</v>
      </c>
      <c r="L31" s="17">
        <f>K31*C31</f>
        <v>0</v>
      </c>
      <c r="M31" s="49">
        <v>425</v>
      </c>
      <c r="N31" s="17">
        <f>M31*C31</f>
        <v>0</v>
      </c>
      <c r="O31" s="18"/>
      <c r="P31" s="34">
        <v>0</v>
      </c>
      <c r="Q31" s="34">
        <f>P31*C31</f>
        <v>0</v>
      </c>
      <c r="R31" s="34">
        <v>0</v>
      </c>
      <c r="S31" s="34">
        <f>R31*C31</f>
        <v>0</v>
      </c>
      <c r="T31" s="34">
        <v>0</v>
      </c>
      <c r="U31" s="34">
        <f>T31*C31</f>
        <v>0</v>
      </c>
      <c r="V31" s="18"/>
      <c r="W31" s="37">
        <v>0</v>
      </c>
      <c r="X31" s="34">
        <v>0</v>
      </c>
      <c r="Y31" s="34">
        <f t="shared" si="4"/>
        <v>0</v>
      </c>
    </row>
    <row r="32" spans="1:25" ht="18.75" customHeight="1" x14ac:dyDescent="0.2">
      <c r="A32" s="12"/>
      <c r="B32" s="51" t="s">
        <v>65</v>
      </c>
      <c r="C32" s="14">
        <v>0</v>
      </c>
      <c r="D32" s="15" t="s">
        <v>68</v>
      </c>
      <c r="E32" s="16">
        <v>0</v>
      </c>
      <c r="F32" s="88">
        <f t="shared" si="8"/>
        <v>0</v>
      </c>
      <c r="G32" s="49">
        <v>0</v>
      </c>
      <c r="H32" s="88">
        <f>G32*C32</f>
        <v>0</v>
      </c>
      <c r="I32" s="49">
        <v>300</v>
      </c>
      <c r="J32" s="17">
        <f>I32*C32</f>
        <v>0</v>
      </c>
      <c r="K32" s="49">
        <v>0</v>
      </c>
      <c r="L32" s="17">
        <f>K32*C32</f>
        <v>0</v>
      </c>
      <c r="M32" s="49">
        <v>559</v>
      </c>
      <c r="N32" s="17">
        <f>M32*C32</f>
        <v>0</v>
      </c>
      <c r="O32" s="18"/>
      <c r="P32" s="34">
        <v>0</v>
      </c>
      <c r="Q32" s="34">
        <f>P32*C32</f>
        <v>0</v>
      </c>
      <c r="R32" s="34">
        <v>0</v>
      </c>
      <c r="S32" s="34">
        <f>R32*C32</f>
        <v>0</v>
      </c>
      <c r="T32" s="34">
        <v>0</v>
      </c>
      <c r="U32" s="34">
        <f>T32*C32</f>
        <v>0</v>
      </c>
      <c r="V32" s="18"/>
      <c r="W32" s="37">
        <v>0</v>
      </c>
      <c r="X32" s="34">
        <v>0</v>
      </c>
      <c r="Y32" s="34">
        <f t="shared" si="4"/>
        <v>0</v>
      </c>
    </row>
    <row r="33" spans="1:29" ht="20.25" customHeight="1" x14ac:dyDescent="0.2">
      <c r="A33" s="12"/>
      <c r="B33" s="13" t="s">
        <v>60</v>
      </c>
      <c r="C33" s="14">
        <v>0</v>
      </c>
      <c r="D33" s="15" t="s">
        <v>68</v>
      </c>
      <c r="E33" s="16">
        <v>0</v>
      </c>
      <c r="F33" s="88">
        <f t="shared" si="8"/>
        <v>0</v>
      </c>
      <c r="G33" s="49">
        <v>0</v>
      </c>
      <c r="H33" s="88">
        <f>G33*C33</f>
        <v>0</v>
      </c>
      <c r="I33" s="49">
        <v>400</v>
      </c>
      <c r="J33" s="17">
        <f>I33*C33</f>
        <v>0</v>
      </c>
      <c r="K33" s="49">
        <v>0</v>
      </c>
      <c r="L33" s="17">
        <f>K33*C33</f>
        <v>0</v>
      </c>
      <c r="M33" s="49">
        <v>725</v>
      </c>
      <c r="N33" s="17">
        <f>M33*C33</f>
        <v>0</v>
      </c>
      <c r="O33" s="18"/>
      <c r="P33" s="34">
        <v>0</v>
      </c>
      <c r="Q33" s="34">
        <f>P33*C33</f>
        <v>0</v>
      </c>
      <c r="R33" s="34">
        <v>0</v>
      </c>
      <c r="S33" s="34">
        <f>R33*C33</f>
        <v>0</v>
      </c>
      <c r="T33" s="34">
        <v>0</v>
      </c>
      <c r="U33" s="34">
        <f>T33*C33</f>
        <v>0</v>
      </c>
      <c r="V33" s="18"/>
      <c r="W33" s="37">
        <v>0</v>
      </c>
      <c r="X33" s="38">
        <v>0</v>
      </c>
      <c r="Y33" s="34">
        <f t="shared" si="4"/>
        <v>0</v>
      </c>
    </row>
    <row r="34" spans="1:29" ht="20.25" customHeight="1" x14ac:dyDescent="0.2">
      <c r="A34" s="12"/>
      <c r="B34" s="13" t="s">
        <v>64</v>
      </c>
      <c r="C34" s="14">
        <v>0</v>
      </c>
      <c r="D34" s="15" t="s">
        <v>70</v>
      </c>
      <c r="E34" s="16">
        <v>0</v>
      </c>
      <c r="F34" s="88">
        <f t="shared" si="8"/>
        <v>0</v>
      </c>
      <c r="G34" s="16">
        <v>0</v>
      </c>
      <c r="H34" s="88">
        <f>G34*C34</f>
        <v>0</v>
      </c>
      <c r="I34" s="16">
        <v>0</v>
      </c>
      <c r="J34" s="17">
        <f>I34*C34</f>
        <v>0</v>
      </c>
      <c r="K34" s="16">
        <v>0</v>
      </c>
      <c r="L34" s="17">
        <f>K34*C34</f>
        <v>0</v>
      </c>
      <c r="M34" s="16">
        <v>0</v>
      </c>
      <c r="N34" s="17">
        <f>M34*C34</f>
        <v>0</v>
      </c>
      <c r="O34" s="18"/>
      <c r="P34" s="34">
        <v>0</v>
      </c>
      <c r="Q34" s="34">
        <f>P34*C34</f>
        <v>0</v>
      </c>
      <c r="R34" s="34">
        <v>0</v>
      </c>
      <c r="S34" s="34">
        <f>R34*C34</f>
        <v>0</v>
      </c>
      <c r="T34" s="34">
        <v>0</v>
      </c>
      <c r="U34" s="34">
        <f>T34*C34</f>
        <v>0</v>
      </c>
      <c r="V34" s="18"/>
      <c r="W34" s="37">
        <v>0</v>
      </c>
      <c r="X34" s="38">
        <v>0</v>
      </c>
      <c r="Y34" s="34">
        <f t="shared" si="4"/>
        <v>0</v>
      </c>
    </row>
    <row r="35" spans="1:29" ht="20.25" customHeight="1" x14ac:dyDescent="0.2">
      <c r="A35" s="12"/>
      <c r="B35" s="13"/>
      <c r="C35" s="14"/>
      <c r="D35" s="15"/>
      <c r="E35" s="16"/>
      <c r="F35" s="88"/>
      <c r="G35" s="16"/>
      <c r="H35" s="88"/>
      <c r="I35" s="16"/>
      <c r="J35" s="17"/>
      <c r="K35" s="16"/>
      <c r="L35" s="17"/>
      <c r="M35" s="16"/>
      <c r="N35" s="17"/>
      <c r="O35" s="18"/>
      <c r="P35" s="34"/>
      <c r="Q35" s="34"/>
      <c r="R35" s="34"/>
      <c r="S35" s="34"/>
      <c r="T35" s="34"/>
      <c r="U35" s="34"/>
      <c r="V35" s="18"/>
      <c r="W35" s="37"/>
      <c r="X35" s="38"/>
      <c r="Y35" s="34"/>
    </row>
    <row r="36" spans="1:29" ht="19.350000000000001" customHeight="1" x14ac:dyDescent="0.2">
      <c r="A36" s="12"/>
      <c r="B36" s="13" t="s">
        <v>228</v>
      </c>
      <c r="C36" s="14">
        <v>0</v>
      </c>
      <c r="D36" s="15"/>
      <c r="E36" s="16"/>
      <c r="F36" s="162" t="e">
        <f>+E39/$C$36</f>
        <v>#DIV/0!</v>
      </c>
      <c r="G36" s="16"/>
      <c r="H36" s="17"/>
      <c r="I36" s="16"/>
      <c r="J36" s="17"/>
      <c r="K36" s="16"/>
      <c r="L36" s="17"/>
      <c r="M36" s="16"/>
      <c r="N36" s="17"/>
      <c r="O36" s="18"/>
      <c r="P36" s="34"/>
      <c r="Q36" s="34"/>
      <c r="R36" s="34"/>
      <c r="S36" s="34"/>
      <c r="T36" s="34"/>
      <c r="U36" s="34"/>
      <c r="V36" s="18"/>
      <c r="W36" s="37"/>
      <c r="X36" s="38"/>
      <c r="Y36" s="34"/>
    </row>
    <row r="37" spans="1:29" ht="20.100000000000001" customHeight="1" x14ac:dyDescent="0.2">
      <c r="A37" s="316" t="s">
        <v>37</v>
      </c>
      <c r="B37" s="317"/>
      <c r="C37" s="317"/>
      <c r="D37" s="318"/>
      <c r="E37" s="254">
        <f>SUM(F15:F34)</f>
        <v>0</v>
      </c>
      <c r="F37" s="255"/>
      <c r="G37" s="254">
        <f>G39</f>
        <v>6301836.8804000001</v>
      </c>
      <c r="H37" s="255"/>
      <c r="I37" s="254">
        <v>6557547.5999999996</v>
      </c>
      <c r="J37" s="255"/>
      <c r="K37" s="254">
        <f>K39</f>
        <v>6876977.1000000006</v>
      </c>
      <c r="L37" s="255"/>
      <c r="M37" s="254">
        <f>M39</f>
        <v>6308465.9000000013</v>
      </c>
      <c r="N37" s="255"/>
      <c r="O37" s="19"/>
      <c r="P37" s="307">
        <f>SUM(Q15:Q34)</f>
        <v>5617479.182000001</v>
      </c>
      <c r="Q37" s="307"/>
      <c r="R37" s="307">
        <f>SUM(S15:S34)</f>
        <v>0</v>
      </c>
      <c r="S37" s="307"/>
      <c r="T37" s="307">
        <f>SUM(U15:U34)</f>
        <v>0</v>
      </c>
      <c r="U37" s="307"/>
      <c r="V37" s="19"/>
      <c r="W37" s="333" t="s">
        <v>21</v>
      </c>
      <c r="X37" s="333"/>
      <c r="Y37" s="70">
        <f>SUM(Y15:Y34)</f>
        <v>5862241.5</v>
      </c>
    </row>
    <row r="38" spans="1:29" ht="20.100000000000001" customHeight="1" x14ac:dyDescent="0.2">
      <c r="A38" s="316" t="s">
        <v>8</v>
      </c>
      <c r="B38" s="317"/>
      <c r="C38" s="317"/>
      <c r="D38" s="318"/>
      <c r="E38" s="256">
        <v>0</v>
      </c>
      <c r="F38" s="257"/>
      <c r="G38" s="256">
        <f>G37-G39</f>
        <v>0</v>
      </c>
      <c r="H38" s="257"/>
      <c r="I38" s="256">
        <f>I37-I39</f>
        <v>767414.21999999974</v>
      </c>
      <c r="J38" s="257"/>
      <c r="K38" s="256">
        <v>0</v>
      </c>
      <c r="L38" s="257"/>
      <c r="M38" s="256">
        <v>0</v>
      </c>
      <c r="N38" s="257"/>
      <c r="O38" s="4"/>
      <c r="P38" s="307">
        <f>P39-P37</f>
        <v>0</v>
      </c>
      <c r="Q38" s="307"/>
      <c r="R38" s="307">
        <f>R39-R37</f>
        <v>0</v>
      </c>
      <c r="S38" s="307"/>
      <c r="T38" s="331">
        <f>T39-T37</f>
        <v>0</v>
      </c>
      <c r="U38" s="332"/>
      <c r="V38" s="19"/>
      <c r="W38" s="333" t="s">
        <v>51</v>
      </c>
      <c r="X38" s="333"/>
      <c r="Y38" s="39">
        <f>Y37*(Y11/Y9)</f>
        <v>6161711.1553175524</v>
      </c>
    </row>
    <row r="39" spans="1:29" ht="20.100000000000001" customHeight="1" x14ac:dyDescent="0.2">
      <c r="A39" s="316" t="s">
        <v>36</v>
      </c>
      <c r="B39" s="317"/>
      <c r="C39" s="317"/>
      <c r="D39" s="318"/>
      <c r="E39" s="254">
        <f>F30+F23+F14</f>
        <v>0</v>
      </c>
      <c r="F39" s="258"/>
      <c r="G39" s="254">
        <f>H30+H23+H14</f>
        <v>6301836.8804000001</v>
      </c>
      <c r="H39" s="258"/>
      <c r="I39" s="254">
        <f>J30+J23+J14</f>
        <v>5790133.3799999999</v>
      </c>
      <c r="J39" s="258"/>
      <c r="K39" s="254">
        <f>L30+L23+L14</f>
        <v>6876977.1000000006</v>
      </c>
      <c r="L39" s="258"/>
      <c r="M39" s="254">
        <f>N30+N23+N14</f>
        <v>6308465.9000000013</v>
      </c>
      <c r="N39" s="258"/>
      <c r="O39" s="4"/>
      <c r="P39" s="307">
        <f>SUM(Q15:Q34)</f>
        <v>5617479.182000001</v>
      </c>
      <c r="Q39" s="269"/>
      <c r="R39" s="307">
        <f>SUM(S15:S34)</f>
        <v>0</v>
      </c>
      <c r="S39" s="269"/>
      <c r="T39" s="307">
        <f>SUM(U15:U34)</f>
        <v>0</v>
      </c>
      <c r="U39" s="269"/>
      <c r="V39" s="4"/>
      <c r="W39" s="334"/>
      <c r="X39" s="335"/>
      <c r="Y39" s="336"/>
    </row>
    <row r="40" spans="1:29" ht="20.100000000000001" customHeight="1" x14ac:dyDescent="0.2">
      <c r="A40" s="20"/>
      <c r="B40" s="21"/>
      <c r="C40" s="21"/>
      <c r="D40" s="22" t="s">
        <v>45</v>
      </c>
      <c r="E40" s="259" t="e">
        <f>E38/E39</f>
        <v>#DIV/0!</v>
      </c>
      <c r="F40" s="260"/>
      <c r="G40" s="259">
        <f>G38/G39</f>
        <v>0</v>
      </c>
      <c r="H40" s="260"/>
      <c r="I40" s="259">
        <f>I38/I39</f>
        <v>0.13253826287504275</v>
      </c>
      <c r="J40" s="260"/>
      <c r="K40" s="259">
        <f>K38/K39</f>
        <v>0</v>
      </c>
      <c r="L40" s="260"/>
      <c r="M40" s="259">
        <f>M38/M39</f>
        <v>0</v>
      </c>
      <c r="N40" s="260"/>
      <c r="O40" s="65"/>
      <c r="P40" s="331"/>
      <c r="Q40" s="332"/>
      <c r="R40" s="331"/>
      <c r="S40" s="332"/>
      <c r="T40" s="331"/>
      <c r="U40" s="332"/>
      <c r="V40" s="19"/>
      <c r="W40" s="307" t="s">
        <v>27</v>
      </c>
      <c r="X40" s="307"/>
      <c r="Y40" s="307"/>
    </row>
    <row r="41" spans="1:29" ht="21.95" customHeight="1" x14ac:dyDescent="0.2">
      <c r="A41" s="351" t="s">
        <v>7</v>
      </c>
      <c r="B41" s="352"/>
      <c r="C41" s="352"/>
      <c r="D41" s="353"/>
      <c r="E41" s="261">
        <f>(E39/Y38)-1</f>
        <v>-1</v>
      </c>
      <c r="F41" s="262"/>
      <c r="G41" s="261">
        <f>(G39/Y38)-1</f>
        <v>2.2741365434100214E-2</v>
      </c>
      <c r="H41" s="262"/>
      <c r="I41" s="261">
        <f>(I39/Y37)-1</f>
        <v>-1.2300434910434865E-2</v>
      </c>
      <c r="J41" s="262"/>
      <c r="K41" s="261" t="e">
        <f>(K39/W38)-1</f>
        <v>#VALUE!</v>
      </c>
      <c r="L41" s="262"/>
      <c r="M41" s="261" t="e">
        <f>(M39/W38)-1</f>
        <v>#VALUE!</v>
      </c>
      <c r="N41" s="262"/>
      <c r="O41" s="23"/>
      <c r="P41" s="337">
        <f>(P39/$Y$38)-1</f>
        <v>-8.8324811014206639E-2</v>
      </c>
      <c r="Q41" s="337"/>
      <c r="R41" s="337">
        <f>(R39/$Y$38)-1</f>
        <v>-1</v>
      </c>
      <c r="S41" s="337"/>
      <c r="T41" s="338">
        <f>(T39/$Y$38)-1</f>
        <v>-1</v>
      </c>
      <c r="U41" s="339"/>
      <c r="V41" s="23"/>
      <c r="W41" s="354">
        <f>I39-Y37</f>
        <v>-72108.120000000112</v>
      </c>
      <c r="X41" s="354"/>
      <c r="Y41" s="354"/>
    </row>
    <row r="42" spans="1:29" ht="24.75" customHeight="1" x14ac:dyDescent="0.2">
      <c r="A42" s="348" t="s">
        <v>11</v>
      </c>
      <c r="B42" s="349"/>
      <c r="C42" s="349"/>
      <c r="D42" s="350"/>
      <c r="E42" s="252" t="s">
        <v>52</v>
      </c>
      <c r="F42" s="253"/>
      <c r="G42" s="252" t="s">
        <v>52</v>
      </c>
      <c r="H42" s="253"/>
      <c r="I42" s="252" t="s">
        <v>52</v>
      </c>
      <c r="J42" s="253"/>
      <c r="K42" s="252" t="s">
        <v>52</v>
      </c>
      <c r="L42" s="253"/>
      <c r="M42" s="252" t="s">
        <v>52</v>
      </c>
      <c r="N42" s="253"/>
      <c r="O42" s="24"/>
      <c r="P42" s="340" t="s">
        <v>35</v>
      </c>
      <c r="Q42" s="340"/>
      <c r="R42" s="340" t="s">
        <v>35</v>
      </c>
      <c r="S42" s="340"/>
      <c r="T42" s="341" t="s">
        <v>35</v>
      </c>
      <c r="U42" s="342"/>
      <c r="V42" s="24"/>
      <c r="W42" s="347" t="s">
        <v>33</v>
      </c>
      <c r="X42" s="347"/>
      <c r="Y42" s="347"/>
    </row>
    <row r="43" spans="1:29" ht="24.75" customHeight="1" x14ac:dyDescent="0.2">
      <c r="A43" s="348" t="s">
        <v>44</v>
      </c>
      <c r="B43" s="349"/>
      <c r="C43" s="349"/>
      <c r="D43" s="350"/>
      <c r="E43" s="252" t="s">
        <v>53</v>
      </c>
      <c r="F43" s="253"/>
      <c r="G43" s="252" t="s">
        <v>53</v>
      </c>
      <c r="H43" s="253"/>
      <c r="I43" s="252" t="s">
        <v>53</v>
      </c>
      <c r="J43" s="253"/>
      <c r="K43" s="252" t="s">
        <v>53</v>
      </c>
      <c r="L43" s="253"/>
      <c r="M43" s="252" t="s">
        <v>53</v>
      </c>
      <c r="N43" s="253"/>
      <c r="O43" s="24"/>
      <c r="P43" s="340"/>
      <c r="Q43" s="340"/>
      <c r="R43" s="340"/>
      <c r="S43" s="340"/>
      <c r="T43" s="343"/>
      <c r="U43" s="344"/>
      <c r="V43" s="24"/>
      <c r="W43" s="347"/>
      <c r="X43" s="347"/>
      <c r="Y43" s="347"/>
    </row>
    <row r="44" spans="1:29" ht="24.75" customHeight="1" x14ac:dyDescent="0.2">
      <c r="A44" s="348" t="s">
        <v>38</v>
      </c>
      <c r="B44" s="349"/>
      <c r="C44" s="349"/>
      <c r="D44" s="350"/>
      <c r="E44" s="252" t="s">
        <v>54</v>
      </c>
      <c r="F44" s="253"/>
      <c r="G44" s="252" t="s">
        <v>54</v>
      </c>
      <c r="H44" s="253"/>
      <c r="I44" s="252" t="s">
        <v>54</v>
      </c>
      <c r="J44" s="253"/>
      <c r="K44" s="252" t="s">
        <v>54</v>
      </c>
      <c r="L44" s="253"/>
      <c r="M44" s="252" t="s">
        <v>54</v>
      </c>
      <c r="N44" s="253"/>
      <c r="O44" s="24"/>
      <c r="P44" s="340"/>
      <c r="Q44" s="340"/>
      <c r="R44" s="340"/>
      <c r="S44" s="340"/>
      <c r="T44" s="345"/>
      <c r="U44" s="346"/>
      <c r="V44" s="24"/>
      <c r="W44" s="347"/>
      <c r="X44" s="347"/>
      <c r="Y44" s="347"/>
      <c r="AC44" s="191"/>
    </row>
    <row r="45" spans="1:29" ht="24.75" customHeight="1" x14ac:dyDescent="0.2">
      <c r="A45" s="348" t="s">
        <v>50</v>
      </c>
      <c r="B45" s="349"/>
      <c r="C45" s="349"/>
      <c r="D45" s="350"/>
      <c r="E45" s="263" t="s">
        <v>52</v>
      </c>
      <c r="F45" s="236"/>
      <c r="G45" s="263" t="s">
        <v>52</v>
      </c>
      <c r="H45" s="236"/>
      <c r="I45" s="263" t="s">
        <v>52</v>
      </c>
      <c r="J45" s="236"/>
      <c r="K45" s="263" t="s">
        <v>52</v>
      </c>
      <c r="L45" s="236"/>
      <c r="M45" s="263" t="s">
        <v>52</v>
      </c>
      <c r="N45" s="236"/>
      <c r="O45" s="66"/>
      <c r="P45" s="40"/>
      <c r="Q45" s="41"/>
      <c r="R45" s="40"/>
      <c r="S45" s="41"/>
      <c r="T45" s="40"/>
      <c r="U45" s="41"/>
      <c r="V45" s="24"/>
      <c r="W45" s="73"/>
      <c r="X45" s="74"/>
      <c r="Y45" s="75"/>
      <c r="AC45" s="191"/>
    </row>
    <row r="46" spans="1:29" ht="24.75" customHeight="1" x14ac:dyDescent="0.2">
      <c r="A46" s="348" t="s">
        <v>34</v>
      </c>
      <c r="B46" s="349"/>
      <c r="C46" s="349"/>
      <c r="D46" s="350"/>
      <c r="E46" s="355"/>
      <c r="F46" s="356"/>
      <c r="G46" s="355"/>
      <c r="H46" s="356"/>
      <c r="I46" s="355"/>
      <c r="J46" s="356"/>
      <c r="K46" s="355"/>
      <c r="L46" s="356"/>
      <c r="M46" s="355"/>
      <c r="N46" s="356"/>
      <c r="O46" s="67"/>
      <c r="P46" s="42" t="s">
        <v>39</v>
      </c>
      <c r="Q46" s="90"/>
      <c r="R46" s="42" t="s">
        <v>39</v>
      </c>
      <c r="S46" s="90"/>
      <c r="T46" s="42" t="s">
        <v>39</v>
      </c>
      <c r="U46" s="90"/>
      <c r="V46" s="24"/>
      <c r="W46" s="76"/>
      <c r="X46" s="77"/>
      <c r="Y46" s="78"/>
    </row>
    <row r="47" spans="1:29" ht="24.75" customHeight="1" x14ac:dyDescent="0.2">
      <c r="A47" s="348" t="s">
        <v>10</v>
      </c>
      <c r="B47" s="349"/>
      <c r="C47" s="349"/>
      <c r="D47" s="350"/>
      <c r="E47" s="233" t="s">
        <v>55</v>
      </c>
      <c r="F47" s="234"/>
      <c r="G47" s="233" t="s">
        <v>55</v>
      </c>
      <c r="H47" s="234"/>
      <c r="I47" s="233" t="s">
        <v>55</v>
      </c>
      <c r="J47" s="234"/>
      <c r="K47" s="233" t="s">
        <v>55</v>
      </c>
      <c r="L47" s="234"/>
      <c r="M47" s="233" t="s">
        <v>55</v>
      </c>
      <c r="N47" s="234"/>
      <c r="O47" s="24"/>
      <c r="P47" s="42"/>
      <c r="Q47" s="90"/>
      <c r="R47" s="42"/>
      <c r="S47" s="90"/>
      <c r="T47" s="42"/>
      <c r="U47" s="90"/>
      <c r="V47" s="24"/>
      <c r="W47" s="76"/>
      <c r="X47" s="77"/>
      <c r="Y47" s="78"/>
    </row>
    <row r="48" spans="1:29" ht="24.75" customHeight="1" x14ac:dyDescent="0.2">
      <c r="A48" s="348" t="s">
        <v>43</v>
      </c>
      <c r="B48" s="349"/>
      <c r="C48" s="349"/>
      <c r="D48" s="350"/>
      <c r="E48" s="235" t="s">
        <v>52</v>
      </c>
      <c r="F48" s="236"/>
      <c r="G48" s="235" t="s">
        <v>52</v>
      </c>
      <c r="H48" s="236"/>
      <c r="I48" s="235" t="s">
        <v>52</v>
      </c>
      <c r="J48" s="236"/>
      <c r="K48" s="235" t="s">
        <v>52</v>
      </c>
      <c r="L48" s="236"/>
      <c r="M48" s="235" t="s">
        <v>52</v>
      </c>
      <c r="N48" s="236"/>
      <c r="O48" s="66"/>
      <c r="P48" s="42" t="s">
        <v>40</v>
      </c>
      <c r="Q48" s="90" t="s">
        <v>105</v>
      </c>
      <c r="R48" s="42" t="s">
        <v>40</v>
      </c>
      <c r="S48" s="90"/>
      <c r="T48" s="42" t="s">
        <v>40</v>
      </c>
      <c r="U48" s="90"/>
      <c r="V48" s="24"/>
      <c r="W48" s="76"/>
      <c r="X48" s="77"/>
      <c r="Y48" s="78"/>
    </row>
    <row r="49" spans="1:25" ht="24.75" customHeight="1" x14ac:dyDescent="0.2">
      <c r="A49" s="348" t="s">
        <v>12</v>
      </c>
      <c r="B49" s="349"/>
      <c r="C49" s="349"/>
      <c r="D49" s="350"/>
      <c r="E49" s="237" t="s">
        <v>56</v>
      </c>
      <c r="F49" s="234"/>
      <c r="G49" s="237" t="s">
        <v>56</v>
      </c>
      <c r="H49" s="234"/>
      <c r="I49" s="237" t="s">
        <v>56</v>
      </c>
      <c r="J49" s="234"/>
      <c r="K49" s="237" t="s">
        <v>56</v>
      </c>
      <c r="L49" s="234"/>
      <c r="M49" s="237" t="s">
        <v>56</v>
      </c>
      <c r="N49" s="234"/>
      <c r="O49" s="24"/>
      <c r="P49" s="42"/>
      <c r="Q49" s="90"/>
      <c r="R49" s="42"/>
      <c r="S49" s="90"/>
      <c r="T49" s="42"/>
      <c r="U49" s="90"/>
      <c r="V49" s="24"/>
      <c r="W49" s="76"/>
      <c r="X49" s="77"/>
      <c r="Y49" s="78"/>
    </row>
    <row r="50" spans="1:25" ht="24.75" customHeight="1" x14ac:dyDescent="0.2">
      <c r="A50" s="348" t="s">
        <v>13</v>
      </c>
      <c r="B50" s="349"/>
      <c r="C50" s="349"/>
      <c r="D50" s="350"/>
      <c r="E50" s="25" t="s">
        <v>17</v>
      </c>
      <c r="F50" s="26" t="s">
        <v>18</v>
      </c>
      <c r="G50" s="25" t="s">
        <v>17</v>
      </c>
      <c r="H50" s="26" t="s">
        <v>18</v>
      </c>
      <c r="I50" s="25" t="s">
        <v>17</v>
      </c>
      <c r="J50" s="26" t="s">
        <v>18</v>
      </c>
      <c r="K50" s="25" t="s">
        <v>17</v>
      </c>
      <c r="L50" s="26" t="s">
        <v>18</v>
      </c>
      <c r="M50" s="25" t="s">
        <v>17</v>
      </c>
      <c r="N50" s="26" t="s">
        <v>18</v>
      </c>
      <c r="O50" s="27"/>
      <c r="P50" s="42" t="s">
        <v>41</v>
      </c>
      <c r="Q50" s="90"/>
      <c r="R50" s="42" t="s">
        <v>41</v>
      </c>
      <c r="S50" s="90"/>
      <c r="T50" s="42" t="s">
        <v>41</v>
      </c>
      <c r="U50" s="90"/>
      <c r="V50" s="24"/>
      <c r="W50" s="76"/>
      <c r="X50" s="77"/>
      <c r="Y50" s="78"/>
    </row>
    <row r="51" spans="1:25" ht="24.75" customHeight="1" x14ac:dyDescent="0.2">
      <c r="A51" s="348" t="s">
        <v>14</v>
      </c>
      <c r="B51" s="349"/>
      <c r="C51" s="349"/>
      <c r="D51" s="350"/>
      <c r="E51" s="71">
        <v>0.3</v>
      </c>
      <c r="F51" s="72">
        <f>E51*E39</f>
        <v>0</v>
      </c>
      <c r="G51" s="71">
        <v>0.8</v>
      </c>
      <c r="H51" s="72">
        <f>G51*G39</f>
        <v>5041469.5043200003</v>
      </c>
      <c r="I51" s="71">
        <v>0.7</v>
      </c>
      <c r="J51" s="72">
        <f>I51*I39</f>
        <v>4053093.3659999995</v>
      </c>
      <c r="K51" s="71">
        <v>0.8</v>
      </c>
      <c r="L51" s="72">
        <f>K51*K39</f>
        <v>5501581.6800000006</v>
      </c>
      <c r="M51" s="71">
        <v>0.3</v>
      </c>
      <c r="N51" s="72">
        <f>M51*M39</f>
        <v>1892539.7700000003</v>
      </c>
      <c r="O51" s="68"/>
      <c r="P51" s="44"/>
      <c r="Q51" s="90"/>
      <c r="R51" s="44"/>
      <c r="S51" s="90"/>
      <c r="T51" s="44"/>
      <c r="U51" s="90"/>
      <c r="V51" s="24"/>
      <c r="W51" s="76"/>
      <c r="X51" s="77"/>
      <c r="Y51" s="78"/>
    </row>
    <row r="52" spans="1:25" ht="24.75" customHeight="1" x14ac:dyDescent="0.2">
      <c r="A52" s="348" t="s">
        <v>15</v>
      </c>
      <c r="B52" s="349"/>
      <c r="C52" s="349"/>
      <c r="D52" s="350"/>
      <c r="E52" s="71">
        <v>0</v>
      </c>
      <c r="F52" s="72">
        <f>E52*E39</f>
        <v>0</v>
      </c>
      <c r="G52" s="71">
        <v>0</v>
      </c>
      <c r="H52" s="72">
        <f>G52*G39</f>
        <v>0</v>
      </c>
      <c r="I52" s="71">
        <v>0</v>
      </c>
      <c r="J52" s="72">
        <f>I52*I39</f>
        <v>0</v>
      </c>
      <c r="K52" s="71">
        <v>0</v>
      </c>
      <c r="L52" s="72">
        <f>K52*K39</f>
        <v>0</v>
      </c>
      <c r="M52" s="71">
        <v>0</v>
      </c>
      <c r="N52" s="72">
        <f>M52*M39</f>
        <v>0</v>
      </c>
      <c r="O52" s="68"/>
      <c r="P52" s="44"/>
      <c r="Q52" s="90"/>
      <c r="R52" s="44"/>
      <c r="S52" s="90"/>
      <c r="T52" s="44"/>
      <c r="U52" s="90"/>
      <c r="V52" s="24"/>
      <c r="W52" s="76"/>
      <c r="X52" s="77"/>
      <c r="Y52" s="78"/>
    </row>
    <row r="53" spans="1:25" ht="24.75" customHeight="1" x14ac:dyDescent="0.2">
      <c r="A53" s="348" t="s">
        <v>16</v>
      </c>
      <c r="B53" s="349"/>
      <c r="C53" s="349"/>
      <c r="D53" s="350"/>
      <c r="E53" s="71">
        <v>0.7</v>
      </c>
      <c r="F53" s="72">
        <f>E53*E39</f>
        <v>0</v>
      </c>
      <c r="G53" s="71">
        <v>0.2</v>
      </c>
      <c r="H53" s="72">
        <f>G53*G39</f>
        <v>1260367.3760800001</v>
      </c>
      <c r="I53" s="71">
        <v>0.3</v>
      </c>
      <c r="J53" s="72">
        <f>I53*I39</f>
        <v>1737040.014</v>
      </c>
      <c r="K53" s="71">
        <v>0.2</v>
      </c>
      <c r="L53" s="72">
        <f>K53*K39</f>
        <v>1375395.4200000002</v>
      </c>
      <c r="M53" s="71">
        <v>0.7</v>
      </c>
      <c r="N53" s="72">
        <f>M53*M39</f>
        <v>4415926.1300000008</v>
      </c>
      <c r="O53" s="68"/>
      <c r="P53" s="44"/>
      <c r="Q53" s="90"/>
      <c r="R53" s="44"/>
      <c r="S53" s="90"/>
      <c r="T53" s="44"/>
      <c r="U53" s="90"/>
      <c r="V53" s="24"/>
      <c r="W53" s="76"/>
      <c r="X53" s="77"/>
      <c r="Y53" s="78"/>
    </row>
    <row r="54" spans="1:25" ht="24.75" customHeight="1" x14ac:dyDescent="0.2">
      <c r="A54" s="375" t="s">
        <v>25</v>
      </c>
      <c r="B54" s="288"/>
      <c r="C54" s="288"/>
      <c r="D54" s="376"/>
      <c r="E54" s="238" t="s">
        <v>6</v>
      </c>
      <c r="F54" s="239"/>
      <c r="G54" s="238" t="s">
        <v>6</v>
      </c>
      <c r="H54" s="239"/>
      <c r="I54" s="238" t="s">
        <v>6</v>
      </c>
      <c r="J54" s="239"/>
      <c r="K54" s="238" t="s">
        <v>6</v>
      </c>
      <c r="L54" s="239"/>
      <c r="M54" s="238" t="s">
        <v>6</v>
      </c>
      <c r="N54" s="239"/>
      <c r="O54" s="69"/>
      <c r="P54" s="45"/>
      <c r="Q54" s="90"/>
      <c r="R54" s="45"/>
      <c r="S54" s="90"/>
      <c r="T54" s="45"/>
      <c r="U54" s="90"/>
      <c r="V54" s="27"/>
      <c r="W54" s="76"/>
      <c r="X54" s="77"/>
      <c r="Y54" s="78"/>
    </row>
    <row r="55" spans="1:25" ht="24.75" customHeight="1" x14ac:dyDescent="0.2">
      <c r="A55" s="28"/>
      <c r="B55" s="32"/>
      <c r="C55" s="84"/>
      <c r="D55" s="83" t="s">
        <v>216</v>
      </c>
      <c r="E55" s="235"/>
      <c r="F55" s="236"/>
      <c r="G55" s="233"/>
      <c r="H55" s="234"/>
      <c r="I55" s="233" t="s">
        <v>56</v>
      </c>
      <c r="J55" s="234"/>
      <c r="K55" s="233"/>
      <c r="L55" s="234"/>
      <c r="M55" s="233" t="s">
        <v>277</v>
      </c>
      <c r="N55" s="234"/>
      <c r="O55" s="24"/>
      <c r="P55" s="42" t="s">
        <v>46</v>
      </c>
      <c r="Q55" s="90" t="s">
        <v>96</v>
      </c>
      <c r="R55" s="42" t="s">
        <v>46</v>
      </c>
      <c r="S55" s="90"/>
      <c r="T55" s="42" t="s">
        <v>46</v>
      </c>
      <c r="U55" s="90"/>
      <c r="V55" s="29"/>
      <c r="W55" s="357"/>
      <c r="X55" s="358"/>
      <c r="Y55" s="359"/>
    </row>
    <row r="56" spans="1:25" ht="24.75" customHeight="1" x14ac:dyDescent="0.2">
      <c r="A56" s="28"/>
      <c r="B56" s="32"/>
      <c r="C56" s="84"/>
      <c r="D56" s="83" t="s">
        <v>49</v>
      </c>
      <c r="E56" s="233"/>
      <c r="F56" s="234"/>
      <c r="G56" s="233"/>
      <c r="H56" s="234"/>
      <c r="I56" s="233" t="s">
        <v>280</v>
      </c>
      <c r="J56" s="234"/>
      <c r="K56" s="233"/>
      <c r="L56" s="234"/>
      <c r="M56" s="233"/>
      <c r="N56" s="234"/>
      <c r="O56" s="24"/>
      <c r="P56" s="46"/>
      <c r="Q56" s="90"/>
      <c r="R56" s="46"/>
      <c r="S56" s="90"/>
      <c r="T56" s="46"/>
      <c r="U56" s="90"/>
      <c r="V56" s="29"/>
      <c r="W56" s="76"/>
      <c r="X56" s="77"/>
      <c r="Y56" s="78"/>
    </row>
    <row r="57" spans="1:25" ht="24.75" customHeight="1" x14ac:dyDescent="0.2">
      <c r="A57" s="30"/>
      <c r="B57" s="31"/>
      <c r="C57" s="85"/>
      <c r="D57" s="82" t="s">
        <v>42</v>
      </c>
      <c r="E57" s="233" t="s">
        <v>53</v>
      </c>
      <c r="F57" s="234"/>
      <c r="G57" s="233" t="s">
        <v>56</v>
      </c>
      <c r="H57" s="234"/>
      <c r="I57" s="233" t="s">
        <v>56</v>
      </c>
      <c r="J57" s="234"/>
      <c r="K57" s="233" t="s">
        <v>53</v>
      </c>
      <c r="L57" s="234"/>
      <c r="M57" s="233" t="s">
        <v>53</v>
      </c>
      <c r="N57" s="234"/>
      <c r="O57" s="24"/>
      <c r="P57" s="46"/>
      <c r="Q57" s="43"/>
      <c r="R57" s="46"/>
      <c r="S57" s="43"/>
      <c r="T57" s="46"/>
      <c r="U57" s="43"/>
      <c r="V57" s="29"/>
      <c r="W57" s="76"/>
      <c r="X57" s="77"/>
      <c r="Y57" s="78"/>
    </row>
    <row r="58" spans="1:25" ht="28.5" customHeight="1" x14ac:dyDescent="0.2">
      <c r="A58" s="372" t="s">
        <v>83</v>
      </c>
      <c r="B58" s="373"/>
      <c r="C58" s="373"/>
      <c r="D58" s="374"/>
      <c r="E58" s="368" t="s">
        <v>271</v>
      </c>
      <c r="F58" s="361"/>
      <c r="G58" s="368" t="s">
        <v>276</v>
      </c>
      <c r="H58" s="369"/>
      <c r="I58" s="368" t="s">
        <v>279</v>
      </c>
      <c r="J58" s="369"/>
      <c r="K58" s="368" t="s">
        <v>279</v>
      </c>
      <c r="L58" s="369"/>
      <c r="M58" s="368" t="s">
        <v>278</v>
      </c>
      <c r="N58" s="369"/>
      <c r="O58" s="60"/>
      <c r="P58" s="46"/>
      <c r="Q58" s="43"/>
      <c r="R58" s="46"/>
      <c r="S58" s="43"/>
      <c r="T58" s="46"/>
      <c r="U58" s="43"/>
      <c r="V58" s="29"/>
      <c r="W58" s="76"/>
      <c r="X58" s="77"/>
      <c r="Y58" s="78"/>
    </row>
    <row r="59" spans="1:25" ht="26.25" customHeight="1" x14ac:dyDescent="0.2">
      <c r="A59" s="362" t="s">
        <v>217</v>
      </c>
      <c r="B59" s="363"/>
      <c r="C59" s="363"/>
      <c r="D59" s="364"/>
      <c r="E59" s="385"/>
      <c r="F59" s="386"/>
      <c r="G59" s="370"/>
      <c r="H59" s="371"/>
      <c r="I59" s="370"/>
      <c r="J59" s="371"/>
      <c r="K59" s="370"/>
      <c r="L59" s="371"/>
      <c r="M59" s="370"/>
      <c r="N59" s="371"/>
      <c r="O59" s="60"/>
      <c r="P59" s="46"/>
      <c r="Q59" s="43"/>
      <c r="R59" s="46"/>
      <c r="S59" s="43"/>
      <c r="T59" s="46"/>
      <c r="U59" s="43"/>
      <c r="V59" s="29"/>
      <c r="W59" s="76"/>
      <c r="X59" s="77"/>
      <c r="Y59" s="78"/>
    </row>
    <row r="60" spans="1:25" ht="26.25" customHeight="1" x14ac:dyDescent="0.2">
      <c r="A60" s="362"/>
      <c r="B60" s="363"/>
      <c r="C60" s="363"/>
      <c r="D60" s="364"/>
      <c r="E60" s="385"/>
      <c r="F60" s="386"/>
      <c r="G60" s="370"/>
      <c r="H60" s="371"/>
      <c r="I60" s="370"/>
      <c r="J60" s="371"/>
      <c r="K60" s="370"/>
      <c r="L60" s="371"/>
      <c r="M60" s="370"/>
      <c r="N60" s="371"/>
      <c r="O60" s="60"/>
      <c r="P60" s="46"/>
      <c r="Q60" s="43"/>
      <c r="R60" s="46"/>
      <c r="S60" s="43"/>
      <c r="T60" s="46"/>
      <c r="U60" s="43"/>
      <c r="V60" s="29"/>
      <c r="W60" s="76"/>
      <c r="X60" s="77"/>
      <c r="Y60" s="78"/>
    </row>
    <row r="61" spans="1:25" ht="26.25" customHeight="1" x14ac:dyDescent="0.2">
      <c r="A61" s="362"/>
      <c r="B61" s="363"/>
      <c r="C61" s="363"/>
      <c r="D61" s="364"/>
      <c r="E61" s="385"/>
      <c r="F61" s="386"/>
      <c r="G61" s="370"/>
      <c r="H61" s="371"/>
      <c r="I61" s="370"/>
      <c r="J61" s="371"/>
      <c r="K61" s="370"/>
      <c r="L61" s="371"/>
      <c r="M61" s="370"/>
      <c r="N61" s="371"/>
      <c r="O61" s="60"/>
      <c r="P61" s="46"/>
      <c r="Q61" s="43"/>
      <c r="R61" s="46"/>
      <c r="S61" s="43"/>
      <c r="T61" s="46"/>
      <c r="U61" s="43"/>
      <c r="V61" s="29"/>
      <c r="W61" s="76"/>
      <c r="X61" s="77"/>
      <c r="Y61" s="78"/>
    </row>
    <row r="62" spans="1:25" ht="26.25" customHeight="1" x14ac:dyDescent="0.2">
      <c r="A62" s="362"/>
      <c r="B62" s="363"/>
      <c r="C62" s="363"/>
      <c r="D62" s="364"/>
      <c r="E62" s="385"/>
      <c r="F62" s="386"/>
      <c r="G62" s="370"/>
      <c r="H62" s="371"/>
      <c r="I62" s="370"/>
      <c r="J62" s="371"/>
      <c r="K62" s="370"/>
      <c r="L62" s="371"/>
      <c r="M62" s="370"/>
      <c r="N62" s="371"/>
      <c r="O62" s="60"/>
      <c r="P62" s="46"/>
      <c r="Q62" s="43"/>
      <c r="R62" s="46"/>
      <c r="S62" s="43"/>
      <c r="T62" s="46"/>
      <c r="U62" s="43"/>
      <c r="V62" s="29"/>
      <c r="W62" s="76"/>
      <c r="X62" s="77"/>
      <c r="Y62" s="78"/>
    </row>
    <row r="63" spans="1:25" ht="26.25" customHeight="1" x14ac:dyDescent="0.2">
      <c r="A63" s="362"/>
      <c r="B63" s="363"/>
      <c r="C63" s="363"/>
      <c r="D63" s="364"/>
      <c r="E63" s="385"/>
      <c r="F63" s="386"/>
      <c r="G63" s="370"/>
      <c r="H63" s="371"/>
      <c r="I63" s="370"/>
      <c r="J63" s="371"/>
      <c r="K63" s="370"/>
      <c r="L63" s="371"/>
      <c r="M63" s="370"/>
      <c r="N63" s="371"/>
      <c r="O63" s="60"/>
      <c r="P63" s="46"/>
      <c r="Q63" s="43"/>
      <c r="R63" s="46"/>
      <c r="S63" s="43"/>
      <c r="T63" s="46"/>
      <c r="U63" s="43"/>
      <c r="V63" s="29"/>
      <c r="W63" s="76"/>
      <c r="X63" s="77"/>
      <c r="Y63" s="78"/>
    </row>
    <row r="64" spans="1:25" ht="26.25" customHeight="1" x14ac:dyDescent="0.2">
      <c r="A64" s="362"/>
      <c r="B64" s="363"/>
      <c r="C64" s="363"/>
      <c r="D64" s="364"/>
      <c r="E64" s="385"/>
      <c r="F64" s="386"/>
      <c r="G64" s="370"/>
      <c r="H64" s="371"/>
      <c r="I64" s="370"/>
      <c r="J64" s="371"/>
      <c r="K64" s="370"/>
      <c r="L64" s="371"/>
      <c r="M64" s="370"/>
      <c r="N64" s="371"/>
      <c r="O64" s="60"/>
      <c r="P64" s="46"/>
      <c r="Q64" s="43"/>
      <c r="R64" s="46"/>
      <c r="S64" s="43"/>
      <c r="T64" s="46"/>
      <c r="U64" s="43"/>
      <c r="V64" s="29"/>
      <c r="W64" s="76"/>
      <c r="X64" s="77"/>
      <c r="Y64" s="78"/>
    </row>
    <row r="65" spans="1:25" ht="26.25" customHeight="1" x14ac:dyDescent="0.2">
      <c r="A65" s="362"/>
      <c r="B65" s="363"/>
      <c r="C65" s="363"/>
      <c r="D65" s="364"/>
      <c r="E65" s="385"/>
      <c r="F65" s="386"/>
      <c r="G65" s="370"/>
      <c r="H65" s="371"/>
      <c r="I65" s="370"/>
      <c r="J65" s="371"/>
      <c r="K65" s="370"/>
      <c r="L65" s="371"/>
      <c r="M65" s="370"/>
      <c r="N65" s="371"/>
      <c r="O65" s="60"/>
      <c r="P65" s="46"/>
      <c r="Q65" s="43"/>
      <c r="R65" s="46"/>
      <c r="S65" s="43"/>
      <c r="T65" s="46"/>
      <c r="U65" s="43"/>
      <c r="V65" s="29"/>
      <c r="W65" s="76"/>
      <c r="X65" s="77"/>
      <c r="Y65" s="78"/>
    </row>
    <row r="66" spans="1:25" ht="26.25" customHeight="1" thickBot="1" x14ac:dyDescent="0.25">
      <c r="A66" s="365"/>
      <c r="B66" s="366"/>
      <c r="C66" s="366"/>
      <c r="D66" s="367"/>
      <c r="E66" s="387"/>
      <c r="F66" s="388"/>
      <c r="G66" s="377"/>
      <c r="H66" s="378"/>
      <c r="I66" s="377"/>
      <c r="J66" s="378"/>
      <c r="K66" s="377"/>
      <c r="L66" s="378"/>
      <c r="M66" s="377"/>
      <c r="N66" s="378"/>
      <c r="O66" s="60"/>
      <c r="P66" s="47"/>
      <c r="Q66" s="48"/>
      <c r="R66" s="47"/>
      <c r="S66" s="48"/>
      <c r="T66" s="47"/>
      <c r="U66" s="48"/>
      <c r="V66" s="29"/>
      <c r="W66" s="79"/>
      <c r="X66" s="80"/>
      <c r="Y66" s="8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</sheetData>
  <mergeCells count="201">
    <mergeCell ref="C2:F4"/>
    <mergeCell ref="W2:Y4"/>
    <mergeCell ref="G6:H6"/>
    <mergeCell ref="I6:J6"/>
    <mergeCell ref="A7:D7"/>
    <mergeCell ref="E7:F7"/>
    <mergeCell ref="G7:H7"/>
    <mergeCell ref="I7:J7"/>
    <mergeCell ref="K7:L7"/>
    <mergeCell ref="M7:N7"/>
    <mergeCell ref="W10:W11"/>
    <mergeCell ref="A11:D11"/>
    <mergeCell ref="P7:Q7"/>
    <mergeCell ref="R7:S7"/>
    <mergeCell ref="T7:U7"/>
    <mergeCell ref="W7:Y7"/>
    <mergeCell ref="A8:D8"/>
    <mergeCell ref="P8:Q8"/>
    <mergeCell ref="R8:S8"/>
    <mergeCell ref="T8:U8"/>
    <mergeCell ref="W8:W9"/>
    <mergeCell ref="A9:D9"/>
    <mergeCell ref="A12:A13"/>
    <mergeCell ref="B12:B13"/>
    <mergeCell ref="C12:C13"/>
    <mergeCell ref="D12:D13"/>
    <mergeCell ref="E12:F12"/>
    <mergeCell ref="G12:H12"/>
    <mergeCell ref="P9:Q11"/>
    <mergeCell ref="R9:S11"/>
    <mergeCell ref="T9:U11"/>
    <mergeCell ref="A10:D10"/>
    <mergeCell ref="I19:J19"/>
    <mergeCell ref="E20:F20"/>
    <mergeCell ref="G20:H20"/>
    <mergeCell ref="I20:J20"/>
    <mergeCell ref="K20:L20"/>
    <mergeCell ref="M20:N20"/>
    <mergeCell ref="W12:Y12"/>
    <mergeCell ref="E18:F18"/>
    <mergeCell ref="G18:H18"/>
    <mergeCell ref="I18:J18"/>
    <mergeCell ref="K18:L18"/>
    <mergeCell ref="M18:N18"/>
    <mergeCell ref="I12:J12"/>
    <mergeCell ref="K12:L12"/>
    <mergeCell ref="M12:N12"/>
    <mergeCell ref="P12:Q12"/>
    <mergeCell ref="R12:S12"/>
    <mergeCell ref="T12:U12"/>
    <mergeCell ref="M22:N22"/>
    <mergeCell ref="E24:F24"/>
    <mergeCell ref="I24:J24"/>
    <mergeCell ref="K24:L24"/>
    <mergeCell ref="M24:N24"/>
    <mergeCell ref="P24:Q24"/>
    <mergeCell ref="G21:H21"/>
    <mergeCell ref="I21:J21"/>
    <mergeCell ref="K21:L21"/>
    <mergeCell ref="E22:F22"/>
    <mergeCell ref="I22:J22"/>
    <mergeCell ref="K22:L22"/>
    <mergeCell ref="I25:J25"/>
    <mergeCell ref="E26:F26"/>
    <mergeCell ref="I26:J26"/>
    <mergeCell ref="K26:L26"/>
    <mergeCell ref="M26:N26"/>
    <mergeCell ref="A37:D37"/>
    <mergeCell ref="E37:F37"/>
    <mergeCell ref="G37:H37"/>
    <mergeCell ref="I37:J37"/>
    <mergeCell ref="K37:L37"/>
    <mergeCell ref="M37:N37"/>
    <mergeCell ref="P37:Q37"/>
    <mergeCell ref="R37:S37"/>
    <mergeCell ref="T37:U37"/>
    <mergeCell ref="W37:X37"/>
    <mergeCell ref="A38:D38"/>
    <mergeCell ref="E38:F38"/>
    <mergeCell ref="G38:H38"/>
    <mergeCell ref="I38:J38"/>
    <mergeCell ref="K38:L38"/>
    <mergeCell ref="M38:N38"/>
    <mergeCell ref="P38:Q38"/>
    <mergeCell ref="R38:S38"/>
    <mergeCell ref="T38:U38"/>
    <mergeCell ref="W38:X38"/>
    <mergeCell ref="A39:D39"/>
    <mergeCell ref="E39:F39"/>
    <mergeCell ref="G39:H39"/>
    <mergeCell ref="I39:J39"/>
    <mergeCell ref="K39:L39"/>
    <mergeCell ref="M39:N39"/>
    <mergeCell ref="P39:Q39"/>
    <mergeCell ref="R39:S39"/>
    <mergeCell ref="T39:U39"/>
    <mergeCell ref="T41:U41"/>
    <mergeCell ref="W39:Y39"/>
    <mergeCell ref="E40:F40"/>
    <mergeCell ref="G40:H40"/>
    <mergeCell ref="I40:J40"/>
    <mergeCell ref="K40:L40"/>
    <mergeCell ref="M40:N40"/>
    <mergeCell ref="P40:Q40"/>
    <mergeCell ref="R40:S40"/>
    <mergeCell ref="T40:U40"/>
    <mergeCell ref="W40:Y40"/>
    <mergeCell ref="W41:Y41"/>
    <mergeCell ref="W42:Y44"/>
    <mergeCell ref="A43:D43"/>
    <mergeCell ref="E43:F43"/>
    <mergeCell ref="G43:H43"/>
    <mergeCell ref="I43:J43"/>
    <mergeCell ref="K43:L43"/>
    <mergeCell ref="M43:N43"/>
    <mergeCell ref="A41:D41"/>
    <mergeCell ref="E41:F41"/>
    <mergeCell ref="G41:H41"/>
    <mergeCell ref="I41:J41"/>
    <mergeCell ref="K41:L41"/>
    <mergeCell ref="M41:N41"/>
    <mergeCell ref="P41:Q41"/>
    <mergeCell ref="A42:D42"/>
    <mergeCell ref="E42:F42"/>
    <mergeCell ref="G42:H42"/>
    <mergeCell ref="I42:J42"/>
    <mergeCell ref="K42:L42"/>
    <mergeCell ref="M42:N42"/>
    <mergeCell ref="P42:Q44"/>
    <mergeCell ref="R42:S44"/>
    <mergeCell ref="T42:U44"/>
    <mergeCell ref="R41:S41"/>
    <mergeCell ref="A45:D45"/>
    <mergeCell ref="E45:F45"/>
    <mergeCell ref="G45:H45"/>
    <mergeCell ref="I45:J45"/>
    <mergeCell ref="K45:L45"/>
    <mergeCell ref="M45:N45"/>
    <mergeCell ref="A44:D44"/>
    <mergeCell ref="E44:F44"/>
    <mergeCell ref="G44:H44"/>
    <mergeCell ref="I44:J44"/>
    <mergeCell ref="K44:L44"/>
    <mergeCell ref="M44:N44"/>
    <mergeCell ref="A47:D47"/>
    <mergeCell ref="E47:F47"/>
    <mergeCell ref="G47:H47"/>
    <mergeCell ref="I47:J47"/>
    <mergeCell ref="K47:L47"/>
    <mergeCell ref="M47:N47"/>
    <mergeCell ref="A46:D46"/>
    <mergeCell ref="E46:F46"/>
    <mergeCell ref="G46:H46"/>
    <mergeCell ref="I46:J46"/>
    <mergeCell ref="K46:L46"/>
    <mergeCell ref="M46:N46"/>
    <mergeCell ref="I49:J49"/>
    <mergeCell ref="K49:L49"/>
    <mergeCell ref="M49:N49"/>
    <mergeCell ref="A48:D48"/>
    <mergeCell ref="E48:F48"/>
    <mergeCell ref="G48:H48"/>
    <mergeCell ref="I48:J48"/>
    <mergeCell ref="K48:L48"/>
    <mergeCell ref="M48:N48"/>
    <mergeCell ref="A50:D50"/>
    <mergeCell ref="A51:D51"/>
    <mergeCell ref="A52:D52"/>
    <mergeCell ref="A53:D53"/>
    <mergeCell ref="A54:D54"/>
    <mergeCell ref="E54:F54"/>
    <mergeCell ref="A49:D49"/>
    <mergeCell ref="E49:F49"/>
    <mergeCell ref="G49:H49"/>
    <mergeCell ref="W55:Y55"/>
    <mergeCell ref="E56:F56"/>
    <mergeCell ref="G56:H56"/>
    <mergeCell ref="I56:J56"/>
    <mergeCell ref="K56:L56"/>
    <mergeCell ref="M56:N56"/>
    <mergeCell ref="G54:H54"/>
    <mergeCell ref="I54:J54"/>
    <mergeCell ref="K54:L54"/>
    <mergeCell ref="M54:N54"/>
    <mergeCell ref="E55:F55"/>
    <mergeCell ref="G55:H55"/>
    <mergeCell ref="I55:J55"/>
    <mergeCell ref="K55:L55"/>
    <mergeCell ref="M55:N55"/>
    <mergeCell ref="M58:N66"/>
    <mergeCell ref="A59:D66"/>
    <mergeCell ref="E57:F57"/>
    <mergeCell ref="G57:H57"/>
    <mergeCell ref="I57:J57"/>
    <mergeCell ref="K57:L57"/>
    <mergeCell ref="M57:N57"/>
    <mergeCell ref="A58:D58"/>
    <mergeCell ref="E58:F66"/>
    <mergeCell ref="G58:H66"/>
    <mergeCell ref="I58:J66"/>
    <mergeCell ref="K58:L66"/>
  </mergeCells>
  <conditionalFormatting sqref="C15:C36">
    <cfRule type="cellIs" dxfId="9" priority="5" operator="greaterThan">
      <formula>#REF!</formula>
    </cfRule>
  </conditionalFormatting>
  <conditionalFormatting sqref="E41:U41">
    <cfRule type="cellIs" dxfId="8" priority="3" operator="lessThan">
      <formula>0</formula>
    </cfRule>
    <cfRule type="cellIs" dxfId="7" priority="4" operator="greaterThan">
      <formula>0</formula>
    </cfRule>
  </conditionalFormatting>
  <conditionalFormatting sqref="W41:Y41">
    <cfRule type="cellIs" dxfId="6" priority="1" operator="greaterThan">
      <formula>0</formula>
    </cfRule>
    <cfRule type="cellIs" dxfId="5" priority="2" operator="lessThan">
      <formula>0</formula>
    </cfRule>
  </conditionalFormatting>
  <hyperlinks>
    <hyperlink ref="F11" r:id="rId1" xr:uid="{855C9AE8-8FE2-4F32-BCFE-EBF454823C9F}"/>
    <hyperlink ref="H11" r:id="rId2" xr:uid="{DB1FB63E-C645-46DD-BD71-908CB2795A10}"/>
    <hyperlink ref="L11" r:id="rId3" xr:uid="{EEC97C8C-8D75-448D-A23F-4B1948324793}"/>
    <hyperlink ref="N11" r:id="rId4" xr:uid="{FF98A835-7DD1-43A2-88F7-939977F9AEC0}"/>
    <hyperlink ref="J11" r:id="rId5" xr:uid="{6CA0DE22-8D0D-4649-8CDC-D22FC058A595}"/>
  </hyperlinks>
  <printOptions horizontalCentered="1" verticalCentered="1"/>
  <pageMargins left="0" right="0" top="0" bottom="0" header="0.62992125984251968" footer="0"/>
  <pageSetup paperSize="8" scale="38" orientation="landscape" r:id="rId6"/>
  <headerFooter alignWithMargins="0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E912-690E-4052-BE35-970D0EB0DCF4}">
  <sheetPr>
    <tabColor rgb="FF00B050"/>
    <pageSetUpPr fitToPage="1"/>
  </sheetPr>
  <dimension ref="A1:AI113"/>
  <sheetViews>
    <sheetView showGridLines="0" tabSelected="1" topLeftCell="A21" zoomScale="55" zoomScaleNormal="55" workbookViewId="0">
      <selection activeCell="B25" sqref="B25"/>
    </sheetView>
  </sheetViews>
  <sheetFormatPr defaultColWidth="9.140625" defaultRowHeight="14.25" x14ac:dyDescent="0.2"/>
  <cols>
    <col min="1" max="1" width="7.140625" style="2" customWidth="1"/>
    <col min="2" max="2" width="76.140625" style="2" customWidth="1"/>
    <col min="3" max="3" width="13.42578125" style="2" bestFit="1" customWidth="1"/>
    <col min="4" max="4" width="9.85546875" style="2" customWidth="1"/>
    <col min="5" max="5" width="17" style="2" hidden="1" customWidth="1"/>
    <col min="6" max="6" width="30.42578125" style="2" hidden="1" customWidth="1"/>
    <col min="7" max="7" width="22.42578125" style="2" hidden="1" customWidth="1"/>
    <col min="8" max="8" width="26.42578125" style="2" hidden="1" customWidth="1"/>
    <col min="9" max="9" width="22.42578125" style="2" customWidth="1"/>
    <col min="10" max="10" width="33.140625" style="2" customWidth="1"/>
    <col min="11" max="11" width="22.42578125" style="2" customWidth="1"/>
    <col min="12" max="12" width="25.85546875" style="2" customWidth="1"/>
    <col min="13" max="13" width="22.42578125" style="2" customWidth="1"/>
    <col min="14" max="14" width="31.42578125" style="2" customWidth="1"/>
    <col min="15" max="15" width="4.85546875" style="2" customWidth="1"/>
    <col min="16" max="16" width="24.85546875" style="2" customWidth="1"/>
    <col min="17" max="21" width="19.5703125" style="2" customWidth="1"/>
    <col min="22" max="22" width="0.85546875" style="2" customWidth="1"/>
    <col min="23" max="24" width="19.5703125" style="2" customWidth="1"/>
    <col min="25" max="25" width="26.140625" style="2" customWidth="1"/>
    <col min="26" max="26" width="1.5703125" style="2" customWidth="1"/>
    <col min="27" max="27" width="8.5703125" style="2" customWidth="1"/>
    <col min="28" max="28" width="9.140625" style="2"/>
    <col min="29" max="29" width="16.140625" style="2" bestFit="1" customWidth="1"/>
    <col min="30" max="16384" width="9.140625" style="2"/>
  </cols>
  <sheetData>
    <row r="1" spans="1:35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5" ht="15.75" customHeight="1" x14ac:dyDescent="0.2">
      <c r="A2" s="1"/>
      <c r="B2" s="1"/>
      <c r="C2" s="289" t="s">
        <v>4</v>
      </c>
      <c r="D2" s="289"/>
      <c r="E2" s="289"/>
      <c r="F2" s="28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90" t="s">
        <v>188</v>
      </c>
      <c r="X2" s="290"/>
      <c r="Y2" s="290"/>
    </row>
    <row r="3" spans="1:35" ht="16.5" customHeight="1" x14ac:dyDescent="0.2">
      <c r="A3" s="1"/>
      <c r="B3" s="1"/>
      <c r="C3" s="289"/>
      <c r="D3" s="289"/>
      <c r="E3" s="289"/>
      <c r="F3" s="28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291"/>
      <c r="X3" s="291"/>
      <c r="Y3" s="291"/>
    </row>
    <row r="4" spans="1:35" ht="41.25" customHeight="1" x14ac:dyDescent="0.2">
      <c r="A4" s="1"/>
      <c r="B4" s="1"/>
      <c r="C4" s="289"/>
      <c r="D4" s="289"/>
      <c r="E4" s="289"/>
      <c r="F4" s="28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91"/>
      <c r="X4" s="291"/>
      <c r="Y4" s="291"/>
    </row>
    <row r="5" spans="1:35" ht="20.45" customHeight="1" thickBot="1" x14ac:dyDescent="0.25">
      <c r="A5" s="91"/>
      <c r="B5" s="91"/>
      <c r="C5" s="92"/>
      <c r="D5" s="92"/>
      <c r="E5" s="92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spans="1:35" ht="15.75" customHeight="1" thickBot="1" x14ac:dyDescent="0.25">
      <c r="A6" s="1"/>
      <c r="B6" s="1"/>
      <c r="C6" s="1"/>
      <c r="D6" s="1"/>
      <c r="E6" s="1"/>
      <c r="F6" s="1"/>
      <c r="G6" s="292" t="s">
        <v>89</v>
      </c>
      <c r="H6" s="292"/>
      <c r="I6" s="292" t="s">
        <v>89</v>
      </c>
      <c r="J6" s="292"/>
      <c r="K6" s="61"/>
      <c r="L6" s="61"/>
      <c r="M6" s="61"/>
      <c r="N6" s="61"/>
      <c r="O6" s="61"/>
      <c r="P6" s="61"/>
      <c r="Q6" s="61"/>
      <c r="R6" s="61"/>
      <c r="S6" s="61"/>
      <c r="T6" s="1"/>
      <c r="U6" s="1"/>
      <c r="V6" s="1"/>
      <c r="W6" s="1"/>
      <c r="X6" s="1"/>
      <c r="Y6" s="1"/>
    </row>
    <row r="7" spans="1:35" ht="16.5" customHeight="1" x14ac:dyDescent="0.2">
      <c r="A7" s="302" t="s">
        <v>229</v>
      </c>
      <c r="B7" s="303"/>
      <c r="C7" s="303"/>
      <c r="D7" s="304"/>
      <c r="E7" s="280" t="s">
        <v>58</v>
      </c>
      <c r="F7" s="280"/>
      <c r="G7" s="280" t="s">
        <v>78</v>
      </c>
      <c r="H7" s="280"/>
      <c r="I7" s="278" t="s">
        <v>230</v>
      </c>
      <c r="J7" s="279"/>
      <c r="K7" s="278" t="s">
        <v>105</v>
      </c>
      <c r="L7" s="279"/>
      <c r="M7" s="280" t="s">
        <v>111</v>
      </c>
      <c r="N7" s="280"/>
      <c r="O7" s="62"/>
      <c r="P7" s="299" t="s">
        <v>19</v>
      </c>
      <c r="Q7" s="299"/>
      <c r="R7" s="299" t="s">
        <v>19</v>
      </c>
      <c r="S7" s="299"/>
      <c r="T7" s="300" t="s">
        <v>19</v>
      </c>
      <c r="U7" s="301"/>
      <c r="V7" s="4"/>
      <c r="W7" s="269" t="s">
        <v>22</v>
      </c>
      <c r="X7" s="269"/>
      <c r="Y7" s="269"/>
    </row>
    <row r="8" spans="1:35" ht="16.5" customHeight="1" x14ac:dyDescent="0.2">
      <c r="A8" s="293" t="s">
        <v>100</v>
      </c>
      <c r="B8" s="294"/>
      <c r="C8" s="294"/>
      <c r="D8" s="295"/>
      <c r="E8" s="6" t="s">
        <v>3</v>
      </c>
      <c r="F8" s="5"/>
      <c r="G8" s="6" t="s">
        <v>3</v>
      </c>
      <c r="H8" s="5"/>
      <c r="I8" s="6" t="s">
        <v>3</v>
      </c>
      <c r="J8" s="5"/>
      <c r="K8" s="6" t="s">
        <v>3</v>
      </c>
      <c r="L8" s="5"/>
      <c r="M8" s="6" t="s">
        <v>3</v>
      </c>
      <c r="N8" s="5"/>
      <c r="O8" s="63"/>
      <c r="P8" s="264" t="s">
        <v>26</v>
      </c>
      <c r="Q8" s="264"/>
      <c r="R8" s="264" t="s">
        <v>26</v>
      </c>
      <c r="S8" s="264"/>
      <c r="T8" s="296" t="s">
        <v>26</v>
      </c>
      <c r="U8" s="297"/>
      <c r="V8" s="7"/>
      <c r="W8" s="264" t="s">
        <v>23</v>
      </c>
      <c r="X8" s="8" t="s">
        <v>20</v>
      </c>
      <c r="Y8" s="35">
        <v>44958</v>
      </c>
    </row>
    <row r="9" spans="1:35" ht="16.5" customHeight="1" x14ac:dyDescent="0.2">
      <c r="A9" s="293" t="s">
        <v>101</v>
      </c>
      <c r="B9" s="285"/>
      <c r="C9" s="285"/>
      <c r="D9" s="286"/>
      <c r="E9" s="6" t="s">
        <v>0</v>
      </c>
      <c r="F9" s="58" t="s">
        <v>86</v>
      </c>
      <c r="G9" s="6" t="s">
        <v>0</v>
      </c>
      <c r="H9" s="5" t="s">
        <v>79</v>
      </c>
      <c r="I9" s="6" t="s">
        <v>0</v>
      </c>
      <c r="J9" s="5" t="s">
        <v>212</v>
      </c>
      <c r="K9" s="6" t="s">
        <v>0</v>
      </c>
      <c r="L9" s="5" t="s">
        <v>106</v>
      </c>
      <c r="M9" s="6" t="s">
        <v>0</v>
      </c>
      <c r="N9" s="5" t="s">
        <v>112</v>
      </c>
      <c r="O9" s="63"/>
      <c r="P9" s="298" t="s">
        <v>123</v>
      </c>
      <c r="Q9" s="298"/>
      <c r="R9" s="298"/>
      <c r="S9" s="298"/>
      <c r="T9" s="272"/>
      <c r="U9" s="273"/>
      <c r="V9" s="7"/>
      <c r="W9" s="264"/>
      <c r="X9" s="8" t="s">
        <v>47</v>
      </c>
      <c r="Y9" s="36">
        <v>1056.896</v>
      </c>
    </row>
    <row r="10" spans="1:35" ht="16.5" customHeight="1" x14ac:dyDescent="0.2">
      <c r="A10" s="284" t="s">
        <v>102</v>
      </c>
      <c r="B10" s="285"/>
      <c r="C10" s="285"/>
      <c r="D10" s="286"/>
      <c r="E10" s="6" t="s">
        <v>1</v>
      </c>
      <c r="F10" s="5" t="s">
        <v>72</v>
      </c>
      <c r="G10" s="6" t="s">
        <v>1</v>
      </c>
      <c r="H10" s="5" t="s">
        <v>80</v>
      </c>
      <c r="I10" s="6" t="s">
        <v>1</v>
      </c>
      <c r="J10" s="5" t="s">
        <v>231</v>
      </c>
      <c r="K10" s="6" t="s">
        <v>1</v>
      </c>
      <c r="L10" s="5" t="s">
        <v>107</v>
      </c>
      <c r="M10" s="6" t="s">
        <v>1</v>
      </c>
      <c r="N10" s="5" t="s">
        <v>113</v>
      </c>
      <c r="O10" s="63"/>
      <c r="P10" s="298"/>
      <c r="Q10" s="298"/>
      <c r="R10" s="298"/>
      <c r="S10" s="298"/>
      <c r="T10" s="274"/>
      <c r="U10" s="275"/>
      <c r="V10" s="7"/>
      <c r="W10" s="264" t="s">
        <v>24</v>
      </c>
      <c r="X10" s="8" t="s">
        <v>20</v>
      </c>
      <c r="Y10" s="35">
        <v>45413</v>
      </c>
    </row>
    <row r="11" spans="1:35" ht="16.5" customHeight="1" x14ac:dyDescent="0.2">
      <c r="A11" s="265" t="s">
        <v>103</v>
      </c>
      <c r="B11" s="266"/>
      <c r="C11" s="266"/>
      <c r="D11" s="267"/>
      <c r="E11" s="6" t="s">
        <v>2</v>
      </c>
      <c r="F11" s="50" t="s">
        <v>57</v>
      </c>
      <c r="G11" s="6" t="s">
        <v>2</v>
      </c>
      <c r="H11" s="50" t="s">
        <v>81</v>
      </c>
      <c r="I11" s="6" t="s">
        <v>2</v>
      </c>
      <c r="J11" s="50" t="s">
        <v>185</v>
      </c>
      <c r="K11" s="6" t="s">
        <v>2</v>
      </c>
      <c r="L11" s="50" t="s">
        <v>108</v>
      </c>
      <c r="M11" s="6" t="s">
        <v>2</v>
      </c>
      <c r="N11" s="50" t="s">
        <v>114</v>
      </c>
      <c r="O11" s="64"/>
      <c r="P11" s="298"/>
      <c r="Q11" s="298"/>
      <c r="R11" s="298"/>
      <c r="S11" s="298"/>
      <c r="T11" s="276"/>
      <c r="U11" s="277"/>
      <c r="V11" s="9"/>
      <c r="W11" s="264"/>
      <c r="X11" s="8" t="s">
        <v>48</v>
      </c>
      <c r="Y11" s="36">
        <v>1110.8869999999999</v>
      </c>
    </row>
    <row r="12" spans="1:35" ht="15.75" x14ac:dyDescent="0.2">
      <c r="A12" s="268" t="s">
        <v>29</v>
      </c>
      <c r="B12" s="282" t="s">
        <v>5</v>
      </c>
      <c r="C12" s="287" t="s">
        <v>9</v>
      </c>
      <c r="D12" s="270" t="s">
        <v>30</v>
      </c>
      <c r="E12" s="268" t="s">
        <v>28</v>
      </c>
      <c r="F12" s="258"/>
      <c r="G12" s="268" t="s">
        <v>28</v>
      </c>
      <c r="H12" s="258"/>
      <c r="I12" s="268" t="s">
        <v>28</v>
      </c>
      <c r="J12" s="258"/>
      <c r="K12" s="268" t="s">
        <v>28</v>
      </c>
      <c r="L12" s="258"/>
      <c r="M12" s="268" t="s">
        <v>28</v>
      </c>
      <c r="N12" s="258"/>
      <c r="O12" s="4"/>
      <c r="P12" s="269" t="s">
        <v>28</v>
      </c>
      <c r="Q12" s="269"/>
      <c r="R12" s="269" t="s">
        <v>28</v>
      </c>
      <c r="S12" s="269"/>
      <c r="T12" s="270" t="s">
        <v>28</v>
      </c>
      <c r="U12" s="271"/>
      <c r="V12" s="4"/>
      <c r="W12" s="269" t="s">
        <v>28</v>
      </c>
      <c r="X12" s="269"/>
      <c r="Y12" s="269"/>
    </row>
    <row r="13" spans="1:35" ht="15.75" x14ac:dyDescent="0.2">
      <c r="A13" s="268"/>
      <c r="B13" s="283"/>
      <c r="C13" s="288"/>
      <c r="D13" s="270"/>
      <c r="E13" s="10" t="s">
        <v>31</v>
      </c>
      <c r="F13" s="11" t="s">
        <v>32</v>
      </c>
      <c r="G13" s="10" t="s">
        <v>31</v>
      </c>
      <c r="H13" s="11" t="s">
        <v>32</v>
      </c>
      <c r="I13" s="10" t="s">
        <v>31</v>
      </c>
      <c r="J13" s="11" t="s">
        <v>32</v>
      </c>
      <c r="K13" s="10" t="s">
        <v>31</v>
      </c>
      <c r="L13" s="11" t="s">
        <v>32</v>
      </c>
      <c r="M13" s="10" t="s">
        <v>31</v>
      </c>
      <c r="N13" s="11" t="s">
        <v>32</v>
      </c>
      <c r="O13" s="4"/>
      <c r="P13" s="33" t="s">
        <v>31</v>
      </c>
      <c r="Q13" s="33" t="s">
        <v>32</v>
      </c>
      <c r="R13" s="33" t="s">
        <v>31</v>
      </c>
      <c r="S13" s="33" t="s">
        <v>32</v>
      </c>
      <c r="T13" s="33" t="s">
        <v>31</v>
      </c>
      <c r="U13" s="33" t="s">
        <v>32</v>
      </c>
      <c r="V13" s="4"/>
      <c r="W13" s="33" t="s">
        <v>9</v>
      </c>
      <c r="X13" s="33" t="s">
        <v>31</v>
      </c>
      <c r="Y13" s="33" t="s">
        <v>32</v>
      </c>
    </row>
    <row r="14" spans="1:35" s="101" customFormat="1" ht="18.75" customHeight="1" x14ac:dyDescent="0.2">
      <c r="A14" s="93"/>
      <c r="B14" s="94" t="s">
        <v>91</v>
      </c>
      <c r="C14" s="95"/>
      <c r="D14" s="96"/>
      <c r="E14" s="93"/>
      <c r="F14" s="98">
        <f>SUM(F15:F22)</f>
        <v>0</v>
      </c>
      <c r="G14" s="93"/>
      <c r="H14" s="98">
        <f>SUM(H15:H22)</f>
        <v>6105993.4173000008</v>
      </c>
      <c r="I14" s="93"/>
      <c r="J14" s="98">
        <f>SUM(J15:J22)</f>
        <v>5701211.71</v>
      </c>
      <c r="K14" s="93"/>
      <c r="L14" s="98">
        <f>SUM(L15:L22)</f>
        <v>6784775.0999999996</v>
      </c>
      <c r="M14" s="93"/>
      <c r="N14" s="98">
        <f>SUM(N15:N22)</f>
        <v>6024893.5</v>
      </c>
      <c r="O14" s="99"/>
      <c r="P14" s="100"/>
      <c r="Q14" s="100"/>
      <c r="R14" s="100"/>
      <c r="S14" s="100"/>
      <c r="T14" s="100"/>
      <c r="U14" s="100"/>
      <c r="V14" s="99"/>
      <c r="W14" s="100"/>
      <c r="X14" s="100"/>
      <c r="Y14" s="100"/>
    </row>
    <row r="15" spans="1:35" ht="69" customHeight="1" x14ac:dyDescent="0.2">
      <c r="A15" s="12" t="s">
        <v>74</v>
      </c>
      <c r="B15" s="51" t="s">
        <v>242</v>
      </c>
      <c r="C15" s="14">
        <v>5812.95</v>
      </c>
      <c r="D15" s="15" t="s">
        <v>66</v>
      </c>
      <c r="E15" s="16">
        <v>0</v>
      </c>
      <c r="F15" s="17">
        <f>E15*C15</f>
        <v>0</v>
      </c>
      <c r="G15" s="49">
        <v>870</v>
      </c>
      <c r="H15" s="17">
        <f>G15*C15</f>
        <v>5057266.5</v>
      </c>
      <c r="I15" s="49">
        <v>850</v>
      </c>
      <c r="J15" s="17">
        <f>I15*C15</f>
        <v>4941007.5</v>
      </c>
      <c r="K15" s="49">
        <v>990</v>
      </c>
      <c r="L15" s="17">
        <f>K15*C15</f>
        <v>5754820.5</v>
      </c>
      <c r="M15" s="49">
        <v>870</v>
      </c>
      <c r="N15" s="17">
        <f>M15*C15</f>
        <v>5057266.5</v>
      </c>
      <c r="O15" s="18"/>
      <c r="P15" s="34">
        <v>838.2</v>
      </c>
      <c r="Q15" s="34">
        <f t="shared" ref="Q15:Q22" si="0">P15*C15</f>
        <v>4872414.6900000004</v>
      </c>
      <c r="R15" s="34">
        <v>0</v>
      </c>
      <c r="S15" s="34">
        <f t="shared" ref="S15:S22" si="1">R15*C15</f>
        <v>0</v>
      </c>
      <c r="T15" s="34">
        <v>0</v>
      </c>
      <c r="U15" s="34">
        <f t="shared" ref="U15:U22" si="2">T15*C15</f>
        <v>0</v>
      </c>
      <c r="V15" s="18"/>
      <c r="W15" s="37">
        <v>6010</v>
      </c>
      <c r="X15" s="34">
        <v>843.7</v>
      </c>
      <c r="Y15" s="34">
        <f>X15*W15</f>
        <v>5070637</v>
      </c>
      <c r="AI15" s="2">
        <f>250*30</f>
        <v>7500</v>
      </c>
    </row>
    <row r="16" spans="1:35" ht="57" x14ac:dyDescent="0.2">
      <c r="A16" s="12" t="s">
        <v>74</v>
      </c>
      <c r="B16" s="51" t="s">
        <v>104</v>
      </c>
      <c r="C16" s="14">
        <v>49.52</v>
      </c>
      <c r="D16" s="15" t="s">
        <v>66</v>
      </c>
      <c r="E16" s="16">
        <v>0</v>
      </c>
      <c r="F16" s="17">
        <f>E16*C16</f>
        <v>0</v>
      </c>
      <c r="G16" s="49">
        <v>870</v>
      </c>
      <c r="H16" s="17">
        <f>G16*C16</f>
        <v>43082.400000000001</v>
      </c>
      <c r="I16" s="49">
        <v>850</v>
      </c>
      <c r="J16" s="17">
        <f>I16*C16</f>
        <v>42092</v>
      </c>
      <c r="K16" s="49">
        <v>990</v>
      </c>
      <c r="L16" s="17">
        <f>K16*C16</f>
        <v>49024.800000000003</v>
      </c>
      <c r="M16" s="49">
        <v>870</v>
      </c>
      <c r="N16" s="17">
        <f>M16*C16</f>
        <v>43082.400000000001</v>
      </c>
      <c r="O16" s="18"/>
      <c r="P16" s="34">
        <v>838.2</v>
      </c>
      <c r="Q16" s="34">
        <f t="shared" si="0"/>
        <v>41507.664000000004</v>
      </c>
      <c r="R16" s="34">
        <v>0</v>
      </c>
      <c r="S16" s="34">
        <f t="shared" si="1"/>
        <v>0</v>
      </c>
      <c r="T16" s="34">
        <v>0</v>
      </c>
      <c r="U16" s="34">
        <f t="shared" si="2"/>
        <v>0</v>
      </c>
      <c r="V16" s="18"/>
      <c r="W16" s="37">
        <v>0</v>
      </c>
      <c r="X16" s="34">
        <v>0</v>
      </c>
      <c r="Y16" s="34">
        <f>X16*W16</f>
        <v>0</v>
      </c>
      <c r="AI16" s="2">
        <f>AI15*12</f>
        <v>90000</v>
      </c>
    </row>
    <row r="17" spans="1:25" ht="118.35" customHeight="1" x14ac:dyDescent="0.2">
      <c r="A17" s="12" t="s">
        <v>75</v>
      </c>
      <c r="B17" s="51" t="s">
        <v>281</v>
      </c>
      <c r="C17" s="14">
        <v>1007.17</v>
      </c>
      <c r="D17" s="15" t="s">
        <v>66</v>
      </c>
      <c r="E17" s="16">
        <v>0</v>
      </c>
      <c r="F17" s="17">
        <f t="shared" ref="F17" si="3">E17*C17</f>
        <v>0</v>
      </c>
      <c r="G17" s="49">
        <v>921.69</v>
      </c>
      <c r="H17" s="17">
        <f>G17*C17</f>
        <v>928298.51730000007</v>
      </c>
      <c r="I17" s="49">
        <v>713</v>
      </c>
      <c r="J17" s="17">
        <f>I17*C17</f>
        <v>718112.21</v>
      </c>
      <c r="K17" s="49">
        <v>940</v>
      </c>
      <c r="L17" s="17">
        <f>K17*C17</f>
        <v>946739.79999999993</v>
      </c>
      <c r="M17" s="49">
        <v>780</v>
      </c>
      <c r="N17" s="17">
        <f>M17*C17</f>
        <v>785592.6</v>
      </c>
      <c r="O17" s="18"/>
      <c r="P17" s="34">
        <v>700</v>
      </c>
      <c r="Q17" s="34">
        <f t="shared" si="0"/>
        <v>705019</v>
      </c>
      <c r="R17" s="34">
        <v>0</v>
      </c>
      <c r="S17" s="34">
        <f t="shared" si="1"/>
        <v>0</v>
      </c>
      <c r="T17" s="34">
        <v>0</v>
      </c>
      <c r="U17" s="34">
        <f t="shared" si="2"/>
        <v>0</v>
      </c>
      <c r="V17" s="18"/>
      <c r="W17" s="37">
        <v>1007</v>
      </c>
      <c r="X17" s="34">
        <v>712.5</v>
      </c>
      <c r="Y17" s="34">
        <f>W17*X17</f>
        <v>717487.5</v>
      </c>
    </row>
    <row r="18" spans="1:25" ht="72.599999999999994" customHeight="1" x14ac:dyDescent="0.2">
      <c r="A18" s="12" t="s">
        <v>76</v>
      </c>
      <c r="B18" s="51" t="s">
        <v>235</v>
      </c>
      <c r="C18" s="14"/>
      <c r="D18" s="15" t="s">
        <v>67</v>
      </c>
      <c r="E18" s="379" t="s">
        <v>273</v>
      </c>
      <c r="F18" s="380"/>
      <c r="G18" s="379" t="s">
        <v>266</v>
      </c>
      <c r="H18" s="380"/>
      <c r="I18" s="379" t="s">
        <v>273</v>
      </c>
      <c r="J18" s="380"/>
      <c r="K18" s="308" t="s">
        <v>283</v>
      </c>
      <c r="L18" s="309"/>
      <c r="M18" s="379" t="s">
        <v>273</v>
      </c>
      <c r="N18" s="380"/>
      <c r="O18" s="18"/>
      <c r="P18" s="34">
        <v>0</v>
      </c>
      <c r="Q18" s="34">
        <f t="shared" si="0"/>
        <v>0</v>
      </c>
      <c r="R18" s="34">
        <v>0</v>
      </c>
      <c r="S18" s="34">
        <f t="shared" si="1"/>
        <v>0</v>
      </c>
      <c r="T18" s="34">
        <v>0</v>
      </c>
      <c r="U18" s="34">
        <f t="shared" si="2"/>
        <v>0</v>
      </c>
      <c r="V18" s="18"/>
      <c r="W18" s="37">
        <v>0</v>
      </c>
      <c r="X18" s="34">
        <v>0</v>
      </c>
      <c r="Y18" s="34">
        <f>X18*W18</f>
        <v>0</v>
      </c>
    </row>
    <row r="19" spans="1:25" ht="52.7" customHeight="1" x14ac:dyDescent="0.2">
      <c r="A19" s="12" t="s">
        <v>77</v>
      </c>
      <c r="B19" s="51" t="s">
        <v>236</v>
      </c>
      <c r="C19" s="14">
        <v>263</v>
      </c>
      <c r="D19" s="15" t="s">
        <v>274</v>
      </c>
      <c r="E19" s="16">
        <v>0</v>
      </c>
      <c r="F19" s="17">
        <f>E19*C19</f>
        <v>0</v>
      </c>
      <c r="G19" s="49">
        <v>150</v>
      </c>
      <c r="H19" s="17">
        <f>G19*C19</f>
        <v>39450</v>
      </c>
      <c r="I19" s="379" t="s">
        <v>266</v>
      </c>
      <c r="J19" s="380"/>
      <c r="K19" s="49">
        <v>130</v>
      </c>
      <c r="L19" s="17">
        <f>K19*C19</f>
        <v>34190</v>
      </c>
      <c r="M19" s="49">
        <v>0</v>
      </c>
      <c r="N19" s="17">
        <f>M19*C19</f>
        <v>0</v>
      </c>
      <c r="O19" s="18"/>
      <c r="P19" s="34">
        <v>0</v>
      </c>
      <c r="Q19" s="34">
        <f t="shared" si="0"/>
        <v>0</v>
      </c>
      <c r="R19" s="34">
        <v>0</v>
      </c>
      <c r="S19" s="34">
        <f t="shared" si="1"/>
        <v>0</v>
      </c>
      <c r="T19" s="34">
        <v>0</v>
      </c>
      <c r="U19" s="34">
        <f t="shared" si="2"/>
        <v>0</v>
      </c>
      <c r="V19" s="18"/>
      <c r="W19" s="37">
        <v>0</v>
      </c>
      <c r="X19" s="34">
        <v>0</v>
      </c>
      <c r="Y19" s="34">
        <f>W19*X19</f>
        <v>0</v>
      </c>
    </row>
    <row r="20" spans="1:25" ht="52.7" customHeight="1" x14ac:dyDescent="0.2">
      <c r="A20" s="12">
        <v>5</v>
      </c>
      <c r="B20" s="51" t="s">
        <v>240</v>
      </c>
      <c r="C20" s="14">
        <v>0</v>
      </c>
      <c r="D20" s="15" t="s">
        <v>243</v>
      </c>
      <c r="E20" s="379" t="s">
        <v>273</v>
      </c>
      <c r="F20" s="380"/>
      <c r="G20" s="379" t="s">
        <v>273</v>
      </c>
      <c r="H20" s="380"/>
      <c r="I20" s="379" t="s">
        <v>273</v>
      </c>
      <c r="J20" s="380"/>
      <c r="K20" s="308" t="s">
        <v>251</v>
      </c>
      <c r="L20" s="309"/>
      <c r="M20" s="379" t="s">
        <v>273</v>
      </c>
      <c r="N20" s="380"/>
      <c r="O20" s="18"/>
      <c r="P20" s="34">
        <v>0</v>
      </c>
      <c r="Q20" s="34">
        <f t="shared" si="0"/>
        <v>0</v>
      </c>
      <c r="R20" s="34">
        <v>0</v>
      </c>
      <c r="S20" s="34">
        <f t="shared" si="1"/>
        <v>0</v>
      </c>
      <c r="T20" s="34">
        <v>0</v>
      </c>
      <c r="U20" s="34">
        <f t="shared" si="2"/>
        <v>0</v>
      </c>
      <c r="V20" s="18"/>
      <c r="W20" s="37">
        <v>0</v>
      </c>
      <c r="X20" s="34">
        <v>0</v>
      </c>
      <c r="Y20" s="34">
        <f t="shared" ref="Y20:Y34" si="4">W20*X20</f>
        <v>0</v>
      </c>
    </row>
    <row r="21" spans="1:25" ht="70.349999999999994" customHeight="1" x14ac:dyDescent="0.2">
      <c r="A21" s="12">
        <v>6</v>
      </c>
      <c r="B21" s="51" t="s">
        <v>241</v>
      </c>
      <c r="C21" s="14">
        <v>8.1199999999999992</v>
      </c>
      <c r="D21" s="15" t="s">
        <v>243</v>
      </c>
      <c r="E21" s="16">
        <v>0</v>
      </c>
      <c r="F21" s="17">
        <f>E21*C21</f>
        <v>0</v>
      </c>
      <c r="G21" s="308" t="s">
        <v>285</v>
      </c>
      <c r="H21" s="309"/>
      <c r="I21" s="381" t="s">
        <v>282</v>
      </c>
      <c r="J21" s="382"/>
      <c r="K21" s="308" t="s">
        <v>251</v>
      </c>
      <c r="L21" s="309"/>
      <c r="M21" s="49"/>
      <c r="N21" s="17">
        <f>M21*C21</f>
        <v>0</v>
      </c>
      <c r="O21" s="18"/>
      <c r="P21" s="34">
        <v>0</v>
      </c>
      <c r="Q21" s="34">
        <f t="shared" si="0"/>
        <v>0</v>
      </c>
      <c r="R21" s="34">
        <v>0</v>
      </c>
      <c r="S21" s="34">
        <f t="shared" si="1"/>
        <v>0</v>
      </c>
      <c r="T21" s="34">
        <v>0</v>
      </c>
      <c r="U21" s="34">
        <f t="shared" si="2"/>
        <v>0</v>
      </c>
      <c r="V21" s="18"/>
      <c r="W21" s="37">
        <v>0</v>
      </c>
      <c r="X21" s="34">
        <v>0</v>
      </c>
      <c r="Y21" s="34">
        <f t="shared" si="4"/>
        <v>0</v>
      </c>
    </row>
    <row r="22" spans="1:25" ht="70.349999999999994" customHeight="1" x14ac:dyDescent="0.2">
      <c r="A22" s="12">
        <v>6</v>
      </c>
      <c r="B22" s="51" t="s">
        <v>249</v>
      </c>
      <c r="C22" s="14">
        <v>2526.4</v>
      </c>
      <c r="D22" s="15" t="s">
        <v>243</v>
      </c>
      <c r="E22" s="381" t="s">
        <v>267</v>
      </c>
      <c r="F22" s="382"/>
      <c r="G22" s="49">
        <v>15</v>
      </c>
      <c r="H22" s="17">
        <f>G22*C22</f>
        <v>37896</v>
      </c>
      <c r="I22" s="383" t="s">
        <v>286</v>
      </c>
      <c r="J22" s="384"/>
      <c r="K22" s="383" t="s">
        <v>286</v>
      </c>
      <c r="L22" s="384"/>
      <c r="M22" s="49">
        <v>55</v>
      </c>
      <c r="N22" s="17">
        <f>M22*C22</f>
        <v>138952</v>
      </c>
      <c r="O22" s="18"/>
      <c r="P22" s="34">
        <v>0</v>
      </c>
      <c r="Q22" s="34">
        <f t="shared" si="0"/>
        <v>0</v>
      </c>
      <c r="R22" s="34">
        <v>0</v>
      </c>
      <c r="S22" s="34">
        <f t="shared" si="1"/>
        <v>0</v>
      </c>
      <c r="T22" s="34">
        <v>0</v>
      </c>
      <c r="U22" s="34">
        <f t="shared" si="2"/>
        <v>0</v>
      </c>
      <c r="V22" s="18"/>
      <c r="W22" s="37">
        <v>0</v>
      </c>
      <c r="X22" s="34">
        <v>0</v>
      </c>
      <c r="Y22" s="34">
        <f t="shared" si="4"/>
        <v>0</v>
      </c>
    </row>
    <row r="23" spans="1:25" s="101" customFormat="1" ht="21" customHeight="1" x14ac:dyDescent="0.2">
      <c r="A23" s="102"/>
      <c r="B23" s="103" t="s">
        <v>61</v>
      </c>
      <c r="C23" s="104"/>
      <c r="D23" s="105"/>
      <c r="E23" s="106"/>
      <c r="F23" s="107">
        <f>SUM(F24:F29)</f>
        <v>0</v>
      </c>
      <c r="G23" s="106"/>
      <c r="H23" s="107">
        <f>SUM(H24:H29)</f>
        <v>191118.8</v>
      </c>
      <c r="I23" s="106"/>
      <c r="J23" s="107">
        <f>SUM(J24:J29)</f>
        <v>90303.8</v>
      </c>
      <c r="K23" s="106"/>
      <c r="L23" s="107">
        <f>SUM(L24:L29)</f>
        <v>90306.8</v>
      </c>
      <c r="M23" s="106"/>
      <c r="N23" s="107">
        <f>SUM(N24:N29)</f>
        <v>152797.19999999998</v>
      </c>
      <c r="O23" s="108"/>
      <c r="P23" s="109"/>
      <c r="Q23" s="109"/>
      <c r="R23" s="109"/>
      <c r="S23" s="109"/>
      <c r="T23" s="109"/>
      <c r="U23" s="109"/>
      <c r="V23" s="108"/>
      <c r="W23" s="110"/>
      <c r="X23" s="109"/>
      <c r="Y23" s="109"/>
    </row>
    <row r="24" spans="1:25" ht="41.45" customHeight="1" x14ac:dyDescent="0.2">
      <c r="A24" s="12"/>
      <c r="B24" s="51" t="s">
        <v>237</v>
      </c>
      <c r="C24" s="14">
        <v>0</v>
      </c>
      <c r="D24" s="15" t="s">
        <v>69</v>
      </c>
      <c r="E24" s="383" t="s">
        <v>266</v>
      </c>
      <c r="F24" s="384"/>
      <c r="G24" s="49">
        <v>0</v>
      </c>
      <c r="H24" s="88">
        <f t="shared" ref="H24:H29" si="5">G24*C24</f>
        <v>0</v>
      </c>
      <c r="I24" s="383" t="s">
        <v>266</v>
      </c>
      <c r="J24" s="384"/>
      <c r="K24" s="308" t="s">
        <v>251</v>
      </c>
      <c r="L24" s="309"/>
      <c r="M24" s="383" t="s">
        <v>266</v>
      </c>
      <c r="N24" s="384"/>
      <c r="O24" s="59"/>
      <c r="P24" s="305" t="s">
        <v>109</v>
      </c>
      <c r="Q24" s="306"/>
      <c r="R24" s="38">
        <v>0</v>
      </c>
      <c r="S24" s="34">
        <f t="shared" ref="S24:S29" si="6">R24*C24</f>
        <v>0</v>
      </c>
      <c r="T24" s="38">
        <v>0</v>
      </c>
      <c r="U24" s="34">
        <f t="shared" ref="U24:U29" si="7">T24*C24</f>
        <v>0</v>
      </c>
      <c r="V24" s="18"/>
      <c r="W24" s="89">
        <v>0</v>
      </c>
      <c r="X24" s="38">
        <v>0</v>
      </c>
      <c r="Y24" s="34">
        <f t="shared" si="4"/>
        <v>0</v>
      </c>
    </row>
    <row r="25" spans="1:25" ht="34.35" customHeight="1" x14ac:dyDescent="0.2">
      <c r="A25" s="12"/>
      <c r="B25" s="51" t="s">
        <v>239</v>
      </c>
      <c r="C25" s="14">
        <v>172</v>
      </c>
      <c r="D25" s="15" t="s">
        <v>274</v>
      </c>
      <c r="E25" s="49">
        <v>0</v>
      </c>
      <c r="F25" s="88">
        <f t="shared" ref="F25:F34" si="8">E25*C25</f>
        <v>0</v>
      </c>
      <c r="G25" s="49">
        <v>285</v>
      </c>
      <c r="H25" s="88">
        <f t="shared" si="5"/>
        <v>49020</v>
      </c>
      <c r="I25" s="383" t="s">
        <v>266</v>
      </c>
      <c r="J25" s="384"/>
      <c r="K25" s="49">
        <v>0</v>
      </c>
      <c r="L25" s="17">
        <f t="shared" ref="L25:L29" si="9">K25*C25</f>
        <v>0</v>
      </c>
      <c r="M25" s="49">
        <v>210</v>
      </c>
      <c r="N25" s="17">
        <f>M25*C25</f>
        <v>36120</v>
      </c>
      <c r="O25" s="59"/>
      <c r="P25" s="38">
        <v>0</v>
      </c>
      <c r="Q25" s="34">
        <f>P25*C25</f>
        <v>0</v>
      </c>
      <c r="R25" s="38">
        <v>0</v>
      </c>
      <c r="S25" s="34">
        <f t="shared" si="6"/>
        <v>0</v>
      </c>
      <c r="T25" s="38">
        <v>0</v>
      </c>
      <c r="U25" s="34">
        <f t="shared" si="7"/>
        <v>0</v>
      </c>
      <c r="V25" s="18"/>
      <c r="W25" s="89">
        <v>0</v>
      </c>
      <c r="X25" s="38">
        <v>0</v>
      </c>
      <c r="Y25" s="34">
        <f t="shared" si="4"/>
        <v>0</v>
      </c>
    </row>
    <row r="26" spans="1:25" ht="34.700000000000003" customHeight="1" x14ac:dyDescent="0.2">
      <c r="A26" s="12"/>
      <c r="B26" s="51" t="s">
        <v>238</v>
      </c>
      <c r="C26" s="14">
        <v>0</v>
      </c>
      <c r="D26" s="15" t="s">
        <v>110</v>
      </c>
      <c r="E26" s="308" t="s">
        <v>266</v>
      </c>
      <c r="F26" s="309"/>
      <c r="G26" s="49">
        <v>0</v>
      </c>
      <c r="H26" s="88">
        <f t="shared" si="5"/>
        <v>0</v>
      </c>
      <c r="I26" s="308" t="s">
        <v>266</v>
      </c>
      <c r="J26" s="309"/>
      <c r="K26" s="308" t="s">
        <v>284</v>
      </c>
      <c r="L26" s="309"/>
      <c r="M26" s="308" t="s">
        <v>266</v>
      </c>
      <c r="N26" s="309"/>
      <c r="O26" s="59"/>
      <c r="P26" s="38">
        <v>30</v>
      </c>
      <c r="Q26" s="34">
        <f>P26*C26</f>
        <v>0</v>
      </c>
      <c r="R26" s="38">
        <v>0</v>
      </c>
      <c r="S26" s="34">
        <f t="shared" si="6"/>
        <v>0</v>
      </c>
      <c r="T26" s="38">
        <v>0</v>
      </c>
      <c r="U26" s="34">
        <f t="shared" si="7"/>
        <v>0</v>
      </c>
      <c r="V26" s="18"/>
      <c r="W26" s="89">
        <v>0</v>
      </c>
      <c r="X26" s="38">
        <v>0</v>
      </c>
      <c r="Y26" s="34">
        <f t="shared" si="4"/>
        <v>0</v>
      </c>
    </row>
    <row r="27" spans="1:25" ht="18.75" customHeight="1" x14ac:dyDescent="0.2">
      <c r="A27" s="12"/>
      <c r="B27" s="51" t="s">
        <v>268</v>
      </c>
      <c r="C27" s="14">
        <v>754.98</v>
      </c>
      <c r="D27" s="15" t="s">
        <v>110</v>
      </c>
      <c r="E27" s="49">
        <v>0</v>
      </c>
      <c r="F27" s="88">
        <f>E27*C27</f>
        <v>0</v>
      </c>
      <c r="G27" s="49">
        <v>60</v>
      </c>
      <c r="H27" s="88">
        <f t="shared" si="5"/>
        <v>45298.8</v>
      </c>
      <c r="I27" s="49">
        <v>60</v>
      </c>
      <c r="J27" s="17">
        <f>I27*C27</f>
        <v>45298.8</v>
      </c>
      <c r="K27" s="49">
        <v>60</v>
      </c>
      <c r="L27" s="17">
        <f t="shared" si="9"/>
        <v>45298.8</v>
      </c>
      <c r="M27" s="49">
        <v>85</v>
      </c>
      <c r="N27" s="17">
        <f>M27*C27</f>
        <v>64173.3</v>
      </c>
      <c r="O27" s="59"/>
      <c r="P27" s="38">
        <v>0</v>
      </c>
      <c r="Q27" s="34">
        <f>P27*C27</f>
        <v>0</v>
      </c>
      <c r="R27" s="38">
        <v>0</v>
      </c>
      <c r="S27" s="34">
        <f t="shared" si="6"/>
        <v>0</v>
      </c>
      <c r="T27" s="38">
        <v>0</v>
      </c>
      <c r="U27" s="34">
        <f t="shared" si="7"/>
        <v>0</v>
      </c>
      <c r="V27" s="18"/>
      <c r="W27" s="89">
        <v>0</v>
      </c>
      <c r="X27" s="38">
        <v>0</v>
      </c>
      <c r="Y27" s="34">
        <f t="shared" si="4"/>
        <v>0</v>
      </c>
    </row>
    <row r="28" spans="1:25" ht="30.6" customHeight="1" x14ac:dyDescent="0.2">
      <c r="A28" s="12"/>
      <c r="B28" s="51" t="s">
        <v>289</v>
      </c>
      <c r="C28" s="14">
        <v>5</v>
      </c>
      <c r="D28" s="15" t="s">
        <v>272</v>
      </c>
      <c r="E28" s="49">
        <v>0</v>
      </c>
      <c r="F28" s="88">
        <f>E28*C28</f>
        <v>0</v>
      </c>
      <c r="G28" s="49">
        <v>19360</v>
      </c>
      <c r="H28" s="88">
        <f t="shared" si="5"/>
        <v>96800</v>
      </c>
      <c r="I28" s="49">
        <v>9000</v>
      </c>
      <c r="J28" s="17">
        <f>I28*C28</f>
        <v>45000</v>
      </c>
      <c r="K28" s="49">
        <v>9000</v>
      </c>
      <c r="L28" s="17">
        <f t="shared" si="9"/>
        <v>45000</v>
      </c>
      <c r="M28" s="49">
        <v>10500</v>
      </c>
      <c r="N28" s="17">
        <f>M28*C28</f>
        <v>52500</v>
      </c>
      <c r="O28" s="59"/>
      <c r="P28" s="38">
        <v>0</v>
      </c>
      <c r="Q28" s="34">
        <f>P28*C28</f>
        <v>0</v>
      </c>
      <c r="R28" s="38">
        <v>0</v>
      </c>
      <c r="S28" s="34">
        <f t="shared" si="6"/>
        <v>0</v>
      </c>
      <c r="T28" s="38">
        <v>0</v>
      </c>
      <c r="U28" s="34">
        <f t="shared" si="7"/>
        <v>0</v>
      </c>
      <c r="V28" s="18"/>
      <c r="W28" s="89">
        <v>13</v>
      </c>
      <c r="X28" s="38">
        <f>74117/W28</f>
        <v>5701.3076923076924</v>
      </c>
      <c r="Y28" s="34">
        <f>X28*W28</f>
        <v>74117</v>
      </c>
    </row>
    <row r="29" spans="1:25" ht="30.6" customHeight="1" x14ac:dyDescent="0.2">
      <c r="A29" s="12"/>
      <c r="B29" s="51" t="s">
        <v>275</v>
      </c>
      <c r="C29" s="14">
        <v>1</v>
      </c>
      <c r="D29" s="15" t="s">
        <v>67</v>
      </c>
      <c r="E29" s="49">
        <v>0</v>
      </c>
      <c r="F29" s="88">
        <f t="shared" si="8"/>
        <v>0</v>
      </c>
      <c r="G29" s="49">
        <v>0</v>
      </c>
      <c r="H29" s="88">
        <f t="shared" si="5"/>
        <v>0</v>
      </c>
      <c r="I29" s="49">
        <v>5</v>
      </c>
      <c r="J29" s="17">
        <f>I29*C29</f>
        <v>5</v>
      </c>
      <c r="K29" s="49">
        <v>8</v>
      </c>
      <c r="L29" s="17">
        <f t="shared" si="9"/>
        <v>8</v>
      </c>
      <c r="M29" s="49">
        <v>3.9</v>
      </c>
      <c r="N29" s="17">
        <f>M29*C29</f>
        <v>3.9</v>
      </c>
      <c r="O29" s="59"/>
      <c r="P29" s="38">
        <v>0</v>
      </c>
      <c r="Q29" s="34">
        <f>P29*C29</f>
        <v>0</v>
      </c>
      <c r="R29" s="38">
        <v>0</v>
      </c>
      <c r="S29" s="34">
        <f t="shared" si="6"/>
        <v>0</v>
      </c>
      <c r="T29" s="38">
        <v>0</v>
      </c>
      <c r="U29" s="34">
        <f t="shared" si="7"/>
        <v>0</v>
      </c>
      <c r="V29" s="18"/>
      <c r="W29" s="89">
        <v>0</v>
      </c>
      <c r="X29" s="38">
        <v>0</v>
      </c>
      <c r="Y29" s="34">
        <f t="shared" si="4"/>
        <v>0</v>
      </c>
    </row>
    <row r="30" spans="1:25" s="101" customFormat="1" ht="18.75" customHeight="1" x14ac:dyDescent="0.2">
      <c r="A30" s="102"/>
      <c r="B30" s="103" t="s">
        <v>97</v>
      </c>
      <c r="C30" s="104"/>
      <c r="D30" s="105"/>
      <c r="E30" s="106"/>
      <c r="F30" s="107">
        <f>SUM(F31:F34)</f>
        <v>0</v>
      </c>
      <c r="G30" s="106"/>
      <c r="H30" s="107">
        <f>SUM(H31:H36)</f>
        <v>0</v>
      </c>
      <c r="I30" s="106"/>
      <c r="J30" s="107">
        <f>SUM(J31:J36)</f>
        <v>0</v>
      </c>
      <c r="K30" s="106"/>
      <c r="L30" s="107">
        <f>SUM(L31:L36)</f>
        <v>0</v>
      </c>
      <c r="M30" s="106"/>
      <c r="N30" s="107">
        <f>SUM(N31:N36)</f>
        <v>0</v>
      </c>
      <c r="O30" s="108"/>
      <c r="P30" s="109"/>
      <c r="Q30" s="109"/>
      <c r="R30" s="109"/>
      <c r="S30" s="109"/>
      <c r="T30" s="109"/>
      <c r="U30" s="109"/>
      <c r="V30" s="108"/>
      <c r="W30" s="110"/>
      <c r="X30" s="109"/>
      <c r="Y30" s="109"/>
    </row>
    <row r="31" spans="1:25" ht="18.75" customHeight="1" x14ac:dyDescent="0.2">
      <c r="A31" s="12"/>
      <c r="B31" s="51" t="s">
        <v>59</v>
      </c>
      <c r="C31" s="14">
        <v>0</v>
      </c>
      <c r="D31" s="15" t="s">
        <v>68</v>
      </c>
      <c r="E31" s="16">
        <v>0</v>
      </c>
      <c r="F31" s="88">
        <f t="shared" si="8"/>
        <v>0</v>
      </c>
      <c r="G31" s="49">
        <v>0</v>
      </c>
      <c r="H31" s="88">
        <f>G31*C31</f>
        <v>0</v>
      </c>
      <c r="I31" s="49">
        <v>270</v>
      </c>
      <c r="J31" s="17">
        <f>I31*C31</f>
        <v>0</v>
      </c>
      <c r="K31" s="49">
        <v>0</v>
      </c>
      <c r="L31" s="17">
        <f>K31*C31</f>
        <v>0</v>
      </c>
      <c r="M31" s="49">
        <v>425</v>
      </c>
      <c r="N31" s="17">
        <f>M31*C31</f>
        <v>0</v>
      </c>
      <c r="O31" s="18"/>
      <c r="P31" s="34">
        <v>0</v>
      </c>
      <c r="Q31" s="34">
        <f>P31*C31</f>
        <v>0</v>
      </c>
      <c r="R31" s="34">
        <v>0</v>
      </c>
      <c r="S31" s="34">
        <f>R31*C31</f>
        <v>0</v>
      </c>
      <c r="T31" s="34">
        <v>0</v>
      </c>
      <c r="U31" s="34">
        <f>T31*C31</f>
        <v>0</v>
      </c>
      <c r="V31" s="18"/>
      <c r="W31" s="37">
        <v>0</v>
      </c>
      <c r="X31" s="34">
        <v>0</v>
      </c>
      <c r="Y31" s="34">
        <f t="shared" si="4"/>
        <v>0</v>
      </c>
    </row>
    <row r="32" spans="1:25" ht="18.75" customHeight="1" x14ac:dyDescent="0.2">
      <c r="A32" s="12"/>
      <c r="B32" s="51" t="s">
        <v>65</v>
      </c>
      <c r="C32" s="14">
        <v>0</v>
      </c>
      <c r="D32" s="15" t="s">
        <v>68</v>
      </c>
      <c r="E32" s="16">
        <v>0</v>
      </c>
      <c r="F32" s="88">
        <f t="shared" si="8"/>
        <v>0</v>
      </c>
      <c r="G32" s="49">
        <v>0</v>
      </c>
      <c r="H32" s="88">
        <f>G32*C32</f>
        <v>0</v>
      </c>
      <c r="I32" s="49">
        <v>300</v>
      </c>
      <c r="J32" s="17">
        <f>I32*C32</f>
        <v>0</v>
      </c>
      <c r="K32" s="49">
        <v>0</v>
      </c>
      <c r="L32" s="17">
        <f>K32*C32</f>
        <v>0</v>
      </c>
      <c r="M32" s="49">
        <v>559</v>
      </c>
      <c r="N32" s="17">
        <f>M32*C32</f>
        <v>0</v>
      </c>
      <c r="O32" s="18"/>
      <c r="P32" s="34">
        <v>0</v>
      </c>
      <c r="Q32" s="34">
        <f>P32*C32</f>
        <v>0</v>
      </c>
      <c r="R32" s="34">
        <v>0</v>
      </c>
      <c r="S32" s="34">
        <f>R32*C32</f>
        <v>0</v>
      </c>
      <c r="T32" s="34">
        <v>0</v>
      </c>
      <c r="U32" s="34">
        <f>T32*C32</f>
        <v>0</v>
      </c>
      <c r="V32" s="18"/>
      <c r="W32" s="37">
        <v>0</v>
      </c>
      <c r="X32" s="34">
        <v>0</v>
      </c>
      <c r="Y32" s="34">
        <f t="shared" si="4"/>
        <v>0</v>
      </c>
    </row>
    <row r="33" spans="1:29" ht="20.25" customHeight="1" x14ac:dyDescent="0.2">
      <c r="A33" s="12"/>
      <c r="B33" s="13" t="s">
        <v>60</v>
      </c>
      <c r="C33" s="14">
        <v>0</v>
      </c>
      <c r="D33" s="15" t="s">
        <v>68</v>
      </c>
      <c r="E33" s="16">
        <v>0</v>
      </c>
      <c r="F33" s="88">
        <f t="shared" si="8"/>
        <v>0</v>
      </c>
      <c r="G33" s="49">
        <v>0</v>
      </c>
      <c r="H33" s="88">
        <f>G33*C33</f>
        <v>0</v>
      </c>
      <c r="I33" s="49">
        <v>400</v>
      </c>
      <c r="J33" s="17">
        <f>I33*C33</f>
        <v>0</v>
      </c>
      <c r="K33" s="49">
        <v>0</v>
      </c>
      <c r="L33" s="17">
        <f>K33*C33</f>
        <v>0</v>
      </c>
      <c r="M33" s="49">
        <v>725</v>
      </c>
      <c r="N33" s="17">
        <f>M33*C33</f>
        <v>0</v>
      </c>
      <c r="O33" s="18"/>
      <c r="P33" s="34">
        <v>0</v>
      </c>
      <c r="Q33" s="34">
        <f>P33*C33</f>
        <v>0</v>
      </c>
      <c r="R33" s="34">
        <v>0</v>
      </c>
      <c r="S33" s="34">
        <f>R33*C33</f>
        <v>0</v>
      </c>
      <c r="T33" s="34">
        <v>0</v>
      </c>
      <c r="U33" s="34">
        <f>T33*C33</f>
        <v>0</v>
      </c>
      <c r="V33" s="18"/>
      <c r="W33" s="37">
        <v>0</v>
      </c>
      <c r="X33" s="38">
        <v>0</v>
      </c>
      <c r="Y33" s="34">
        <f t="shared" si="4"/>
        <v>0</v>
      </c>
    </row>
    <row r="34" spans="1:29" ht="20.25" customHeight="1" x14ac:dyDescent="0.2">
      <c r="A34" s="12"/>
      <c r="B34" s="13" t="s">
        <v>64</v>
      </c>
      <c r="C34" s="14">
        <v>0</v>
      </c>
      <c r="D34" s="15" t="s">
        <v>70</v>
      </c>
      <c r="E34" s="16">
        <v>0</v>
      </c>
      <c r="F34" s="88">
        <f t="shared" si="8"/>
        <v>0</v>
      </c>
      <c r="G34" s="16">
        <v>0</v>
      </c>
      <c r="H34" s="88">
        <f>G34*C34</f>
        <v>0</v>
      </c>
      <c r="I34" s="16">
        <v>0</v>
      </c>
      <c r="J34" s="17">
        <f>I34*C34</f>
        <v>0</v>
      </c>
      <c r="K34" s="16">
        <v>0</v>
      </c>
      <c r="L34" s="17">
        <f>K34*C34</f>
        <v>0</v>
      </c>
      <c r="M34" s="16">
        <v>0</v>
      </c>
      <c r="N34" s="17">
        <f>M34*C34</f>
        <v>0</v>
      </c>
      <c r="O34" s="18"/>
      <c r="P34" s="34">
        <v>0</v>
      </c>
      <c r="Q34" s="34">
        <f>P34*C34</f>
        <v>0</v>
      </c>
      <c r="R34" s="34">
        <v>0</v>
      </c>
      <c r="S34" s="34">
        <f>R34*C34</f>
        <v>0</v>
      </c>
      <c r="T34" s="34">
        <v>0</v>
      </c>
      <c r="U34" s="34">
        <f>T34*C34</f>
        <v>0</v>
      </c>
      <c r="V34" s="18"/>
      <c r="W34" s="37">
        <v>0</v>
      </c>
      <c r="X34" s="38">
        <v>0</v>
      </c>
      <c r="Y34" s="34">
        <f t="shared" si="4"/>
        <v>0</v>
      </c>
    </row>
    <row r="35" spans="1:29" ht="20.25" customHeight="1" x14ac:dyDescent="0.2">
      <c r="A35" s="12"/>
      <c r="B35" s="13"/>
      <c r="C35" s="14"/>
      <c r="D35" s="15"/>
      <c r="E35" s="16"/>
      <c r="F35" s="88"/>
      <c r="G35" s="16"/>
      <c r="H35" s="88"/>
      <c r="I35" s="16"/>
      <c r="J35" s="17"/>
      <c r="K35" s="16"/>
      <c r="L35" s="17"/>
      <c r="M35" s="16"/>
      <c r="N35" s="17"/>
      <c r="O35" s="18"/>
      <c r="P35" s="34"/>
      <c r="Q35" s="34"/>
      <c r="R35" s="34"/>
      <c r="S35" s="34"/>
      <c r="T35" s="34"/>
      <c r="U35" s="34"/>
      <c r="V35" s="18"/>
      <c r="W35" s="37"/>
      <c r="X35" s="38"/>
      <c r="Y35" s="34"/>
    </row>
    <row r="36" spans="1:29" ht="19.350000000000001" customHeight="1" x14ac:dyDescent="0.2">
      <c r="A36" s="12"/>
      <c r="B36" s="13" t="s">
        <v>228</v>
      </c>
      <c r="C36" s="14">
        <v>0</v>
      </c>
      <c r="D36" s="15"/>
      <c r="E36" s="16"/>
      <c r="F36" s="162" t="e">
        <f>+E39/$C$36</f>
        <v>#DIV/0!</v>
      </c>
      <c r="G36" s="16"/>
      <c r="H36" s="17"/>
      <c r="I36" s="16"/>
      <c r="J36" s="17"/>
      <c r="K36" s="16"/>
      <c r="L36" s="17"/>
      <c r="M36" s="16"/>
      <c r="N36" s="17"/>
      <c r="O36" s="18"/>
      <c r="P36" s="34"/>
      <c r="Q36" s="34"/>
      <c r="R36" s="34"/>
      <c r="S36" s="34"/>
      <c r="T36" s="34"/>
      <c r="U36" s="34"/>
      <c r="V36" s="18"/>
      <c r="W36" s="37"/>
      <c r="X36" s="38"/>
      <c r="Y36" s="34"/>
    </row>
    <row r="37" spans="1:29" ht="20.100000000000001" customHeight="1" x14ac:dyDescent="0.2">
      <c r="A37" s="316" t="s">
        <v>37</v>
      </c>
      <c r="B37" s="317"/>
      <c r="C37" s="317"/>
      <c r="D37" s="318"/>
      <c r="E37" s="254">
        <f>SUM(F15:F34)</f>
        <v>0</v>
      </c>
      <c r="F37" s="255"/>
      <c r="G37" s="254">
        <f>G39</f>
        <v>6297112.2173000006</v>
      </c>
      <c r="H37" s="255"/>
      <c r="I37" s="254">
        <v>6557547.5999999996</v>
      </c>
      <c r="J37" s="255"/>
      <c r="K37" s="254">
        <f>K39</f>
        <v>6875081.8999999994</v>
      </c>
      <c r="L37" s="255"/>
      <c r="M37" s="254">
        <f>M39</f>
        <v>6177690.7000000002</v>
      </c>
      <c r="N37" s="255"/>
      <c r="O37" s="19"/>
      <c r="P37" s="307">
        <f>SUM(Q15:Q34)</f>
        <v>5618941.3540000003</v>
      </c>
      <c r="Q37" s="307"/>
      <c r="R37" s="307">
        <f>SUM(S15:S34)</f>
        <v>0</v>
      </c>
      <c r="S37" s="307"/>
      <c r="T37" s="307">
        <f>SUM(U15:U34)</f>
        <v>0</v>
      </c>
      <c r="U37" s="307"/>
      <c r="V37" s="19"/>
      <c r="W37" s="333" t="s">
        <v>21</v>
      </c>
      <c r="X37" s="333"/>
      <c r="Y37" s="70">
        <f>SUM(Y15:Y34)</f>
        <v>5862241.5</v>
      </c>
    </row>
    <row r="38" spans="1:29" ht="20.100000000000001" customHeight="1" x14ac:dyDescent="0.2">
      <c r="A38" s="316" t="s">
        <v>8</v>
      </c>
      <c r="B38" s="317"/>
      <c r="C38" s="317"/>
      <c r="D38" s="318"/>
      <c r="E38" s="256">
        <v>0</v>
      </c>
      <c r="F38" s="257"/>
      <c r="G38" s="256">
        <f>G37-G39</f>
        <v>0</v>
      </c>
      <c r="H38" s="257"/>
      <c r="I38" s="256">
        <f>I37-I39</f>
        <v>766032.08999999985</v>
      </c>
      <c r="J38" s="257"/>
      <c r="K38" s="256">
        <v>0</v>
      </c>
      <c r="L38" s="257"/>
      <c r="M38" s="256">
        <v>0</v>
      </c>
      <c r="N38" s="257"/>
      <c r="O38" s="4"/>
      <c r="P38" s="307">
        <f>P39-P37</f>
        <v>0</v>
      </c>
      <c r="Q38" s="307"/>
      <c r="R38" s="307">
        <f>R39-R37</f>
        <v>0</v>
      </c>
      <c r="S38" s="307"/>
      <c r="T38" s="331">
        <f>T39-T37</f>
        <v>0</v>
      </c>
      <c r="U38" s="332"/>
      <c r="V38" s="19"/>
      <c r="W38" s="333" t="s">
        <v>51</v>
      </c>
      <c r="X38" s="333"/>
      <c r="Y38" s="39">
        <f>Y37*(Y11/Y9)</f>
        <v>6161711.1553175524</v>
      </c>
    </row>
    <row r="39" spans="1:29" ht="20.100000000000001" customHeight="1" x14ac:dyDescent="0.2">
      <c r="A39" s="316" t="s">
        <v>36</v>
      </c>
      <c r="B39" s="317"/>
      <c r="C39" s="317"/>
      <c r="D39" s="318"/>
      <c r="E39" s="254">
        <f>F30+F23+F14</f>
        <v>0</v>
      </c>
      <c r="F39" s="258"/>
      <c r="G39" s="254">
        <f>H30+H23+H14</f>
        <v>6297112.2173000006</v>
      </c>
      <c r="H39" s="258"/>
      <c r="I39" s="254">
        <f>J30+J23+J14</f>
        <v>5791515.5099999998</v>
      </c>
      <c r="J39" s="258"/>
      <c r="K39" s="254">
        <f>L30+L23+L14</f>
        <v>6875081.8999999994</v>
      </c>
      <c r="L39" s="258"/>
      <c r="M39" s="254">
        <f>N30+N23+N14</f>
        <v>6177690.7000000002</v>
      </c>
      <c r="N39" s="258"/>
      <c r="O39" s="4"/>
      <c r="P39" s="307">
        <f>SUM(Q15:Q34)</f>
        <v>5618941.3540000003</v>
      </c>
      <c r="Q39" s="269"/>
      <c r="R39" s="307">
        <f>SUM(S15:S34)</f>
        <v>0</v>
      </c>
      <c r="S39" s="269"/>
      <c r="T39" s="307">
        <f>SUM(U15:U34)</f>
        <v>0</v>
      </c>
      <c r="U39" s="269"/>
      <c r="V39" s="4"/>
      <c r="W39" s="334"/>
      <c r="X39" s="335"/>
      <c r="Y39" s="336"/>
    </row>
    <row r="40" spans="1:29" ht="20.100000000000001" customHeight="1" x14ac:dyDescent="0.2">
      <c r="A40" s="20"/>
      <c r="B40" s="21"/>
      <c r="C40" s="21"/>
      <c r="D40" s="22" t="s">
        <v>45</v>
      </c>
      <c r="E40" s="259" t="e">
        <f>E38/E39</f>
        <v>#DIV/0!</v>
      </c>
      <c r="F40" s="260"/>
      <c r="G40" s="259">
        <f>G38/G39</f>
        <v>0</v>
      </c>
      <c r="H40" s="260"/>
      <c r="I40" s="259">
        <f>I38/I39</f>
        <v>0.13226798558638408</v>
      </c>
      <c r="J40" s="260"/>
      <c r="K40" s="259">
        <f>K38/K39</f>
        <v>0</v>
      </c>
      <c r="L40" s="260"/>
      <c r="M40" s="259">
        <f>M38/M39</f>
        <v>0</v>
      </c>
      <c r="N40" s="260"/>
      <c r="O40" s="65"/>
      <c r="P40" s="331"/>
      <c r="Q40" s="332"/>
      <c r="R40" s="331"/>
      <c r="S40" s="332"/>
      <c r="T40" s="331"/>
      <c r="U40" s="332"/>
      <c r="V40" s="19"/>
      <c r="W40" s="307" t="s">
        <v>27</v>
      </c>
      <c r="X40" s="307"/>
      <c r="Y40" s="307"/>
    </row>
    <row r="41" spans="1:29" ht="21.95" customHeight="1" x14ac:dyDescent="0.2">
      <c r="A41" s="351" t="s">
        <v>7</v>
      </c>
      <c r="B41" s="352"/>
      <c r="C41" s="352"/>
      <c r="D41" s="353"/>
      <c r="E41" s="261">
        <f>(E39/Y38)-1</f>
        <v>-1</v>
      </c>
      <c r="F41" s="262"/>
      <c r="G41" s="261">
        <f>(G39/Y38)-1</f>
        <v>2.1974587670439139E-2</v>
      </c>
      <c r="H41" s="262"/>
      <c r="I41" s="261">
        <f>(I39/Y37)-1</f>
        <v>-1.2064666732000129E-2</v>
      </c>
      <c r="J41" s="262"/>
      <c r="K41" s="261" t="e">
        <f>(K39/W38)-1</f>
        <v>#VALUE!</v>
      </c>
      <c r="L41" s="262"/>
      <c r="M41" s="261" t="e">
        <f>(M39/W38)-1</f>
        <v>#VALUE!</v>
      </c>
      <c r="N41" s="262"/>
      <c r="O41" s="23"/>
      <c r="P41" s="337">
        <f>(P39/$Y$38)-1</f>
        <v>-8.8087511348068026E-2</v>
      </c>
      <c r="Q41" s="337"/>
      <c r="R41" s="337">
        <f>(R39/$Y$38)-1</f>
        <v>-1</v>
      </c>
      <c r="S41" s="337"/>
      <c r="T41" s="338">
        <f>(T39/$Y$38)-1</f>
        <v>-1</v>
      </c>
      <c r="U41" s="339"/>
      <c r="V41" s="23"/>
      <c r="W41" s="354">
        <f>I39-Y37</f>
        <v>-70725.990000000224</v>
      </c>
      <c r="X41" s="354"/>
      <c r="Y41" s="354"/>
    </row>
    <row r="42" spans="1:29" ht="24.75" customHeight="1" x14ac:dyDescent="0.2">
      <c r="A42" s="348" t="s">
        <v>11</v>
      </c>
      <c r="B42" s="349"/>
      <c r="C42" s="349"/>
      <c r="D42" s="350"/>
      <c r="E42" s="252" t="s">
        <v>52</v>
      </c>
      <c r="F42" s="253"/>
      <c r="G42" s="252" t="s">
        <v>52</v>
      </c>
      <c r="H42" s="253"/>
      <c r="I42" s="252" t="s">
        <v>52</v>
      </c>
      <c r="J42" s="253"/>
      <c r="K42" s="252" t="s">
        <v>52</v>
      </c>
      <c r="L42" s="253"/>
      <c r="M42" s="252" t="s">
        <v>52</v>
      </c>
      <c r="N42" s="253"/>
      <c r="O42" s="24"/>
      <c r="P42" s="340" t="s">
        <v>35</v>
      </c>
      <c r="Q42" s="340"/>
      <c r="R42" s="340" t="s">
        <v>35</v>
      </c>
      <c r="S42" s="340"/>
      <c r="T42" s="341" t="s">
        <v>35</v>
      </c>
      <c r="U42" s="342"/>
      <c r="V42" s="24"/>
      <c r="W42" s="347" t="s">
        <v>33</v>
      </c>
      <c r="X42" s="347"/>
      <c r="Y42" s="347"/>
    </row>
    <row r="43" spans="1:29" ht="24.75" customHeight="1" x14ac:dyDescent="0.2">
      <c r="A43" s="348" t="s">
        <v>44</v>
      </c>
      <c r="B43" s="349"/>
      <c r="C43" s="349"/>
      <c r="D43" s="350"/>
      <c r="E43" s="252" t="s">
        <v>53</v>
      </c>
      <c r="F43" s="253"/>
      <c r="G43" s="252" t="s">
        <v>53</v>
      </c>
      <c r="H43" s="253"/>
      <c r="I43" s="252" t="s">
        <v>53</v>
      </c>
      <c r="J43" s="253"/>
      <c r="K43" s="252" t="s">
        <v>53</v>
      </c>
      <c r="L43" s="253"/>
      <c r="M43" s="252" t="s">
        <v>53</v>
      </c>
      <c r="N43" s="253"/>
      <c r="O43" s="24"/>
      <c r="P43" s="340"/>
      <c r="Q43" s="340"/>
      <c r="R43" s="340"/>
      <c r="S43" s="340"/>
      <c r="T43" s="343"/>
      <c r="U43" s="344"/>
      <c r="V43" s="24"/>
      <c r="W43" s="347"/>
      <c r="X43" s="347"/>
      <c r="Y43" s="347"/>
    </row>
    <row r="44" spans="1:29" ht="24.75" customHeight="1" x14ac:dyDescent="0.2">
      <c r="A44" s="348" t="s">
        <v>38</v>
      </c>
      <c r="B44" s="349"/>
      <c r="C44" s="349"/>
      <c r="D44" s="350"/>
      <c r="E44" s="252" t="s">
        <v>54</v>
      </c>
      <c r="F44" s="253"/>
      <c r="G44" s="252" t="s">
        <v>54</v>
      </c>
      <c r="H44" s="253"/>
      <c r="I44" s="252" t="s">
        <v>54</v>
      </c>
      <c r="J44" s="253"/>
      <c r="K44" s="252" t="s">
        <v>54</v>
      </c>
      <c r="L44" s="253"/>
      <c r="M44" s="252" t="s">
        <v>54</v>
      </c>
      <c r="N44" s="253"/>
      <c r="O44" s="24"/>
      <c r="P44" s="340"/>
      <c r="Q44" s="340"/>
      <c r="R44" s="340"/>
      <c r="S44" s="340"/>
      <c r="T44" s="345"/>
      <c r="U44" s="346"/>
      <c r="V44" s="24"/>
      <c r="W44" s="347"/>
      <c r="X44" s="347"/>
      <c r="Y44" s="347"/>
      <c r="AC44" s="191"/>
    </row>
    <row r="45" spans="1:29" ht="24.75" customHeight="1" x14ac:dyDescent="0.2">
      <c r="A45" s="348" t="s">
        <v>50</v>
      </c>
      <c r="B45" s="349"/>
      <c r="C45" s="349"/>
      <c r="D45" s="350"/>
      <c r="E45" s="263" t="s">
        <v>52</v>
      </c>
      <c r="F45" s="236"/>
      <c r="G45" s="263" t="s">
        <v>52</v>
      </c>
      <c r="H45" s="236"/>
      <c r="I45" s="263" t="s">
        <v>52</v>
      </c>
      <c r="J45" s="236"/>
      <c r="K45" s="263" t="s">
        <v>52</v>
      </c>
      <c r="L45" s="236"/>
      <c r="M45" s="263" t="s">
        <v>52</v>
      </c>
      <c r="N45" s="236"/>
      <c r="O45" s="66"/>
      <c r="P45" s="40"/>
      <c r="Q45" s="41"/>
      <c r="R45" s="40"/>
      <c r="S45" s="41"/>
      <c r="T45" s="40"/>
      <c r="U45" s="41"/>
      <c r="V45" s="24"/>
      <c r="W45" s="73"/>
      <c r="X45" s="74"/>
      <c r="Y45" s="75"/>
      <c r="AC45" s="191"/>
    </row>
    <row r="46" spans="1:29" ht="24.75" customHeight="1" x14ac:dyDescent="0.2">
      <c r="A46" s="348" t="s">
        <v>34</v>
      </c>
      <c r="B46" s="349"/>
      <c r="C46" s="349"/>
      <c r="D46" s="350"/>
      <c r="E46" s="355"/>
      <c r="F46" s="356"/>
      <c r="G46" s="355"/>
      <c r="H46" s="356"/>
      <c r="I46" s="355"/>
      <c r="J46" s="356"/>
      <c r="K46" s="355"/>
      <c r="L46" s="356"/>
      <c r="M46" s="355"/>
      <c r="N46" s="356"/>
      <c r="O46" s="67"/>
      <c r="P46" s="42" t="s">
        <v>39</v>
      </c>
      <c r="Q46" s="90"/>
      <c r="R46" s="42" t="s">
        <v>39</v>
      </c>
      <c r="S46" s="90"/>
      <c r="T46" s="42" t="s">
        <v>39</v>
      </c>
      <c r="U46" s="90"/>
      <c r="V46" s="24"/>
      <c r="W46" s="76"/>
      <c r="X46" s="77"/>
      <c r="Y46" s="78"/>
    </row>
    <row r="47" spans="1:29" ht="24.75" customHeight="1" x14ac:dyDescent="0.2">
      <c r="A47" s="348" t="s">
        <v>10</v>
      </c>
      <c r="B47" s="349"/>
      <c r="C47" s="349"/>
      <c r="D47" s="350"/>
      <c r="E47" s="233" t="s">
        <v>55</v>
      </c>
      <c r="F47" s="234"/>
      <c r="G47" s="233" t="s">
        <v>55</v>
      </c>
      <c r="H47" s="234"/>
      <c r="I47" s="233" t="s">
        <v>55</v>
      </c>
      <c r="J47" s="234"/>
      <c r="K47" s="233" t="s">
        <v>55</v>
      </c>
      <c r="L47" s="234"/>
      <c r="M47" s="233" t="s">
        <v>55</v>
      </c>
      <c r="N47" s="234"/>
      <c r="O47" s="24"/>
      <c r="P47" s="42"/>
      <c r="Q47" s="90"/>
      <c r="R47" s="42"/>
      <c r="S47" s="90"/>
      <c r="T47" s="42"/>
      <c r="U47" s="90"/>
      <c r="V47" s="24"/>
      <c r="W47" s="76"/>
      <c r="X47" s="77"/>
      <c r="Y47" s="78"/>
    </row>
    <row r="48" spans="1:29" ht="24.75" customHeight="1" x14ac:dyDescent="0.2">
      <c r="A48" s="348" t="s">
        <v>43</v>
      </c>
      <c r="B48" s="349"/>
      <c r="C48" s="349"/>
      <c r="D48" s="350"/>
      <c r="E48" s="235" t="s">
        <v>52</v>
      </c>
      <c r="F48" s="236"/>
      <c r="G48" s="235" t="s">
        <v>52</v>
      </c>
      <c r="H48" s="236"/>
      <c r="I48" s="235" t="s">
        <v>52</v>
      </c>
      <c r="J48" s="236"/>
      <c r="K48" s="235" t="s">
        <v>52</v>
      </c>
      <c r="L48" s="236"/>
      <c r="M48" s="235" t="s">
        <v>52</v>
      </c>
      <c r="N48" s="236"/>
      <c r="O48" s="66"/>
      <c r="P48" s="42" t="s">
        <v>40</v>
      </c>
      <c r="Q48" s="90" t="s">
        <v>105</v>
      </c>
      <c r="R48" s="42" t="s">
        <v>40</v>
      </c>
      <c r="S48" s="90"/>
      <c r="T48" s="42" t="s">
        <v>40</v>
      </c>
      <c r="U48" s="90"/>
      <c r="V48" s="24"/>
      <c r="W48" s="76"/>
      <c r="X48" s="77"/>
      <c r="Y48" s="78"/>
    </row>
    <row r="49" spans="1:25" ht="24.75" customHeight="1" x14ac:dyDescent="0.2">
      <c r="A49" s="348" t="s">
        <v>12</v>
      </c>
      <c r="B49" s="349"/>
      <c r="C49" s="349"/>
      <c r="D49" s="350"/>
      <c r="E49" s="237" t="s">
        <v>56</v>
      </c>
      <c r="F49" s="234"/>
      <c r="G49" s="237" t="s">
        <v>56</v>
      </c>
      <c r="H49" s="234"/>
      <c r="I49" s="237" t="s">
        <v>56</v>
      </c>
      <c r="J49" s="234"/>
      <c r="K49" s="237" t="s">
        <v>56</v>
      </c>
      <c r="L49" s="234"/>
      <c r="M49" s="237" t="s">
        <v>56</v>
      </c>
      <c r="N49" s="234"/>
      <c r="O49" s="24"/>
      <c r="P49" s="42"/>
      <c r="Q49" s="90"/>
      <c r="R49" s="42"/>
      <c r="S49" s="90"/>
      <c r="T49" s="42"/>
      <c r="U49" s="90"/>
      <c r="V49" s="24"/>
      <c r="W49" s="76"/>
      <c r="X49" s="77"/>
      <c r="Y49" s="78"/>
    </row>
    <row r="50" spans="1:25" ht="24.75" customHeight="1" x14ac:dyDescent="0.2">
      <c r="A50" s="348" t="s">
        <v>13</v>
      </c>
      <c r="B50" s="349"/>
      <c r="C50" s="349"/>
      <c r="D50" s="350"/>
      <c r="E50" s="25" t="s">
        <v>17</v>
      </c>
      <c r="F50" s="26" t="s">
        <v>18</v>
      </c>
      <c r="G50" s="25" t="s">
        <v>17</v>
      </c>
      <c r="H50" s="26" t="s">
        <v>18</v>
      </c>
      <c r="I50" s="25" t="s">
        <v>17</v>
      </c>
      <c r="J50" s="26" t="s">
        <v>18</v>
      </c>
      <c r="K50" s="25" t="s">
        <v>17</v>
      </c>
      <c r="L50" s="26" t="s">
        <v>18</v>
      </c>
      <c r="M50" s="25" t="s">
        <v>17</v>
      </c>
      <c r="N50" s="26" t="s">
        <v>18</v>
      </c>
      <c r="O50" s="27"/>
      <c r="P50" s="42" t="s">
        <v>41</v>
      </c>
      <c r="Q50" s="90"/>
      <c r="R50" s="42" t="s">
        <v>41</v>
      </c>
      <c r="S50" s="90"/>
      <c r="T50" s="42" t="s">
        <v>41</v>
      </c>
      <c r="U50" s="90"/>
      <c r="V50" s="24"/>
      <c r="W50" s="76"/>
      <c r="X50" s="77"/>
      <c r="Y50" s="78"/>
    </row>
    <row r="51" spans="1:25" ht="24.75" customHeight="1" x14ac:dyDescent="0.2">
      <c r="A51" s="348" t="s">
        <v>14</v>
      </c>
      <c r="B51" s="349"/>
      <c r="C51" s="349"/>
      <c r="D51" s="350"/>
      <c r="E51" s="71">
        <v>0.3</v>
      </c>
      <c r="F51" s="72">
        <f>E51*E39</f>
        <v>0</v>
      </c>
      <c r="G51" s="71">
        <v>0.8</v>
      </c>
      <c r="H51" s="72">
        <f>G51*G39</f>
        <v>5037689.7738400009</v>
      </c>
      <c r="I51" s="71">
        <v>0.7</v>
      </c>
      <c r="J51" s="72">
        <f>I51*I39</f>
        <v>4054060.8569999994</v>
      </c>
      <c r="K51" s="71">
        <v>0.8</v>
      </c>
      <c r="L51" s="72">
        <f>K51*K39</f>
        <v>5500065.5199999996</v>
      </c>
      <c r="M51" s="71">
        <v>0.3</v>
      </c>
      <c r="N51" s="72">
        <f>M51*M39</f>
        <v>1853307.21</v>
      </c>
      <c r="O51" s="68"/>
      <c r="P51" s="44"/>
      <c r="Q51" s="90"/>
      <c r="R51" s="44"/>
      <c r="S51" s="90"/>
      <c r="T51" s="44"/>
      <c r="U51" s="90"/>
      <c r="V51" s="24"/>
      <c r="W51" s="76"/>
      <c r="X51" s="77"/>
      <c r="Y51" s="78"/>
    </row>
    <row r="52" spans="1:25" ht="24.75" customHeight="1" x14ac:dyDescent="0.2">
      <c r="A52" s="348" t="s">
        <v>15</v>
      </c>
      <c r="B52" s="349"/>
      <c r="C52" s="349"/>
      <c r="D52" s="350"/>
      <c r="E52" s="71">
        <v>0</v>
      </c>
      <c r="F52" s="72">
        <f>E52*E39</f>
        <v>0</v>
      </c>
      <c r="G52" s="71">
        <v>0</v>
      </c>
      <c r="H52" s="72">
        <f>G52*G39</f>
        <v>0</v>
      </c>
      <c r="I52" s="71">
        <v>0</v>
      </c>
      <c r="J52" s="72">
        <f>I52*I39</f>
        <v>0</v>
      </c>
      <c r="K52" s="71">
        <v>0</v>
      </c>
      <c r="L52" s="72">
        <f>K52*K39</f>
        <v>0</v>
      </c>
      <c r="M52" s="71">
        <v>0</v>
      </c>
      <c r="N52" s="72">
        <f>M52*M39</f>
        <v>0</v>
      </c>
      <c r="O52" s="68"/>
      <c r="P52" s="44"/>
      <c r="Q52" s="90"/>
      <c r="R52" s="44"/>
      <c r="S52" s="90"/>
      <c r="T52" s="44"/>
      <c r="U52" s="90"/>
      <c r="V52" s="24"/>
      <c r="W52" s="76"/>
      <c r="X52" s="77"/>
      <c r="Y52" s="78"/>
    </row>
    <row r="53" spans="1:25" ht="24.75" customHeight="1" x14ac:dyDescent="0.2">
      <c r="A53" s="348" t="s">
        <v>16</v>
      </c>
      <c r="B53" s="349"/>
      <c r="C53" s="349"/>
      <c r="D53" s="350"/>
      <c r="E53" s="71">
        <v>0.7</v>
      </c>
      <c r="F53" s="72">
        <f>E53*E39</f>
        <v>0</v>
      </c>
      <c r="G53" s="71">
        <v>0.2</v>
      </c>
      <c r="H53" s="72">
        <f>G53*G39</f>
        <v>1259422.4434600002</v>
      </c>
      <c r="I53" s="71">
        <v>0.3</v>
      </c>
      <c r="J53" s="72">
        <f>I53*I39</f>
        <v>1737454.6529999999</v>
      </c>
      <c r="K53" s="71">
        <v>0.2</v>
      </c>
      <c r="L53" s="72">
        <f>K53*K39</f>
        <v>1375016.38</v>
      </c>
      <c r="M53" s="71">
        <v>0.7</v>
      </c>
      <c r="N53" s="72">
        <f>M53*M39</f>
        <v>4324383.49</v>
      </c>
      <c r="O53" s="68"/>
      <c r="P53" s="44"/>
      <c r="Q53" s="90"/>
      <c r="R53" s="44"/>
      <c r="S53" s="90"/>
      <c r="T53" s="44"/>
      <c r="U53" s="90"/>
      <c r="V53" s="24"/>
      <c r="W53" s="76"/>
      <c r="X53" s="77"/>
      <c r="Y53" s="78"/>
    </row>
    <row r="54" spans="1:25" ht="24.75" customHeight="1" x14ac:dyDescent="0.2">
      <c r="A54" s="375" t="s">
        <v>25</v>
      </c>
      <c r="B54" s="288"/>
      <c r="C54" s="288"/>
      <c r="D54" s="376"/>
      <c r="E54" s="238" t="s">
        <v>6</v>
      </c>
      <c r="F54" s="239"/>
      <c r="G54" s="238" t="s">
        <v>6</v>
      </c>
      <c r="H54" s="239"/>
      <c r="I54" s="238" t="s">
        <v>6</v>
      </c>
      <c r="J54" s="239"/>
      <c r="K54" s="238" t="s">
        <v>6</v>
      </c>
      <c r="L54" s="239"/>
      <c r="M54" s="238" t="s">
        <v>6</v>
      </c>
      <c r="N54" s="239"/>
      <c r="O54" s="69"/>
      <c r="P54" s="45"/>
      <c r="Q54" s="90"/>
      <c r="R54" s="45"/>
      <c r="S54" s="90"/>
      <c r="T54" s="45"/>
      <c r="U54" s="90"/>
      <c r="V54" s="27"/>
      <c r="W54" s="76"/>
      <c r="X54" s="77"/>
      <c r="Y54" s="78"/>
    </row>
    <row r="55" spans="1:25" ht="24.75" customHeight="1" x14ac:dyDescent="0.2">
      <c r="A55" s="28"/>
      <c r="B55" s="32"/>
      <c r="C55" s="84"/>
      <c r="D55" s="83" t="s">
        <v>216</v>
      </c>
      <c r="E55" s="235"/>
      <c r="F55" s="236"/>
      <c r="G55" s="233"/>
      <c r="H55" s="234"/>
      <c r="I55" s="233" t="s">
        <v>56</v>
      </c>
      <c r="J55" s="234"/>
      <c r="K55" s="233"/>
      <c r="L55" s="234"/>
      <c r="M55" s="233" t="s">
        <v>277</v>
      </c>
      <c r="N55" s="234"/>
      <c r="O55" s="24"/>
      <c r="P55" s="42" t="s">
        <v>46</v>
      </c>
      <c r="Q55" s="90" t="s">
        <v>96</v>
      </c>
      <c r="R55" s="42" t="s">
        <v>46</v>
      </c>
      <c r="S55" s="90"/>
      <c r="T55" s="42" t="s">
        <v>46</v>
      </c>
      <c r="U55" s="90"/>
      <c r="V55" s="29"/>
      <c r="W55" s="357"/>
      <c r="X55" s="358"/>
      <c r="Y55" s="359"/>
    </row>
    <row r="56" spans="1:25" ht="24.75" customHeight="1" x14ac:dyDescent="0.2">
      <c r="A56" s="28"/>
      <c r="B56" s="32"/>
      <c r="C56" s="84"/>
      <c r="D56" s="83" t="s">
        <v>49</v>
      </c>
      <c r="E56" s="233"/>
      <c r="F56" s="234"/>
      <c r="G56" s="233"/>
      <c r="H56" s="234"/>
      <c r="I56" s="233" t="s">
        <v>280</v>
      </c>
      <c r="J56" s="234"/>
      <c r="K56" s="233"/>
      <c r="L56" s="234"/>
      <c r="M56" s="233"/>
      <c r="N56" s="234"/>
      <c r="O56" s="24"/>
      <c r="P56" s="46"/>
      <c r="Q56" s="90"/>
      <c r="R56" s="46"/>
      <c r="S56" s="90"/>
      <c r="T56" s="46"/>
      <c r="U56" s="90"/>
      <c r="V56" s="29"/>
      <c r="W56" s="76"/>
      <c r="X56" s="77"/>
      <c r="Y56" s="78"/>
    </row>
    <row r="57" spans="1:25" ht="24.75" customHeight="1" x14ac:dyDescent="0.2">
      <c r="A57" s="30"/>
      <c r="B57" s="31"/>
      <c r="C57" s="85"/>
      <c r="D57" s="82" t="s">
        <v>42</v>
      </c>
      <c r="E57" s="233" t="s">
        <v>53</v>
      </c>
      <c r="F57" s="234"/>
      <c r="G57" s="233" t="s">
        <v>56</v>
      </c>
      <c r="H57" s="234"/>
      <c r="I57" s="233" t="s">
        <v>56</v>
      </c>
      <c r="J57" s="234"/>
      <c r="K57" s="233" t="s">
        <v>53</v>
      </c>
      <c r="L57" s="234"/>
      <c r="M57" s="233" t="s">
        <v>53</v>
      </c>
      <c r="N57" s="234"/>
      <c r="O57" s="24"/>
      <c r="P57" s="46"/>
      <c r="Q57" s="43"/>
      <c r="R57" s="46"/>
      <c r="S57" s="43"/>
      <c r="T57" s="46"/>
      <c r="U57" s="43"/>
      <c r="V57" s="29"/>
      <c r="W57" s="76"/>
      <c r="X57" s="77"/>
      <c r="Y57" s="78"/>
    </row>
    <row r="58" spans="1:25" ht="28.5" customHeight="1" x14ac:dyDescent="0.2">
      <c r="A58" s="372" t="s">
        <v>83</v>
      </c>
      <c r="B58" s="373"/>
      <c r="C58" s="373"/>
      <c r="D58" s="374"/>
      <c r="E58" s="368" t="s">
        <v>271</v>
      </c>
      <c r="F58" s="361"/>
      <c r="G58" s="368" t="s">
        <v>276</v>
      </c>
      <c r="H58" s="369"/>
      <c r="I58" s="368" t="s">
        <v>279</v>
      </c>
      <c r="J58" s="369"/>
      <c r="K58" s="368" t="s">
        <v>279</v>
      </c>
      <c r="L58" s="369"/>
      <c r="M58" s="368" t="s">
        <v>278</v>
      </c>
      <c r="N58" s="369"/>
      <c r="O58" s="60"/>
      <c r="P58" s="46"/>
      <c r="Q58" s="43"/>
      <c r="R58" s="46"/>
      <c r="S58" s="43"/>
      <c r="T58" s="46"/>
      <c r="U58" s="43"/>
      <c r="V58" s="29"/>
      <c r="W58" s="76"/>
      <c r="X58" s="77"/>
      <c r="Y58" s="78"/>
    </row>
    <row r="59" spans="1:25" ht="26.25" customHeight="1" x14ac:dyDescent="0.2">
      <c r="A59" s="362" t="s">
        <v>217</v>
      </c>
      <c r="B59" s="363"/>
      <c r="C59" s="363"/>
      <c r="D59" s="364"/>
      <c r="E59" s="385"/>
      <c r="F59" s="386"/>
      <c r="G59" s="370"/>
      <c r="H59" s="371"/>
      <c r="I59" s="370"/>
      <c r="J59" s="371"/>
      <c r="K59" s="370"/>
      <c r="L59" s="371"/>
      <c r="M59" s="370"/>
      <c r="N59" s="371"/>
      <c r="O59" s="60"/>
      <c r="P59" s="46"/>
      <c r="Q59" s="43"/>
      <c r="R59" s="46"/>
      <c r="S59" s="43"/>
      <c r="T59" s="46"/>
      <c r="U59" s="43"/>
      <c r="V59" s="29"/>
      <c r="W59" s="76"/>
      <c r="X59" s="77"/>
      <c r="Y59" s="78"/>
    </row>
    <row r="60" spans="1:25" ht="26.25" customHeight="1" x14ac:dyDescent="0.2">
      <c r="A60" s="362"/>
      <c r="B60" s="363"/>
      <c r="C60" s="363"/>
      <c r="D60" s="364"/>
      <c r="E60" s="385"/>
      <c r="F60" s="386"/>
      <c r="G60" s="370"/>
      <c r="H60" s="371"/>
      <c r="I60" s="370"/>
      <c r="J60" s="371"/>
      <c r="K60" s="370"/>
      <c r="L60" s="371"/>
      <c r="M60" s="370"/>
      <c r="N60" s="371"/>
      <c r="O60" s="60"/>
      <c r="P60" s="46"/>
      <c r="Q60" s="43"/>
      <c r="R60" s="46"/>
      <c r="S60" s="43"/>
      <c r="T60" s="46"/>
      <c r="U60" s="43"/>
      <c r="V60" s="29"/>
      <c r="W60" s="76"/>
      <c r="X60" s="77"/>
      <c r="Y60" s="78"/>
    </row>
    <row r="61" spans="1:25" ht="26.25" customHeight="1" x14ac:dyDescent="0.2">
      <c r="A61" s="362"/>
      <c r="B61" s="363"/>
      <c r="C61" s="363"/>
      <c r="D61" s="364"/>
      <c r="E61" s="385"/>
      <c r="F61" s="386"/>
      <c r="G61" s="370"/>
      <c r="H61" s="371"/>
      <c r="I61" s="370"/>
      <c r="J61" s="371"/>
      <c r="K61" s="370"/>
      <c r="L61" s="371"/>
      <c r="M61" s="370"/>
      <c r="N61" s="371"/>
      <c r="O61" s="60"/>
      <c r="P61" s="46"/>
      <c r="Q61" s="43"/>
      <c r="R61" s="46"/>
      <c r="S61" s="43"/>
      <c r="T61" s="46"/>
      <c r="U61" s="43"/>
      <c r="V61" s="29"/>
      <c r="W61" s="76"/>
      <c r="X61" s="77"/>
      <c r="Y61" s="78"/>
    </row>
    <row r="62" spans="1:25" ht="26.25" customHeight="1" x14ac:dyDescent="0.2">
      <c r="A62" s="362"/>
      <c r="B62" s="363"/>
      <c r="C62" s="363"/>
      <c r="D62" s="364"/>
      <c r="E62" s="385"/>
      <c r="F62" s="386"/>
      <c r="G62" s="370"/>
      <c r="H62" s="371"/>
      <c r="I62" s="370"/>
      <c r="J62" s="371"/>
      <c r="K62" s="370"/>
      <c r="L62" s="371"/>
      <c r="M62" s="370"/>
      <c r="N62" s="371"/>
      <c r="O62" s="60"/>
      <c r="P62" s="46"/>
      <c r="Q62" s="43"/>
      <c r="R62" s="46"/>
      <c r="S62" s="43"/>
      <c r="T62" s="46"/>
      <c r="U62" s="43"/>
      <c r="V62" s="29"/>
      <c r="W62" s="76"/>
      <c r="X62" s="77"/>
      <c r="Y62" s="78"/>
    </row>
    <row r="63" spans="1:25" ht="26.25" customHeight="1" x14ac:dyDescent="0.2">
      <c r="A63" s="362"/>
      <c r="B63" s="363"/>
      <c r="C63" s="363"/>
      <c r="D63" s="364"/>
      <c r="E63" s="385"/>
      <c r="F63" s="386"/>
      <c r="G63" s="370"/>
      <c r="H63" s="371"/>
      <c r="I63" s="370"/>
      <c r="J63" s="371"/>
      <c r="K63" s="370"/>
      <c r="L63" s="371"/>
      <c r="M63" s="370"/>
      <c r="N63" s="371"/>
      <c r="O63" s="60"/>
      <c r="P63" s="46"/>
      <c r="Q63" s="43"/>
      <c r="R63" s="46"/>
      <c r="S63" s="43"/>
      <c r="T63" s="46"/>
      <c r="U63" s="43"/>
      <c r="V63" s="29"/>
      <c r="W63" s="76"/>
      <c r="X63" s="77"/>
      <c r="Y63" s="78"/>
    </row>
    <row r="64" spans="1:25" ht="26.25" customHeight="1" x14ac:dyDescent="0.2">
      <c r="A64" s="362"/>
      <c r="B64" s="363"/>
      <c r="C64" s="363"/>
      <c r="D64" s="364"/>
      <c r="E64" s="385"/>
      <c r="F64" s="386"/>
      <c r="G64" s="370"/>
      <c r="H64" s="371"/>
      <c r="I64" s="370"/>
      <c r="J64" s="371"/>
      <c r="K64" s="370"/>
      <c r="L64" s="371"/>
      <c r="M64" s="370"/>
      <c r="N64" s="371"/>
      <c r="O64" s="60"/>
      <c r="P64" s="46"/>
      <c r="Q64" s="43"/>
      <c r="R64" s="46"/>
      <c r="S64" s="43"/>
      <c r="T64" s="46"/>
      <c r="U64" s="43"/>
      <c r="V64" s="29"/>
      <c r="W64" s="76"/>
      <c r="X64" s="77"/>
      <c r="Y64" s="78"/>
    </row>
    <row r="65" spans="1:25" ht="26.25" customHeight="1" x14ac:dyDescent="0.2">
      <c r="A65" s="362"/>
      <c r="B65" s="363"/>
      <c r="C65" s="363"/>
      <c r="D65" s="364"/>
      <c r="E65" s="385"/>
      <c r="F65" s="386"/>
      <c r="G65" s="370"/>
      <c r="H65" s="371"/>
      <c r="I65" s="370"/>
      <c r="J65" s="371"/>
      <c r="K65" s="370"/>
      <c r="L65" s="371"/>
      <c r="M65" s="370"/>
      <c r="N65" s="371"/>
      <c r="O65" s="60"/>
      <c r="P65" s="46"/>
      <c r="Q65" s="43"/>
      <c r="R65" s="46"/>
      <c r="S65" s="43"/>
      <c r="T65" s="46"/>
      <c r="U65" s="43"/>
      <c r="V65" s="29"/>
      <c r="W65" s="76"/>
      <c r="X65" s="77"/>
      <c r="Y65" s="78"/>
    </row>
    <row r="66" spans="1:25" ht="26.25" customHeight="1" thickBot="1" x14ac:dyDescent="0.25">
      <c r="A66" s="365"/>
      <c r="B66" s="366"/>
      <c r="C66" s="366"/>
      <c r="D66" s="367"/>
      <c r="E66" s="387"/>
      <c r="F66" s="388"/>
      <c r="G66" s="377"/>
      <c r="H66" s="378"/>
      <c r="I66" s="377"/>
      <c r="J66" s="378"/>
      <c r="K66" s="377"/>
      <c r="L66" s="378"/>
      <c r="M66" s="377"/>
      <c r="N66" s="378"/>
      <c r="O66" s="60"/>
      <c r="P66" s="47"/>
      <c r="Q66" s="48"/>
      <c r="R66" s="47"/>
      <c r="S66" s="48"/>
      <c r="T66" s="47"/>
      <c r="U66" s="48"/>
      <c r="V66" s="29"/>
      <c r="W66" s="79"/>
      <c r="X66" s="80"/>
      <c r="Y66" s="8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</sheetData>
  <mergeCells count="200">
    <mergeCell ref="C2:F4"/>
    <mergeCell ref="W2:Y4"/>
    <mergeCell ref="G6:H6"/>
    <mergeCell ref="I6:J6"/>
    <mergeCell ref="A7:D7"/>
    <mergeCell ref="E7:F7"/>
    <mergeCell ref="G7:H7"/>
    <mergeCell ref="I7:J7"/>
    <mergeCell ref="K7:L7"/>
    <mergeCell ref="M7:N7"/>
    <mergeCell ref="W10:W11"/>
    <mergeCell ref="A11:D11"/>
    <mergeCell ref="P7:Q7"/>
    <mergeCell ref="R7:S7"/>
    <mergeCell ref="T7:U7"/>
    <mergeCell ref="W7:Y7"/>
    <mergeCell ref="A8:D8"/>
    <mergeCell ref="P8:Q8"/>
    <mergeCell ref="R8:S8"/>
    <mergeCell ref="T8:U8"/>
    <mergeCell ref="W8:W9"/>
    <mergeCell ref="A9:D9"/>
    <mergeCell ref="A12:A13"/>
    <mergeCell ref="B12:B13"/>
    <mergeCell ref="C12:C13"/>
    <mergeCell ref="D12:D13"/>
    <mergeCell ref="E12:F12"/>
    <mergeCell ref="G12:H12"/>
    <mergeCell ref="P9:Q11"/>
    <mergeCell ref="R9:S11"/>
    <mergeCell ref="T9:U11"/>
    <mergeCell ref="A10:D10"/>
    <mergeCell ref="I19:J19"/>
    <mergeCell ref="E20:F20"/>
    <mergeCell ref="G20:H20"/>
    <mergeCell ref="I20:J20"/>
    <mergeCell ref="K20:L20"/>
    <mergeCell ref="M20:N20"/>
    <mergeCell ref="W12:Y12"/>
    <mergeCell ref="E18:F18"/>
    <mergeCell ref="G18:H18"/>
    <mergeCell ref="I18:J18"/>
    <mergeCell ref="K18:L18"/>
    <mergeCell ref="M18:N18"/>
    <mergeCell ref="I12:J12"/>
    <mergeCell ref="K12:L12"/>
    <mergeCell ref="M12:N12"/>
    <mergeCell ref="P12:Q12"/>
    <mergeCell ref="R12:S12"/>
    <mergeCell ref="T12:U12"/>
    <mergeCell ref="E24:F24"/>
    <mergeCell ref="I24:J24"/>
    <mergeCell ref="K24:L24"/>
    <mergeCell ref="M24:N24"/>
    <mergeCell ref="P24:Q24"/>
    <mergeCell ref="G21:H21"/>
    <mergeCell ref="I21:J21"/>
    <mergeCell ref="K21:L21"/>
    <mergeCell ref="E22:F22"/>
    <mergeCell ref="I22:J22"/>
    <mergeCell ref="K22:L22"/>
    <mergeCell ref="I25:J25"/>
    <mergeCell ref="E26:F26"/>
    <mergeCell ref="I26:J26"/>
    <mergeCell ref="K26:L26"/>
    <mergeCell ref="M26:N26"/>
    <mergeCell ref="A37:D37"/>
    <mergeCell ref="E37:F37"/>
    <mergeCell ref="G37:H37"/>
    <mergeCell ref="I37:J37"/>
    <mergeCell ref="K37:L37"/>
    <mergeCell ref="M37:N37"/>
    <mergeCell ref="P37:Q37"/>
    <mergeCell ref="R37:S37"/>
    <mergeCell ref="T37:U37"/>
    <mergeCell ref="W37:X37"/>
    <mergeCell ref="A38:D38"/>
    <mergeCell ref="E38:F38"/>
    <mergeCell ref="G38:H38"/>
    <mergeCell ref="I38:J38"/>
    <mergeCell ref="K38:L38"/>
    <mergeCell ref="M38:N38"/>
    <mergeCell ref="P38:Q38"/>
    <mergeCell ref="R38:S38"/>
    <mergeCell ref="T38:U38"/>
    <mergeCell ref="W38:X38"/>
    <mergeCell ref="A39:D39"/>
    <mergeCell ref="E39:F39"/>
    <mergeCell ref="G39:H39"/>
    <mergeCell ref="I39:J39"/>
    <mergeCell ref="K39:L39"/>
    <mergeCell ref="M39:N39"/>
    <mergeCell ref="P39:Q39"/>
    <mergeCell ref="R39:S39"/>
    <mergeCell ref="T39:U39"/>
    <mergeCell ref="T41:U41"/>
    <mergeCell ref="W39:Y39"/>
    <mergeCell ref="E40:F40"/>
    <mergeCell ref="G40:H40"/>
    <mergeCell ref="I40:J40"/>
    <mergeCell ref="K40:L40"/>
    <mergeCell ref="M40:N40"/>
    <mergeCell ref="P40:Q40"/>
    <mergeCell ref="R40:S40"/>
    <mergeCell ref="T40:U40"/>
    <mergeCell ref="W40:Y40"/>
    <mergeCell ref="W41:Y41"/>
    <mergeCell ref="W42:Y44"/>
    <mergeCell ref="A43:D43"/>
    <mergeCell ref="E43:F43"/>
    <mergeCell ref="G43:H43"/>
    <mergeCell ref="I43:J43"/>
    <mergeCell ref="K43:L43"/>
    <mergeCell ref="M43:N43"/>
    <mergeCell ref="A41:D41"/>
    <mergeCell ref="E41:F41"/>
    <mergeCell ref="G41:H41"/>
    <mergeCell ref="I41:J41"/>
    <mergeCell ref="K41:L41"/>
    <mergeCell ref="M41:N41"/>
    <mergeCell ref="P41:Q41"/>
    <mergeCell ref="A42:D42"/>
    <mergeCell ref="E42:F42"/>
    <mergeCell ref="G42:H42"/>
    <mergeCell ref="I42:J42"/>
    <mergeCell ref="K42:L42"/>
    <mergeCell ref="M42:N42"/>
    <mergeCell ref="P42:Q44"/>
    <mergeCell ref="R42:S44"/>
    <mergeCell ref="T42:U44"/>
    <mergeCell ref="R41:S41"/>
    <mergeCell ref="A45:D45"/>
    <mergeCell ref="E45:F45"/>
    <mergeCell ref="G45:H45"/>
    <mergeCell ref="I45:J45"/>
    <mergeCell ref="K45:L45"/>
    <mergeCell ref="M45:N45"/>
    <mergeCell ref="A44:D44"/>
    <mergeCell ref="E44:F44"/>
    <mergeCell ref="G44:H44"/>
    <mergeCell ref="I44:J44"/>
    <mergeCell ref="K44:L44"/>
    <mergeCell ref="M44:N44"/>
    <mergeCell ref="A47:D47"/>
    <mergeCell ref="E47:F47"/>
    <mergeCell ref="G47:H47"/>
    <mergeCell ref="I47:J47"/>
    <mergeCell ref="K47:L47"/>
    <mergeCell ref="M47:N47"/>
    <mergeCell ref="A46:D46"/>
    <mergeCell ref="E46:F46"/>
    <mergeCell ref="G46:H46"/>
    <mergeCell ref="I46:J46"/>
    <mergeCell ref="K46:L46"/>
    <mergeCell ref="M46:N46"/>
    <mergeCell ref="I49:J49"/>
    <mergeCell ref="K49:L49"/>
    <mergeCell ref="M49:N49"/>
    <mergeCell ref="A48:D48"/>
    <mergeCell ref="E48:F48"/>
    <mergeCell ref="G48:H48"/>
    <mergeCell ref="I48:J48"/>
    <mergeCell ref="K48:L48"/>
    <mergeCell ref="M48:N48"/>
    <mergeCell ref="A50:D50"/>
    <mergeCell ref="A51:D51"/>
    <mergeCell ref="A52:D52"/>
    <mergeCell ref="A53:D53"/>
    <mergeCell ref="A54:D54"/>
    <mergeCell ref="E54:F54"/>
    <mergeCell ref="A49:D49"/>
    <mergeCell ref="E49:F49"/>
    <mergeCell ref="G49:H49"/>
    <mergeCell ref="W55:Y55"/>
    <mergeCell ref="E56:F56"/>
    <mergeCell ref="G56:H56"/>
    <mergeCell ref="I56:J56"/>
    <mergeCell ref="K56:L56"/>
    <mergeCell ref="M56:N56"/>
    <mergeCell ref="G54:H54"/>
    <mergeCell ref="I54:J54"/>
    <mergeCell ref="K54:L54"/>
    <mergeCell ref="M54:N54"/>
    <mergeCell ref="E55:F55"/>
    <mergeCell ref="G55:H55"/>
    <mergeCell ref="I55:J55"/>
    <mergeCell ref="K55:L55"/>
    <mergeCell ref="M55:N55"/>
    <mergeCell ref="M58:N66"/>
    <mergeCell ref="A59:D66"/>
    <mergeCell ref="E57:F57"/>
    <mergeCell ref="G57:H57"/>
    <mergeCell ref="I57:J57"/>
    <mergeCell ref="K57:L57"/>
    <mergeCell ref="M57:N57"/>
    <mergeCell ref="A58:D58"/>
    <mergeCell ref="E58:F66"/>
    <mergeCell ref="G58:H66"/>
    <mergeCell ref="I58:J66"/>
    <mergeCell ref="K58:L66"/>
  </mergeCells>
  <conditionalFormatting sqref="C15:C36">
    <cfRule type="cellIs" dxfId="4" priority="5" operator="greaterThan">
      <formula>#REF!</formula>
    </cfRule>
  </conditionalFormatting>
  <conditionalFormatting sqref="E41:U4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W41:Y41">
    <cfRule type="cellIs" dxfId="1" priority="1" operator="greaterThan">
      <formula>0</formula>
    </cfRule>
    <cfRule type="cellIs" dxfId="0" priority="2" operator="lessThan">
      <formula>0</formula>
    </cfRule>
  </conditionalFormatting>
  <hyperlinks>
    <hyperlink ref="F11" r:id="rId1" xr:uid="{FB6DCDC4-064F-4529-BFAA-237108F7C56F}"/>
    <hyperlink ref="H11" r:id="rId2" xr:uid="{F974A4BE-F823-4903-B646-07AC3630C5D4}"/>
    <hyperlink ref="L11" r:id="rId3" xr:uid="{ADF60E1C-EE47-4AAF-B1D2-2DC2A8512938}"/>
    <hyperlink ref="N11" r:id="rId4" xr:uid="{EAB74F14-7A09-4E75-8BDB-BC2321CC2B88}"/>
    <hyperlink ref="J11" r:id="rId5" xr:uid="{DC30C114-F46F-4DEB-A2B7-ABA326A1712B}"/>
  </hyperlinks>
  <printOptions horizontalCentered="1" verticalCentered="1"/>
  <pageMargins left="0" right="0" top="0" bottom="0" header="0.62992125984251968" footer="0"/>
  <pageSetup paperSize="8" scale="44" orientation="landscape" r:id="rId6"/>
  <headerFooter alignWithMargins="0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F91D-544F-4163-8F24-ACFD6814DB5E}">
  <dimension ref="B1:T29"/>
  <sheetViews>
    <sheetView topLeftCell="A3" zoomScale="70" zoomScaleNormal="70" workbookViewId="0">
      <selection activeCell="A2" sqref="A2:F27"/>
    </sheetView>
  </sheetViews>
  <sheetFormatPr defaultRowHeight="12.75" x14ac:dyDescent="0.2"/>
  <cols>
    <col min="1" max="1" width="3.85546875" customWidth="1"/>
    <col min="2" max="2" width="1.140625" customWidth="1"/>
    <col min="3" max="3" width="50.5703125" style="112" bestFit="1" customWidth="1"/>
    <col min="4" max="4" width="37.140625" style="137" customWidth="1"/>
    <col min="5" max="5" width="26" bestFit="1" customWidth="1"/>
    <col min="6" max="7" width="20.85546875" bestFit="1" customWidth="1"/>
    <col min="8" max="8" width="21.5703125" bestFit="1" customWidth="1"/>
    <col min="9" max="9" width="26.42578125" customWidth="1"/>
    <col min="10" max="10" width="26.42578125" bestFit="1" customWidth="1"/>
    <col min="11" max="11" width="21.5703125" bestFit="1" customWidth="1"/>
    <col min="12" max="12" width="20.140625" bestFit="1" customWidth="1"/>
    <col min="13" max="13" width="19.42578125" customWidth="1"/>
    <col min="14" max="14" width="20.5703125" bestFit="1" customWidth="1"/>
    <col min="15" max="15" width="19.5703125" customWidth="1"/>
    <col min="16" max="16" width="21.42578125" customWidth="1"/>
    <col min="17" max="17" width="20.85546875" bestFit="1" customWidth="1"/>
    <col min="18" max="19" width="16" customWidth="1"/>
    <col min="20" max="20" width="21.140625" customWidth="1"/>
  </cols>
  <sheetData>
    <row r="1" spans="2:20" ht="13.5" thickBot="1" x14ac:dyDescent="0.25"/>
    <row r="2" spans="2:20" ht="57.6" customHeight="1" thickTop="1" x14ac:dyDescent="0.2">
      <c r="B2" s="395" t="s">
        <v>136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7"/>
    </row>
    <row r="3" spans="2:20" ht="15.75" x14ac:dyDescent="0.2">
      <c r="B3" s="139"/>
      <c r="C3" s="132" t="s">
        <v>136</v>
      </c>
      <c r="D3" s="133" t="s">
        <v>137</v>
      </c>
      <c r="E3" s="134" t="s">
        <v>196</v>
      </c>
      <c r="F3" s="134" t="s">
        <v>115</v>
      </c>
      <c r="G3" s="134" t="s">
        <v>140</v>
      </c>
      <c r="H3" s="134" t="s">
        <v>197</v>
      </c>
      <c r="I3" s="134" t="s">
        <v>138</v>
      </c>
      <c r="J3" s="134" t="s">
        <v>198</v>
      </c>
      <c r="K3" s="134" t="s">
        <v>173</v>
      </c>
      <c r="L3" s="134" t="s">
        <v>139</v>
      </c>
      <c r="M3" s="134" t="s">
        <v>178</v>
      </c>
      <c r="N3" s="135" t="s">
        <v>199</v>
      </c>
      <c r="O3" s="134" t="s">
        <v>183</v>
      </c>
      <c r="P3" s="134" t="s">
        <v>200</v>
      </c>
      <c r="Q3" s="134" t="s">
        <v>201</v>
      </c>
      <c r="R3" s="134" t="s">
        <v>227</v>
      </c>
      <c r="S3" s="134" t="s">
        <v>190</v>
      </c>
      <c r="T3" s="140" t="s">
        <v>192</v>
      </c>
    </row>
    <row r="4" spans="2:20" ht="31.5" x14ac:dyDescent="0.2">
      <c r="B4" s="139"/>
      <c r="C4" s="126" t="s">
        <v>141</v>
      </c>
      <c r="D4" s="135" t="s">
        <v>99</v>
      </c>
      <c r="E4" s="130"/>
      <c r="F4" s="130"/>
      <c r="G4" s="130"/>
      <c r="H4" s="130"/>
      <c r="I4" s="130"/>
      <c r="J4" s="130"/>
      <c r="K4" s="130"/>
      <c r="L4" s="130"/>
      <c r="M4" s="127"/>
      <c r="N4" s="127"/>
      <c r="O4" s="127"/>
      <c r="P4" s="128"/>
      <c r="Q4" s="125"/>
      <c r="R4" s="125"/>
      <c r="S4" s="125"/>
      <c r="T4" s="141"/>
    </row>
    <row r="5" spans="2:20" ht="31.5" x14ac:dyDescent="0.2">
      <c r="B5" s="139"/>
      <c r="C5" s="126" t="s">
        <v>142</v>
      </c>
      <c r="D5" s="135" t="s">
        <v>99</v>
      </c>
      <c r="E5" s="130"/>
      <c r="F5" s="130"/>
      <c r="G5" s="130"/>
      <c r="H5" s="130"/>
      <c r="I5" s="130"/>
      <c r="J5" s="130"/>
      <c r="K5" s="130"/>
      <c r="L5" s="130"/>
      <c r="M5" s="127"/>
      <c r="N5" s="127"/>
      <c r="O5" s="127"/>
      <c r="P5" s="128"/>
      <c r="Q5" s="125"/>
      <c r="R5" s="125"/>
      <c r="S5" s="125"/>
      <c r="T5" s="141"/>
    </row>
    <row r="6" spans="2:20" ht="31.5" x14ac:dyDescent="0.2">
      <c r="B6" s="139"/>
      <c r="C6" s="126" t="s">
        <v>143</v>
      </c>
      <c r="D6" s="135" t="s">
        <v>99</v>
      </c>
      <c r="E6" s="130"/>
      <c r="F6" s="130"/>
      <c r="G6" s="130"/>
      <c r="H6" s="130"/>
      <c r="I6" s="130"/>
      <c r="J6" s="130"/>
      <c r="K6" s="130"/>
      <c r="L6" s="130"/>
      <c r="M6" s="127"/>
      <c r="N6" s="127"/>
      <c r="O6" s="127"/>
      <c r="P6" s="128"/>
      <c r="Q6" s="125"/>
      <c r="R6" s="125"/>
      <c r="S6" s="125"/>
      <c r="T6" s="141"/>
    </row>
    <row r="7" spans="2:20" ht="31.5" x14ac:dyDescent="0.2">
      <c r="B7" s="139"/>
      <c r="C7" s="126" t="s">
        <v>144</v>
      </c>
      <c r="D7" s="135" t="s">
        <v>99</v>
      </c>
      <c r="E7" s="130"/>
      <c r="F7" s="130"/>
      <c r="G7" s="130"/>
      <c r="H7" s="130"/>
      <c r="I7" s="130"/>
      <c r="J7" s="130"/>
      <c r="K7" s="130"/>
      <c r="L7" s="130"/>
      <c r="M7" s="127"/>
      <c r="N7" s="127"/>
      <c r="O7" s="127"/>
      <c r="P7" s="128"/>
      <c r="Q7" s="125"/>
      <c r="R7" s="125"/>
      <c r="S7" s="125"/>
      <c r="T7" s="141"/>
    </row>
    <row r="8" spans="2:20" ht="31.5" x14ac:dyDescent="0.2">
      <c r="B8" s="139"/>
      <c r="C8" s="126" t="s">
        <v>145</v>
      </c>
      <c r="D8" s="135" t="s">
        <v>99</v>
      </c>
      <c r="E8" s="130"/>
      <c r="F8" s="130"/>
      <c r="G8" s="130"/>
      <c r="H8" s="130"/>
      <c r="I8" s="130"/>
      <c r="J8" s="130"/>
      <c r="K8" s="130"/>
      <c r="L8" s="130"/>
      <c r="M8" s="127"/>
      <c r="N8" s="127"/>
      <c r="O8" s="127"/>
      <c r="P8" s="128"/>
      <c r="Q8" s="125"/>
      <c r="R8" s="125"/>
      <c r="S8" s="125"/>
      <c r="T8" s="141"/>
    </row>
    <row r="9" spans="2:20" ht="31.5" x14ac:dyDescent="0.2">
      <c r="B9" s="139"/>
      <c r="C9" s="126" t="s">
        <v>146</v>
      </c>
      <c r="D9" s="135" t="s">
        <v>99</v>
      </c>
      <c r="E9" s="130"/>
      <c r="F9" s="130"/>
      <c r="G9" s="130"/>
      <c r="H9" s="130"/>
      <c r="I9" s="130"/>
      <c r="J9" s="130"/>
      <c r="K9" s="130"/>
      <c r="L9" s="130"/>
      <c r="M9" s="127"/>
      <c r="N9" s="127"/>
      <c r="O9" s="127"/>
      <c r="P9" s="128"/>
      <c r="Q9" s="125"/>
      <c r="R9" s="125"/>
      <c r="S9" s="125"/>
      <c r="T9" s="141"/>
    </row>
    <row r="10" spans="2:20" ht="31.5" x14ac:dyDescent="0.2">
      <c r="B10" s="139"/>
      <c r="C10" s="126" t="s">
        <v>147</v>
      </c>
      <c r="D10" s="135" t="s">
        <v>99</v>
      </c>
      <c r="E10" s="130"/>
      <c r="F10" s="130"/>
      <c r="G10" s="130"/>
      <c r="H10" s="127"/>
      <c r="I10" s="130"/>
      <c r="J10" s="130"/>
      <c r="K10" s="130"/>
      <c r="L10" s="130"/>
      <c r="M10" s="127"/>
      <c r="N10" s="127"/>
      <c r="O10" s="127"/>
      <c r="P10" s="128"/>
      <c r="Q10" s="125"/>
      <c r="R10" s="125"/>
      <c r="S10" s="125"/>
      <c r="T10" s="141"/>
    </row>
    <row r="11" spans="2:20" ht="31.5" x14ac:dyDescent="0.2">
      <c r="B11" s="139"/>
      <c r="C11" s="126" t="s">
        <v>148</v>
      </c>
      <c r="D11" s="135" t="s">
        <v>99</v>
      </c>
      <c r="E11" s="130"/>
      <c r="F11" s="130"/>
      <c r="G11" s="130"/>
      <c r="H11" s="130"/>
      <c r="I11" s="130"/>
      <c r="J11" s="130"/>
      <c r="K11" s="130"/>
      <c r="L11" s="130"/>
      <c r="M11" s="127"/>
      <c r="N11" s="127"/>
      <c r="O11" s="127"/>
      <c r="P11" s="128"/>
      <c r="Q11" s="125"/>
      <c r="R11" s="125"/>
      <c r="S11" s="125"/>
      <c r="T11" s="141"/>
    </row>
    <row r="12" spans="2:20" ht="31.5" x14ac:dyDescent="0.2">
      <c r="B12" s="139"/>
      <c r="C12" s="126" t="s">
        <v>149</v>
      </c>
      <c r="D12" s="135" t="s">
        <v>99</v>
      </c>
      <c r="E12" s="130"/>
      <c r="F12" s="130"/>
      <c r="G12" s="130"/>
      <c r="H12" s="130"/>
      <c r="I12" s="130"/>
      <c r="J12" s="130"/>
      <c r="K12" s="130"/>
      <c r="L12" s="130"/>
      <c r="M12" s="127"/>
      <c r="N12" s="127"/>
      <c r="O12" s="127"/>
      <c r="P12" s="128"/>
      <c r="Q12" s="125"/>
      <c r="R12" s="125"/>
      <c r="S12" s="125"/>
      <c r="T12" s="141"/>
    </row>
    <row r="13" spans="2:20" ht="31.5" x14ac:dyDescent="0.2">
      <c r="B13" s="139"/>
      <c r="C13" s="126" t="s">
        <v>150</v>
      </c>
      <c r="D13" s="135" t="s">
        <v>151</v>
      </c>
      <c r="E13" s="130"/>
      <c r="F13" s="130"/>
      <c r="G13" s="130"/>
      <c r="H13" s="130"/>
      <c r="I13" s="130"/>
      <c r="J13" s="130"/>
      <c r="K13" s="130"/>
      <c r="L13" s="130"/>
      <c r="M13" s="127"/>
      <c r="N13" s="127"/>
      <c r="O13" s="127"/>
      <c r="P13" s="128"/>
      <c r="Q13" s="125"/>
      <c r="R13" s="125"/>
      <c r="S13" s="125"/>
      <c r="T13" s="141"/>
    </row>
    <row r="14" spans="2:20" ht="31.5" x14ac:dyDescent="0.2">
      <c r="B14" s="139"/>
      <c r="C14" s="126" t="s">
        <v>152</v>
      </c>
      <c r="D14" s="135" t="s">
        <v>99</v>
      </c>
      <c r="E14" s="130"/>
      <c r="F14" s="130"/>
      <c r="G14" s="130"/>
      <c r="H14" s="130"/>
      <c r="I14" s="130"/>
      <c r="J14" s="130"/>
      <c r="K14" s="130"/>
      <c r="L14" s="130"/>
      <c r="M14" s="127"/>
      <c r="N14" s="127"/>
      <c r="O14" s="127"/>
      <c r="P14" s="128"/>
      <c r="Q14" s="125"/>
      <c r="R14" s="125"/>
      <c r="S14" s="125"/>
      <c r="T14" s="141"/>
    </row>
    <row r="15" spans="2:20" ht="31.5" x14ac:dyDescent="0.2">
      <c r="B15" s="139"/>
      <c r="C15" s="126" t="s">
        <v>153</v>
      </c>
      <c r="D15" s="138" t="s">
        <v>154</v>
      </c>
      <c r="E15" s="131"/>
      <c r="F15" s="131"/>
      <c r="G15" s="131"/>
      <c r="H15" s="131"/>
      <c r="I15" s="131"/>
      <c r="J15" s="131"/>
      <c r="K15" s="131"/>
      <c r="L15" s="131"/>
      <c r="M15" s="127"/>
      <c r="N15" s="127"/>
      <c r="O15" s="127"/>
      <c r="P15" s="128"/>
      <c r="Q15" s="125"/>
      <c r="R15" s="125"/>
      <c r="S15" s="125"/>
      <c r="T15" s="141"/>
    </row>
    <row r="16" spans="2:20" ht="31.5" x14ac:dyDescent="0.2">
      <c r="B16" s="139"/>
      <c r="C16" s="126" t="s">
        <v>155</v>
      </c>
      <c r="D16" s="135" t="s">
        <v>99</v>
      </c>
      <c r="E16" s="130"/>
      <c r="F16" s="130"/>
      <c r="G16" s="130"/>
      <c r="H16" s="130"/>
      <c r="I16" s="130"/>
      <c r="J16" s="130"/>
      <c r="K16" s="130"/>
      <c r="L16" s="130"/>
      <c r="M16" s="127"/>
      <c r="N16" s="127"/>
      <c r="O16" s="127"/>
      <c r="P16" s="128"/>
      <c r="Q16" s="125"/>
      <c r="R16" s="125"/>
      <c r="S16" s="125"/>
      <c r="T16" s="141"/>
    </row>
    <row r="17" spans="2:20" ht="31.5" x14ac:dyDescent="0.2">
      <c r="B17" s="139"/>
      <c r="C17" s="126" t="s">
        <v>156</v>
      </c>
      <c r="D17" s="135" t="s">
        <v>99</v>
      </c>
      <c r="E17" s="130"/>
      <c r="F17" s="130"/>
      <c r="G17" s="130"/>
      <c r="H17" s="130"/>
      <c r="I17" s="130"/>
      <c r="J17" s="130"/>
      <c r="K17" s="130"/>
      <c r="L17" s="130"/>
      <c r="M17" s="127"/>
      <c r="N17" s="127"/>
      <c r="O17" s="127"/>
      <c r="P17" s="128"/>
      <c r="Q17" s="125"/>
      <c r="R17" s="125"/>
      <c r="S17" s="125"/>
      <c r="T17" s="141"/>
    </row>
    <row r="18" spans="2:20" ht="31.5" x14ac:dyDescent="0.2">
      <c r="B18" s="139"/>
      <c r="C18" s="126" t="s">
        <v>124</v>
      </c>
      <c r="D18" s="135" t="s">
        <v>99</v>
      </c>
      <c r="E18" s="130"/>
      <c r="F18" s="130"/>
      <c r="G18" s="130"/>
      <c r="H18" s="130"/>
      <c r="I18" s="130"/>
      <c r="J18" s="130"/>
      <c r="K18" s="130"/>
      <c r="L18" s="130"/>
      <c r="M18" s="127"/>
      <c r="N18" s="127"/>
      <c r="O18" s="127"/>
      <c r="P18" s="128"/>
      <c r="Q18" s="125"/>
      <c r="R18" s="125"/>
      <c r="S18" s="125"/>
      <c r="T18" s="141"/>
    </row>
    <row r="19" spans="2:20" ht="31.5" x14ac:dyDescent="0.2">
      <c r="B19" s="139"/>
      <c r="C19" s="126" t="s">
        <v>125</v>
      </c>
      <c r="D19" s="135" t="s">
        <v>99</v>
      </c>
      <c r="E19" s="130"/>
      <c r="F19" s="130"/>
      <c r="G19" s="130"/>
      <c r="H19" s="130"/>
      <c r="I19" s="130"/>
      <c r="J19" s="130"/>
      <c r="K19" s="130"/>
      <c r="L19" s="130"/>
      <c r="M19" s="127"/>
      <c r="N19" s="127"/>
      <c r="O19" s="127"/>
      <c r="P19" s="128"/>
      <c r="Q19" s="125"/>
      <c r="R19" s="125"/>
      <c r="S19" s="125"/>
      <c r="T19" s="141"/>
    </row>
    <row r="20" spans="2:20" ht="31.5" x14ac:dyDescent="0.2">
      <c r="B20" s="139"/>
      <c r="C20" s="126" t="s">
        <v>126</v>
      </c>
      <c r="D20" s="135" t="s">
        <v>99</v>
      </c>
      <c r="E20" s="130"/>
      <c r="F20" s="130"/>
      <c r="G20" s="130"/>
      <c r="H20" s="130"/>
      <c r="I20" s="130"/>
      <c r="J20" s="130"/>
      <c r="K20" s="130"/>
      <c r="L20" s="130"/>
      <c r="M20" s="127"/>
      <c r="N20" s="127"/>
      <c r="O20" s="127"/>
      <c r="P20" s="128"/>
      <c r="Q20" s="125"/>
      <c r="R20" s="125"/>
      <c r="S20" s="125"/>
      <c r="T20" s="141"/>
    </row>
    <row r="21" spans="2:20" ht="31.5" x14ac:dyDescent="0.2">
      <c r="B21" s="139"/>
      <c r="C21" s="126" t="s">
        <v>127</v>
      </c>
      <c r="D21" s="135" t="s">
        <v>128</v>
      </c>
      <c r="E21" s="130"/>
      <c r="F21" s="130"/>
      <c r="G21" s="130"/>
      <c r="H21" s="130"/>
      <c r="I21" s="130"/>
      <c r="J21" s="130"/>
      <c r="K21" s="130"/>
      <c r="L21" s="130"/>
      <c r="M21" s="127"/>
      <c r="N21" s="127"/>
      <c r="O21" s="127"/>
      <c r="P21" s="128"/>
      <c r="Q21" s="125"/>
      <c r="R21" s="125"/>
      <c r="S21" s="125"/>
      <c r="T21" s="141"/>
    </row>
    <row r="22" spans="2:20" ht="31.5" x14ac:dyDescent="0.2">
      <c r="B22" s="139"/>
      <c r="C22" s="126" t="s">
        <v>130</v>
      </c>
      <c r="D22" s="135" t="s">
        <v>129</v>
      </c>
      <c r="E22" s="130"/>
      <c r="F22" s="130"/>
      <c r="G22" s="130"/>
      <c r="H22" s="130"/>
      <c r="I22" s="130"/>
      <c r="J22" s="130"/>
      <c r="K22" s="130"/>
      <c r="L22" s="130"/>
      <c r="M22" s="127"/>
      <c r="N22" s="127"/>
      <c r="O22" s="127"/>
      <c r="P22" s="128"/>
      <c r="Q22" s="125"/>
      <c r="R22" s="125"/>
      <c r="S22" s="125"/>
      <c r="T22" s="141"/>
    </row>
    <row r="23" spans="2:20" ht="31.5" x14ac:dyDescent="0.2">
      <c r="B23" s="139"/>
      <c r="C23" s="126" t="s">
        <v>131</v>
      </c>
      <c r="D23" s="135" t="s">
        <v>99</v>
      </c>
      <c r="E23" s="130"/>
      <c r="F23" s="130"/>
      <c r="G23" s="130"/>
      <c r="H23" s="130"/>
      <c r="I23" s="130"/>
      <c r="J23" s="130"/>
      <c r="K23" s="130"/>
      <c r="L23" s="130"/>
      <c r="M23" s="127"/>
      <c r="N23" s="127"/>
      <c r="O23" s="127"/>
      <c r="P23" s="128"/>
      <c r="Q23" s="125"/>
      <c r="R23" s="125"/>
      <c r="S23" s="125"/>
      <c r="T23" s="141"/>
    </row>
    <row r="24" spans="2:20" ht="31.5" x14ac:dyDescent="0.2">
      <c r="B24" s="139"/>
      <c r="C24" s="126" t="s">
        <v>132</v>
      </c>
      <c r="D24" s="135" t="s">
        <v>99</v>
      </c>
      <c r="E24" s="130"/>
      <c r="F24" s="130"/>
      <c r="G24" s="130"/>
      <c r="H24" s="130"/>
      <c r="I24" s="130"/>
      <c r="J24" s="130"/>
      <c r="K24" s="130"/>
      <c r="L24" s="130"/>
      <c r="M24" s="127"/>
      <c r="N24" s="127"/>
      <c r="O24" s="127"/>
      <c r="P24" s="128"/>
      <c r="Q24" s="125"/>
      <c r="R24" s="125"/>
      <c r="S24" s="125"/>
      <c r="T24" s="141"/>
    </row>
    <row r="25" spans="2:20" ht="31.5" x14ac:dyDescent="0.2">
      <c r="B25" s="139"/>
      <c r="C25" s="126" t="s">
        <v>133</v>
      </c>
      <c r="D25" s="135" t="s">
        <v>99</v>
      </c>
      <c r="E25" s="130"/>
      <c r="F25" s="130"/>
      <c r="G25" s="130"/>
      <c r="H25" s="130"/>
      <c r="I25" s="130"/>
      <c r="J25" s="130"/>
      <c r="K25" s="130"/>
      <c r="L25" s="130"/>
      <c r="M25" s="127"/>
      <c r="N25" s="127"/>
      <c r="O25" s="127"/>
      <c r="P25" s="128"/>
      <c r="Q25" s="125"/>
      <c r="R25" s="125"/>
      <c r="S25" s="125"/>
      <c r="T25" s="141"/>
    </row>
    <row r="26" spans="2:20" ht="31.5" x14ac:dyDescent="0.2">
      <c r="B26" s="139"/>
      <c r="C26" s="126" t="s">
        <v>134</v>
      </c>
      <c r="D26" s="135" t="s">
        <v>99</v>
      </c>
      <c r="E26" s="130"/>
      <c r="F26" s="130"/>
      <c r="G26" s="130"/>
      <c r="H26" s="130"/>
      <c r="I26" s="130"/>
      <c r="J26" s="130"/>
      <c r="K26" s="130"/>
      <c r="L26" s="130"/>
      <c r="M26" s="127"/>
      <c r="N26" s="127"/>
      <c r="O26" s="127"/>
      <c r="P26" s="128"/>
      <c r="Q26" s="125"/>
      <c r="R26" s="125"/>
      <c r="S26" s="125"/>
      <c r="T26" s="141"/>
    </row>
    <row r="27" spans="2:20" ht="31.5" x14ac:dyDescent="0.2">
      <c r="B27" s="139"/>
      <c r="C27" s="126" t="s">
        <v>135</v>
      </c>
      <c r="D27" s="135" t="s">
        <v>99</v>
      </c>
      <c r="E27" s="130"/>
      <c r="F27" s="130"/>
      <c r="G27" s="130"/>
      <c r="H27" s="130"/>
      <c r="I27" s="130"/>
      <c r="J27" s="130"/>
      <c r="K27" s="130"/>
      <c r="L27" s="130"/>
      <c r="M27" s="127"/>
      <c r="N27" s="127"/>
      <c r="O27" s="127"/>
      <c r="P27" s="128"/>
      <c r="Q27" s="125"/>
      <c r="R27" s="125"/>
      <c r="S27" s="125"/>
      <c r="T27" s="141"/>
    </row>
    <row r="28" spans="2:20" ht="31.5" x14ac:dyDescent="0.2">
      <c r="B28" s="142"/>
      <c r="C28" s="129"/>
      <c r="D28" s="136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8"/>
      <c r="Q28" s="125"/>
      <c r="R28" s="125"/>
      <c r="S28" s="125"/>
      <c r="T28" s="141"/>
    </row>
    <row r="29" spans="2:20" ht="13.5" thickBot="1" x14ac:dyDescent="0.25">
      <c r="B29" s="143"/>
      <c r="C29" s="144"/>
      <c r="D29" s="145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7"/>
    </row>
  </sheetData>
  <mergeCells count="1">
    <mergeCell ref="B2:T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48B8-78FE-4DD9-9DEA-16E015929C13}">
  <dimension ref="B1:T29"/>
  <sheetViews>
    <sheetView topLeftCell="A3" zoomScale="70" zoomScaleNormal="70" workbookViewId="0">
      <selection activeCell="C2" sqref="A2:F27"/>
    </sheetView>
  </sheetViews>
  <sheetFormatPr defaultRowHeight="12.75" x14ac:dyDescent="0.2"/>
  <cols>
    <col min="1" max="1" width="3.85546875" customWidth="1"/>
    <col min="2" max="2" width="1.140625" customWidth="1"/>
    <col min="3" max="3" width="50.5703125" style="112" bestFit="1" customWidth="1"/>
    <col min="4" max="4" width="37.140625" style="137" customWidth="1"/>
    <col min="5" max="5" width="26" bestFit="1" customWidth="1"/>
    <col min="6" max="7" width="20.85546875" bestFit="1" customWidth="1"/>
    <col min="8" max="8" width="21.5703125" bestFit="1" customWidth="1"/>
    <col min="9" max="9" width="26.42578125" customWidth="1"/>
    <col min="10" max="10" width="26.42578125" bestFit="1" customWidth="1"/>
    <col min="11" max="11" width="21.5703125" bestFit="1" customWidth="1"/>
    <col min="12" max="12" width="20.140625" bestFit="1" customWidth="1"/>
    <col min="13" max="13" width="19.42578125" customWidth="1"/>
    <col min="14" max="14" width="20.5703125" bestFit="1" customWidth="1"/>
    <col min="15" max="15" width="19.5703125" customWidth="1"/>
    <col min="16" max="16" width="21.42578125" customWidth="1"/>
    <col min="17" max="17" width="20.85546875" bestFit="1" customWidth="1"/>
    <col min="18" max="19" width="16" customWidth="1"/>
    <col min="20" max="20" width="21.140625" customWidth="1"/>
  </cols>
  <sheetData>
    <row r="1" spans="2:20" ht="13.5" thickBot="1" x14ac:dyDescent="0.25"/>
    <row r="2" spans="2:20" ht="57.6" customHeight="1" thickTop="1" x14ac:dyDescent="0.2">
      <c r="B2" s="395" t="s">
        <v>136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7"/>
    </row>
    <row r="3" spans="2:20" ht="15.75" x14ac:dyDescent="0.2">
      <c r="B3" s="139"/>
      <c r="C3" s="132" t="s">
        <v>136</v>
      </c>
      <c r="D3" s="133" t="s">
        <v>137</v>
      </c>
      <c r="E3" s="134" t="s">
        <v>196</v>
      </c>
      <c r="F3" s="134" t="s">
        <v>115</v>
      </c>
      <c r="G3" s="134" t="s">
        <v>140</v>
      </c>
      <c r="H3" s="134" t="s">
        <v>197</v>
      </c>
      <c r="I3" s="134" t="s">
        <v>138</v>
      </c>
      <c r="J3" s="134" t="s">
        <v>198</v>
      </c>
      <c r="K3" s="134" t="s">
        <v>173</v>
      </c>
      <c r="L3" s="134" t="s">
        <v>139</v>
      </c>
      <c r="M3" s="134" t="s">
        <v>178</v>
      </c>
      <c r="N3" s="135" t="s">
        <v>199</v>
      </c>
      <c r="O3" s="134" t="s">
        <v>183</v>
      </c>
      <c r="P3" s="134" t="s">
        <v>200</v>
      </c>
      <c r="Q3" s="134" t="s">
        <v>201</v>
      </c>
      <c r="R3" s="134" t="s">
        <v>227</v>
      </c>
      <c r="S3" s="134" t="s">
        <v>190</v>
      </c>
      <c r="T3" s="140" t="s">
        <v>192</v>
      </c>
    </row>
    <row r="4" spans="2:20" ht="31.5" x14ac:dyDescent="0.2">
      <c r="B4" s="139"/>
      <c r="C4" s="126" t="s">
        <v>141</v>
      </c>
      <c r="D4" s="135" t="s">
        <v>99</v>
      </c>
      <c r="E4" s="130"/>
      <c r="F4" s="130"/>
      <c r="G4" s="130"/>
      <c r="H4" s="130"/>
      <c r="I4" s="130"/>
      <c r="J4" s="130"/>
      <c r="K4" s="130"/>
      <c r="L4" s="130"/>
      <c r="M4" s="127"/>
      <c r="N4" s="127"/>
      <c r="O4" s="127"/>
      <c r="P4" s="128"/>
      <c r="Q4" s="125"/>
      <c r="R4" s="125"/>
      <c r="S4" s="125"/>
      <c r="T4" s="141"/>
    </row>
    <row r="5" spans="2:20" ht="31.5" x14ac:dyDescent="0.2">
      <c r="B5" s="139"/>
      <c r="C5" s="126" t="s">
        <v>142</v>
      </c>
      <c r="D5" s="135" t="s">
        <v>99</v>
      </c>
      <c r="E5" s="130"/>
      <c r="F5" s="130"/>
      <c r="G5" s="130"/>
      <c r="H5" s="130"/>
      <c r="I5" s="130"/>
      <c r="J5" s="130"/>
      <c r="K5" s="130"/>
      <c r="L5" s="130"/>
      <c r="M5" s="127"/>
      <c r="N5" s="127"/>
      <c r="O5" s="127"/>
      <c r="P5" s="128"/>
      <c r="Q5" s="125"/>
      <c r="R5" s="125"/>
      <c r="S5" s="125"/>
      <c r="T5" s="141"/>
    </row>
    <row r="6" spans="2:20" ht="31.5" x14ac:dyDescent="0.2">
      <c r="B6" s="139"/>
      <c r="C6" s="126" t="s">
        <v>143</v>
      </c>
      <c r="D6" s="135" t="s">
        <v>99</v>
      </c>
      <c r="E6" s="130"/>
      <c r="F6" s="130"/>
      <c r="G6" s="130"/>
      <c r="H6" s="130"/>
      <c r="I6" s="130"/>
      <c r="J6" s="130"/>
      <c r="K6" s="130"/>
      <c r="L6" s="130"/>
      <c r="M6" s="127"/>
      <c r="N6" s="127"/>
      <c r="O6" s="127"/>
      <c r="P6" s="128"/>
      <c r="Q6" s="125"/>
      <c r="R6" s="125"/>
      <c r="S6" s="125"/>
      <c r="T6" s="141"/>
    </row>
    <row r="7" spans="2:20" ht="31.5" x14ac:dyDescent="0.2">
      <c r="B7" s="139"/>
      <c r="C7" s="126" t="s">
        <v>144</v>
      </c>
      <c r="D7" s="135" t="s">
        <v>99</v>
      </c>
      <c r="E7" s="130"/>
      <c r="F7" s="130"/>
      <c r="G7" s="130"/>
      <c r="H7" s="130"/>
      <c r="I7" s="130"/>
      <c r="J7" s="130"/>
      <c r="K7" s="130"/>
      <c r="L7" s="130"/>
      <c r="M7" s="127"/>
      <c r="N7" s="127"/>
      <c r="O7" s="127"/>
      <c r="P7" s="128"/>
      <c r="Q7" s="125"/>
      <c r="R7" s="125"/>
      <c r="S7" s="125"/>
      <c r="T7" s="141"/>
    </row>
    <row r="8" spans="2:20" ht="31.5" x14ac:dyDescent="0.2">
      <c r="B8" s="139"/>
      <c r="C8" s="126" t="s">
        <v>145</v>
      </c>
      <c r="D8" s="135" t="s">
        <v>99</v>
      </c>
      <c r="E8" s="130"/>
      <c r="F8" s="130"/>
      <c r="G8" s="130"/>
      <c r="H8" s="130"/>
      <c r="I8" s="130"/>
      <c r="J8" s="130"/>
      <c r="K8" s="130"/>
      <c r="L8" s="130"/>
      <c r="M8" s="127"/>
      <c r="N8" s="127"/>
      <c r="O8" s="127"/>
      <c r="P8" s="128"/>
      <c r="Q8" s="125"/>
      <c r="R8" s="125"/>
      <c r="S8" s="125"/>
      <c r="T8" s="141"/>
    </row>
    <row r="9" spans="2:20" ht="31.5" x14ac:dyDescent="0.2">
      <c r="B9" s="139"/>
      <c r="C9" s="126" t="s">
        <v>146</v>
      </c>
      <c r="D9" s="135" t="s">
        <v>99</v>
      </c>
      <c r="E9" s="130"/>
      <c r="F9" s="130"/>
      <c r="G9" s="130"/>
      <c r="H9" s="130"/>
      <c r="I9" s="130"/>
      <c r="J9" s="130"/>
      <c r="K9" s="130"/>
      <c r="L9" s="130"/>
      <c r="M9" s="127"/>
      <c r="N9" s="127"/>
      <c r="O9" s="127"/>
      <c r="P9" s="128"/>
      <c r="Q9" s="125"/>
      <c r="R9" s="125"/>
      <c r="S9" s="125"/>
      <c r="T9" s="141"/>
    </row>
    <row r="10" spans="2:20" ht="31.5" x14ac:dyDescent="0.2">
      <c r="B10" s="139"/>
      <c r="C10" s="126" t="s">
        <v>147</v>
      </c>
      <c r="D10" s="135" t="s">
        <v>99</v>
      </c>
      <c r="E10" s="130"/>
      <c r="F10" s="130"/>
      <c r="G10" s="130"/>
      <c r="H10" s="127"/>
      <c r="I10" s="130"/>
      <c r="J10" s="130"/>
      <c r="K10" s="130"/>
      <c r="L10" s="130"/>
      <c r="M10" s="127"/>
      <c r="N10" s="127"/>
      <c r="O10" s="127"/>
      <c r="P10" s="128"/>
      <c r="Q10" s="125"/>
      <c r="R10" s="125"/>
      <c r="S10" s="125"/>
      <c r="T10" s="141"/>
    </row>
    <row r="11" spans="2:20" ht="31.5" x14ac:dyDescent="0.2">
      <c r="B11" s="139"/>
      <c r="C11" s="126" t="s">
        <v>148</v>
      </c>
      <c r="D11" s="135" t="s">
        <v>99</v>
      </c>
      <c r="E11" s="130"/>
      <c r="F11" s="130"/>
      <c r="G11" s="130"/>
      <c r="H11" s="130"/>
      <c r="I11" s="130"/>
      <c r="J11" s="130"/>
      <c r="K11" s="130"/>
      <c r="L11" s="130"/>
      <c r="M11" s="127"/>
      <c r="N11" s="127"/>
      <c r="O11" s="127"/>
      <c r="P11" s="128"/>
      <c r="Q11" s="125"/>
      <c r="R11" s="125"/>
      <c r="S11" s="125"/>
      <c r="T11" s="141"/>
    </row>
    <row r="12" spans="2:20" ht="31.5" x14ac:dyDescent="0.2">
      <c r="B12" s="139"/>
      <c r="C12" s="126" t="s">
        <v>149</v>
      </c>
      <c r="D12" s="135" t="s">
        <v>99</v>
      </c>
      <c r="E12" s="130"/>
      <c r="F12" s="130"/>
      <c r="G12" s="130"/>
      <c r="H12" s="130"/>
      <c r="I12" s="130"/>
      <c r="J12" s="130"/>
      <c r="K12" s="130"/>
      <c r="L12" s="130"/>
      <c r="M12" s="127"/>
      <c r="N12" s="127"/>
      <c r="O12" s="127"/>
      <c r="P12" s="128"/>
      <c r="Q12" s="125"/>
      <c r="R12" s="125"/>
      <c r="S12" s="125"/>
      <c r="T12" s="141"/>
    </row>
    <row r="13" spans="2:20" ht="31.5" x14ac:dyDescent="0.2">
      <c r="B13" s="139"/>
      <c r="C13" s="126" t="s">
        <v>150</v>
      </c>
      <c r="D13" s="135" t="s">
        <v>151</v>
      </c>
      <c r="E13" s="130"/>
      <c r="F13" s="130"/>
      <c r="G13" s="130"/>
      <c r="H13" s="130"/>
      <c r="I13" s="130"/>
      <c r="J13" s="130"/>
      <c r="K13" s="130"/>
      <c r="L13" s="130"/>
      <c r="M13" s="127"/>
      <c r="N13" s="127"/>
      <c r="O13" s="127"/>
      <c r="P13" s="128"/>
      <c r="Q13" s="125"/>
      <c r="R13" s="125"/>
      <c r="S13" s="125"/>
      <c r="T13" s="141"/>
    </row>
    <row r="14" spans="2:20" ht="31.5" x14ac:dyDescent="0.2">
      <c r="B14" s="139"/>
      <c r="C14" s="126" t="s">
        <v>152</v>
      </c>
      <c r="D14" s="135" t="s">
        <v>99</v>
      </c>
      <c r="E14" s="130"/>
      <c r="F14" s="130"/>
      <c r="G14" s="130"/>
      <c r="H14" s="130"/>
      <c r="I14" s="130"/>
      <c r="J14" s="130"/>
      <c r="K14" s="130"/>
      <c r="L14" s="130"/>
      <c r="M14" s="127"/>
      <c r="N14" s="127"/>
      <c r="O14" s="127"/>
      <c r="P14" s="128"/>
      <c r="Q14" s="125"/>
      <c r="R14" s="125"/>
      <c r="S14" s="125"/>
      <c r="T14" s="141"/>
    </row>
    <row r="15" spans="2:20" ht="31.5" x14ac:dyDescent="0.2">
      <c r="B15" s="139"/>
      <c r="C15" s="126" t="s">
        <v>153</v>
      </c>
      <c r="D15" s="138" t="s">
        <v>154</v>
      </c>
      <c r="E15" s="131"/>
      <c r="F15" s="131"/>
      <c r="G15" s="131"/>
      <c r="H15" s="131"/>
      <c r="I15" s="131"/>
      <c r="J15" s="131"/>
      <c r="K15" s="131"/>
      <c r="L15" s="131"/>
      <c r="M15" s="127"/>
      <c r="N15" s="127"/>
      <c r="O15" s="127"/>
      <c r="P15" s="128"/>
      <c r="Q15" s="125"/>
      <c r="R15" s="125"/>
      <c r="S15" s="125"/>
      <c r="T15" s="141"/>
    </row>
    <row r="16" spans="2:20" ht="31.5" x14ac:dyDescent="0.2">
      <c r="B16" s="139"/>
      <c r="C16" s="126" t="s">
        <v>155</v>
      </c>
      <c r="D16" s="135" t="s">
        <v>99</v>
      </c>
      <c r="E16" s="130"/>
      <c r="F16" s="130"/>
      <c r="G16" s="130"/>
      <c r="H16" s="130"/>
      <c r="I16" s="130"/>
      <c r="J16" s="130"/>
      <c r="K16" s="130"/>
      <c r="L16" s="130"/>
      <c r="M16" s="127"/>
      <c r="N16" s="127"/>
      <c r="O16" s="127"/>
      <c r="P16" s="128"/>
      <c r="Q16" s="125"/>
      <c r="R16" s="125"/>
      <c r="S16" s="125"/>
      <c r="T16" s="141"/>
    </row>
    <row r="17" spans="2:20" ht="31.5" x14ac:dyDescent="0.2">
      <c r="B17" s="139"/>
      <c r="C17" s="126" t="s">
        <v>156</v>
      </c>
      <c r="D17" s="135" t="s">
        <v>99</v>
      </c>
      <c r="E17" s="130"/>
      <c r="F17" s="130"/>
      <c r="G17" s="130"/>
      <c r="H17" s="130"/>
      <c r="I17" s="130"/>
      <c r="J17" s="130"/>
      <c r="K17" s="130"/>
      <c r="L17" s="130"/>
      <c r="M17" s="127"/>
      <c r="N17" s="127"/>
      <c r="O17" s="127"/>
      <c r="P17" s="128"/>
      <c r="Q17" s="125"/>
      <c r="R17" s="125"/>
      <c r="S17" s="125"/>
      <c r="T17" s="141"/>
    </row>
    <row r="18" spans="2:20" ht="31.5" x14ac:dyDescent="0.2">
      <c r="B18" s="139"/>
      <c r="C18" s="126" t="s">
        <v>124</v>
      </c>
      <c r="D18" s="135" t="s">
        <v>99</v>
      </c>
      <c r="E18" s="130"/>
      <c r="F18" s="130"/>
      <c r="G18" s="130"/>
      <c r="H18" s="130"/>
      <c r="I18" s="130"/>
      <c r="J18" s="130"/>
      <c r="K18" s="130"/>
      <c r="L18" s="130"/>
      <c r="M18" s="127"/>
      <c r="N18" s="127"/>
      <c r="O18" s="127"/>
      <c r="P18" s="128"/>
      <c r="Q18" s="125"/>
      <c r="R18" s="125"/>
      <c r="S18" s="125"/>
      <c r="T18" s="141"/>
    </row>
    <row r="19" spans="2:20" ht="31.5" x14ac:dyDescent="0.2">
      <c r="B19" s="139"/>
      <c r="C19" s="126" t="s">
        <v>125</v>
      </c>
      <c r="D19" s="135" t="s">
        <v>99</v>
      </c>
      <c r="E19" s="130"/>
      <c r="F19" s="130"/>
      <c r="G19" s="130"/>
      <c r="H19" s="130"/>
      <c r="I19" s="130"/>
      <c r="J19" s="130"/>
      <c r="K19" s="130"/>
      <c r="L19" s="130"/>
      <c r="M19" s="127"/>
      <c r="N19" s="127"/>
      <c r="O19" s="127"/>
      <c r="P19" s="128"/>
      <c r="Q19" s="125"/>
      <c r="R19" s="125"/>
      <c r="S19" s="125"/>
      <c r="T19" s="141"/>
    </row>
    <row r="20" spans="2:20" ht="31.5" x14ac:dyDescent="0.2">
      <c r="B20" s="139"/>
      <c r="C20" s="126" t="s">
        <v>126</v>
      </c>
      <c r="D20" s="135" t="s">
        <v>99</v>
      </c>
      <c r="E20" s="130"/>
      <c r="F20" s="130"/>
      <c r="G20" s="130"/>
      <c r="H20" s="130"/>
      <c r="I20" s="130"/>
      <c r="J20" s="130"/>
      <c r="K20" s="130"/>
      <c r="L20" s="130"/>
      <c r="M20" s="127"/>
      <c r="N20" s="127"/>
      <c r="O20" s="127"/>
      <c r="P20" s="128"/>
      <c r="Q20" s="125"/>
      <c r="R20" s="125"/>
      <c r="S20" s="125"/>
      <c r="T20" s="141"/>
    </row>
    <row r="21" spans="2:20" ht="31.5" x14ac:dyDescent="0.2">
      <c r="B21" s="139"/>
      <c r="C21" s="126" t="s">
        <v>127</v>
      </c>
      <c r="D21" s="135" t="s">
        <v>128</v>
      </c>
      <c r="E21" s="130"/>
      <c r="F21" s="130"/>
      <c r="G21" s="130"/>
      <c r="H21" s="130"/>
      <c r="I21" s="130"/>
      <c r="J21" s="130"/>
      <c r="K21" s="130"/>
      <c r="L21" s="130"/>
      <c r="M21" s="127"/>
      <c r="N21" s="127"/>
      <c r="O21" s="127"/>
      <c r="P21" s="128"/>
      <c r="Q21" s="125"/>
      <c r="R21" s="125"/>
      <c r="S21" s="125"/>
      <c r="T21" s="141"/>
    </row>
    <row r="22" spans="2:20" ht="31.5" x14ac:dyDescent="0.2">
      <c r="B22" s="139"/>
      <c r="C22" s="126" t="s">
        <v>130</v>
      </c>
      <c r="D22" s="135" t="s">
        <v>129</v>
      </c>
      <c r="E22" s="130"/>
      <c r="F22" s="130"/>
      <c r="G22" s="130"/>
      <c r="H22" s="130"/>
      <c r="I22" s="130"/>
      <c r="J22" s="130"/>
      <c r="K22" s="130"/>
      <c r="L22" s="130"/>
      <c r="M22" s="127"/>
      <c r="N22" s="127"/>
      <c r="O22" s="127"/>
      <c r="P22" s="128"/>
      <c r="Q22" s="125"/>
      <c r="R22" s="125"/>
      <c r="S22" s="125"/>
      <c r="T22" s="141"/>
    </row>
    <row r="23" spans="2:20" ht="31.5" x14ac:dyDescent="0.2">
      <c r="B23" s="139"/>
      <c r="C23" s="126" t="s">
        <v>131</v>
      </c>
      <c r="D23" s="135" t="s">
        <v>99</v>
      </c>
      <c r="E23" s="130"/>
      <c r="F23" s="130"/>
      <c r="G23" s="130"/>
      <c r="H23" s="130"/>
      <c r="I23" s="130"/>
      <c r="J23" s="130"/>
      <c r="K23" s="130"/>
      <c r="L23" s="130"/>
      <c r="M23" s="127"/>
      <c r="N23" s="127"/>
      <c r="O23" s="127"/>
      <c r="P23" s="128"/>
      <c r="Q23" s="125"/>
      <c r="R23" s="125"/>
      <c r="S23" s="125"/>
      <c r="T23" s="141"/>
    </row>
    <row r="24" spans="2:20" ht="31.5" x14ac:dyDescent="0.2">
      <c r="B24" s="139"/>
      <c r="C24" s="126" t="s">
        <v>132</v>
      </c>
      <c r="D24" s="135" t="s">
        <v>99</v>
      </c>
      <c r="E24" s="130"/>
      <c r="F24" s="130"/>
      <c r="G24" s="130"/>
      <c r="H24" s="130"/>
      <c r="I24" s="130"/>
      <c r="J24" s="130"/>
      <c r="K24" s="130"/>
      <c r="L24" s="130"/>
      <c r="M24" s="127"/>
      <c r="N24" s="127"/>
      <c r="O24" s="127"/>
      <c r="P24" s="128"/>
      <c r="Q24" s="125"/>
      <c r="R24" s="125"/>
      <c r="S24" s="125"/>
      <c r="T24" s="141"/>
    </row>
    <row r="25" spans="2:20" ht="31.5" x14ac:dyDescent="0.2">
      <c r="B25" s="139"/>
      <c r="C25" s="126" t="s">
        <v>133</v>
      </c>
      <c r="D25" s="135" t="s">
        <v>99</v>
      </c>
      <c r="E25" s="130"/>
      <c r="F25" s="130"/>
      <c r="G25" s="130"/>
      <c r="H25" s="130"/>
      <c r="I25" s="130"/>
      <c r="J25" s="130"/>
      <c r="K25" s="130"/>
      <c r="L25" s="130"/>
      <c r="M25" s="127"/>
      <c r="N25" s="127"/>
      <c r="O25" s="127"/>
      <c r="P25" s="128"/>
      <c r="Q25" s="125"/>
      <c r="R25" s="125"/>
      <c r="S25" s="125"/>
      <c r="T25" s="141"/>
    </row>
    <row r="26" spans="2:20" ht="31.5" x14ac:dyDescent="0.2">
      <c r="B26" s="139"/>
      <c r="C26" s="126" t="s">
        <v>134</v>
      </c>
      <c r="D26" s="135" t="s">
        <v>99</v>
      </c>
      <c r="E26" s="130"/>
      <c r="F26" s="130"/>
      <c r="G26" s="130"/>
      <c r="H26" s="130"/>
      <c r="I26" s="130"/>
      <c r="J26" s="130"/>
      <c r="K26" s="130"/>
      <c r="L26" s="130"/>
      <c r="M26" s="127"/>
      <c r="N26" s="127"/>
      <c r="O26" s="127"/>
      <c r="P26" s="128"/>
      <c r="Q26" s="125"/>
      <c r="R26" s="125"/>
      <c r="S26" s="125"/>
      <c r="T26" s="141"/>
    </row>
    <row r="27" spans="2:20" ht="31.5" x14ac:dyDescent="0.2">
      <c r="B27" s="139"/>
      <c r="C27" s="126" t="s">
        <v>135</v>
      </c>
      <c r="D27" s="135" t="s">
        <v>99</v>
      </c>
      <c r="E27" s="130"/>
      <c r="F27" s="130"/>
      <c r="G27" s="130"/>
      <c r="H27" s="130"/>
      <c r="I27" s="130"/>
      <c r="J27" s="130"/>
      <c r="K27" s="130"/>
      <c r="L27" s="130"/>
      <c r="M27" s="127"/>
      <c r="N27" s="127"/>
      <c r="O27" s="127"/>
      <c r="P27" s="128"/>
      <c r="Q27" s="125"/>
      <c r="R27" s="125"/>
      <c r="S27" s="125"/>
      <c r="T27" s="141"/>
    </row>
    <row r="28" spans="2:20" ht="31.5" x14ac:dyDescent="0.2">
      <c r="B28" s="142"/>
      <c r="C28" s="129"/>
      <c r="D28" s="136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8"/>
      <c r="Q28" s="125"/>
      <c r="R28" s="125"/>
      <c r="S28" s="125"/>
      <c r="T28" s="141"/>
    </row>
    <row r="29" spans="2:20" ht="13.5" thickBot="1" x14ac:dyDescent="0.25">
      <c r="B29" s="143"/>
      <c r="C29" s="144"/>
      <c r="D29" s="145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7"/>
    </row>
  </sheetData>
  <mergeCells count="1">
    <mergeCell ref="B2:T2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3626-2306-489A-86AD-AC26EAC6B351}">
  <dimension ref="A1:K30"/>
  <sheetViews>
    <sheetView workbookViewId="0">
      <selection activeCell="E4" sqref="E4"/>
    </sheetView>
  </sheetViews>
  <sheetFormatPr defaultRowHeight="12.75" x14ac:dyDescent="0.2"/>
  <cols>
    <col min="1" max="1" width="4.5703125" customWidth="1"/>
    <col min="2" max="2" width="37.5703125" customWidth="1"/>
    <col min="3" max="3" width="22.42578125" customWidth="1"/>
    <col min="4" max="4" width="15.85546875" customWidth="1"/>
    <col min="5" max="5" width="21.42578125" customWidth="1"/>
    <col min="6" max="6" width="43.5703125" bestFit="1" customWidth="1"/>
    <col min="7" max="7" width="27.85546875" customWidth="1"/>
  </cols>
  <sheetData>
    <row r="1" spans="1:11" ht="13.5" thickBot="1" x14ac:dyDescent="0.25"/>
    <row r="2" spans="1:11" ht="63" customHeight="1" thickTop="1" thickBot="1" x14ac:dyDescent="0.25">
      <c r="B2" s="148" t="s">
        <v>194</v>
      </c>
      <c r="C2" s="149"/>
      <c r="D2" s="149"/>
      <c r="E2" s="149"/>
      <c r="F2" s="149"/>
      <c r="G2" s="150"/>
    </row>
    <row r="3" spans="1:11" ht="13.5" thickBot="1" x14ac:dyDescent="0.25">
      <c r="B3" s="159" t="s">
        <v>157</v>
      </c>
      <c r="C3" s="160" t="s">
        <v>158</v>
      </c>
      <c r="D3" s="160" t="s">
        <v>159</v>
      </c>
      <c r="E3" s="160" t="s">
        <v>160</v>
      </c>
      <c r="F3" s="160" t="s">
        <v>161</v>
      </c>
      <c r="G3" s="161" t="s">
        <v>162</v>
      </c>
    </row>
    <row r="4" spans="1:11" x14ac:dyDescent="0.2">
      <c r="B4" s="154" t="s">
        <v>195</v>
      </c>
      <c r="C4" s="155" t="s">
        <v>196</v>
      </c>
      <c r="D4" s="155" t="s">
        <v>202</v>
      </c>
      <c r="E4" s="155" t="s">
        <v>163</v>
      </c>
      <c r="F4" s="156" t="s">
        <v>164</v>
      </c>
      <c r="G4" s="157"/>
    </row>
    <row r="5" spans="1:11" x14ac:dyDescent="0.2">
      <c r="B5" s="120" t="s">
        <v>195</v>
      </c>
      <c r="C5" s="114" t="s">
        <v>115</v>
      </c>
      <c r="D5" s="114" t="s">
        <v>203</v>
      </c>
      <c r="E5" s="114" t="s">
        <v>165</v>
      </c>
      <c r="F5" s="115" t="s">
        <v>118</v>
      </c>
      <c r="G5" s="121"/>
    </row>
    <row r="6" spans="1:11" ht="25.5" x14ac:dyDescent="0.2">
      <c r="B6" s="120" t="s">
        <v>195</v>
      </c>
      <c r="C6" s="114" t="s">
        <v>140</v>
      </c>
      <c r="D6" s="114" t="s">
        <v>204</v>
      </c>
      <c r="E6" s="114" t="s">
        <v>166</v>
      </c>
      <c r="F6" s="116" t="s">
        <v>167</v>
      </c>
      <c r="G6" s="121"/>
    </row>
    <row r="7" spans="1:11" x14ac:dyDescent="0.2">
      <c r="B7" s="120" t="s">
        <v>195</v>
      </c>
      <c r="C7" s="114" t="s">
        <v>197</v>
      </c>
      <c r="D7" s="114" t="s">
        <v>205</v>
      </c>
      <c r="E7" s="114" t="s">
        <v>168</v>
      </c>
      <c r="F7" s="115" t="s">
        <v>169</v>
      </c>
      <c r="G7" s="121"/>
    </row>
    <row r="8" spans="1:11" x14ac:dyDescent="0.2">
      <c r="B8" s="120" t="s">
        <v>195</v>
      </c>
      <c r="C8" s="114" t="s">
        <v>138</v>
      </c>
      <c r="D8" s="114" t="s">
        <v>206</v>
      </c>
      <c r="E8" s="114" t="s">
        <v>170</v>
      </c>
      <c r="F8" s="115" t="s">
        <v>108</v>
      </c>
      <c r="G8" s="121"/>
    </row>
    <row r="9" spans="1:11" x14ac:dyDescent="0.2">
      <c r="B9" s="120" t="s">
        <v>195</v>
      </c>
      <c r="C9" s="114" t="s">
        <v>198</v>
      </c>
      <c r="D9" s="114" t="s">
        <v>207</v>
      </c>
      <c r="E9" s="114" t="s">
        <v>171</v>
      </c>
      <c r="F9" s="115" t="s">
        <v>172</v>
      </c>
      <c r="G9" s="121"/>
    </row>
    <row r="10" spans="1:11" x14ac:dyDescent="0.2">
      <c r="B10" s="120" t="s">
        <v>195</v>
      </c>
      <c r="C10" s="114" t="s">
        <v>173</v>
      </c>
      <c r="D10" s="114" t="s">
        <v>208</v>
      </c>
      <c r="E10" s="114" t="s">
        <v>174</v>
      </c>
      <c r="F10" s="115" t="s">
        <v>175</v>
      </c>
      <c r="G10" s="121"/>
    </row>
    <row r="11" spans="1:11" x14ac:dyDescent="0.2">
      <c r="B11" s="120" t="s">
        <v>195</v>
      </c>
      <c r="C11" s="114" t="s">
        <v>139</v>
      </c>
      <c r="D11" s="114" t="s">
        <v>209</v>
      </c>
      <c r="E11" s="114" t="s">
        <v>176</v>
      </c>
      <c r="F11" s="115" t="s">
        <v>177</v>
      </c>
      <c r="G11" s="121"/>
    </row>
    <row r="12" spans="1:11" x14ac:dyDescent="0.2">
      <c r="B12" s="120" t="s">
        <v>195</v>
      </c>
      <c r="C12" s="114" t="s">
        <v>178</v>
      </c>
      <c r="D12" s="114" t="s">
        <v>210</v>
      </c>
      <c r="E12" s="114" t="s">
        <v>179</v>
      </c>
      <c r="F12" s="115" t="s">
        <v>180</v>
      </c>
      <c r="G12" s="121"/>
    </row>
    <row r="13" spans="1:11" s="113" customFormat="1" ht="15" x14ac:dyDescent="0.25">
      <c r="A13"/>
      <c r="B13" s="120" t="s">
        <v>195</v>
      </c>
      <c r="C13" s="117" t="s">
        <v>199</v>
      </c>
      <c r="D13" s="117" t="s">
        <v>211</v>
      </c>
      <c r="E13" s="114" t="s">
        <v>181</v>
      </c>
      <c r="F13" s="118" t="s">
        <v>182</v>
      </c>
      <c r="G13" s="121"/>
      <c r="H13"/>
      <c r="I13"/>
      <c r="J13"/>
      <c r="K13"/>
    </row>
    <row r="14" spans="1:11" s="113" customFormat="1" ht="15" x14ac:dyDescent="0.25">
      <c r="A14"/>
      <c r="B14" s="120" t="s">
        <v>195</v>
      </c>
      <c r="C14" s="114" t="s">
        <v>183</v>
      </c>
      <c r="D14" s="114" t="s">
        <v>212</v>
      </c>
      <c r="E14" s="114" t="s">
        <v>184</v>
      </c>
      <c r="F14" s="118" t="s">
        <v>185</v>
      </c>
      <c r="G14" s="121"/>
      <c r="H14"/>
      <c r="I14"/>
      <c r="J14"/>
      <c r="K14"/>
    </row>
    <row r="15" spans="1:11" s="113" customFormat="1" ht="15" x14ac:dyDescent="0.25">
      <c r="A15"/>
      <c r="B15" s="120" t="s">
        <v>195</v>
      </c>
      <c r="C15" s="114" t="s">
        <v>200</v>
      </c>
      <c r="D15" s="114" t="s">
        <v>213</v>
      </c>
      <c r="E15" s="114" t="s">
        <v>186</v>
      </c>
      <c r="F15" s="118" t="s">
        <v>187</v>
      </c>
      <c r="G15" s="121"/>
      <c r="H15"/>
      <c r="I15"/>
      <c r="J15"/>
      <c r="K15"/>
    </row>
    <row r="16" spans="1:11" x14ac:dyDescent="0.2">
      <c r="B16" s="120" t="s">
        <v>195</v>
      </c>
      <c r="C16" s="114" t="s">
        <v>201</v>
      </c>
      <c r="D16" s="114" t="s">
        <v>214</v>
      </c>
      <c r="E16" s="114" t="s">
        <v>189</v>
      </c>
      <c r="F16" s="115" t="s">
        <v>122</v>
      </c>
      <c r="G16" s="121"/>
    </row>
    <row r="17" spans="2:7" x14ac:dyDescent="0.2">
      <c r="B17" s="120" t="s">
        <v>195</v>
      </c>
      <c r="C17" s="114" t="s">
        <v>190</v>
      </c>
      <c r="D17" s="114" t="s">
        <v>215</v>
      </c>
      <c r="E17" s="114" t="s">
        <v>191</v>
      </c>
      <c r="F17" s="119" t="s">
        <v>63</v>
      </c>
      <c r="G17" s="121"/>
    </row>
    <row r="18" spans="2:7" x14ac:dyDescent="0.2">
      <c r="B18" s="120" t="s">
        <v>195</v>
      </c>
      <c r="C18" s="114" t="s">
        <v>192</v>
      </c>
      <c r="D18" s="114" t="s">
        <v>79</v>
      </c>
      <c r="E18" s="114" t="s">
        <v>193</v>
      </c>
      <c r="F18" s="119" t="s">
        <v>81</v>
      </c>
      <c r="G18" s="121"/>
    </row>
    <row r="19" spans="2:7" x14ac:dyDescent="0.2">
      <c r="B19" s="120" t="s">
        <v>195</v>
      </c>
      <c r="C19" s="114" t="s">
        <v>90</v>
      </c>
      <c r="D19" s="114" t="s">
        <v>218</v>
      </c>
      <c r="E19" s="114" t="s">
        <v>219</v>
      </c>
      <c r="F19" s="153" t="s">
        <v>98</v>
      </c>
      <c r="G19" s="121"/>
    </row>
    <row r="20" spans="2:7" x14ac:dyDescent="0.2">
      <c r="B20" s="120" t="s">
        <v>195</v>
      </c>
      <c r="C20" s="114" t="s">
        <v>82</v>
      </c>
      <c r="D20" s="114" t="s">
        <v>84</v>
      </c>
      <c r="E20" s="114" t="s">
        <v>220</v>
      </c>
      <c r="F20" s="153" t="s">
        <v>85</v>
      </c>
      <c r="G20" s="121"/>
    </row>
    <row r="21" spans="2:7" x14ac:dyDescent="0.2">
      <c r="B21" s="120" t="s">
        <v>195</v>
      </c>
      <c r="C21" s="114" t="s">
        <v>221</v>
      </c>
      <c r="D21" s="114" t="s">
        <v>87</v>
      </c>
      <c r="E21" s="114" t="s">
        <v>222</v>
      </c>
      <c r="F21" s="153" t="s">
        <v>88</v>
      </c>
      <c r="G21" s="121"/>
    </row>
    <row r="22" spans="2:7" ht="13.5" thickBot="1" x14ac:dyDescent="0.25">
      <c r="B22" s="122" t="s">
        <v>195</v>
      </c>
      <c r="C22" s="123" t="s">
        <v>223</v>
      </c>
      <c r="D22" s="123" t="s">
        <v>224</v>
      </c>
      <c r="E22" s="123" t="s">
        <v>225</v>
      </c>
      <c r="F22" s="158" t="s">
        <v>226</v>
      </c>
      <c r="G22" s="124"/>
    </row>
    <row r="24" spans="2:7" ht="14.25" x14ac:dyDescent="0.2">
      <c r="E24" s="151"/>
    </row>
    <row r="25" spans="2:7" ht="15" x14ac:dyDescent="0.2">
      <c r="E25" s="398"/>
      <c r="F25" s="398"/>
    </row>
    <row r="26" spans="2:7" ht="15" customHeight="1" x14ac:dyDescent="0.2">
      <c r="E26" s="152"/>
      <c r="F26" s="63"/>
    </row>
    <row r="27" spans="2:7" ht="15" customHeight="1" x14ac:dyDescent="0.2">
      <c r="E27" s="152"/>
      <c r="F27" s="151"/>
    </row>
    <row r="28" spans="2:7" ht="15" x14ac:dyDescent="0.2">
      <c r="E28" s="152"/>
      <c r="F28" s="63"/>
    </row>
    <row r="29" spans="2:7" ht="15" customHeight="1" x14ac:dyDescent="0.2">
      <c r="E29" s="152"/>
      <c r="F29" s="111"/>
    </row>
    <row r="30" spans="2:7" ht="15" x14ac:dyDescent="0.2">
      <c r="E30" s="152"/>
      <c r="F30" s="111"/>
    </row>
  </sheetData>
  <autoFilter ref="B3:G3" xr:uid="{0A9D3626-2306-489A-86AD-AC26EAC6B351}"/>
  <mergeCells count="1">
    <mergeCell ref="E25:F25"/>
  </mergeCells>
  <hyperlinks>
    <hyperlink ref="F13" r:id="rId1" xr:uid="{59490B9A-A69A-4B88-8B36-33B7826C8888}"/>
    <hyperlink ref="F9" r:id="rId2" xr:uid="{2F11A8FE-B632-4F2D-8D1E-239DD15D994A}"/>
    <hyperlink ref="F4" r:id="rId3" xr:uid="{D3825C29-1AF7-4423-BF0D-91790E3877BE}"/>
    <hyperlink ref="F5" r:id="rId4" xr:uid="{C9744F6D-75C5-41B5-954B-F3581DE64D19}"/>
    <hyperlink ref="F12" r:id="rId5" xr:uid="{247A0D5C-F394-4D3E-B3C6-8F0B6DB6188B}"/>
    <hyperlink ref="F6" r:id="rId6" display="aevmedina@bol.com.br" xr:uid="{5097B1B4-55C9-4A0F-B2AA-8DF8FC0B4F35}"/>
    <hyperlink ref="F11" r:id="rId7" xr:uid="{E59E6B13-06FB-4CD7-89BB-57C121EF91A4}"/>
    <hyperlink ref="F14" r:id="rId8" xr:uid="{EBDDA0D5-1090-4494-B1E4-5711D9462698}"/>
    <hyperlink ref="F7" r:id="rId9" xr:uid="{0C59E380-49E2-41F8-8B14-947F1212CC93}"/>
    <hyperlink ref="F8" r:id="rId10" xr:uid="{D3508256-4BF5-4E4A-852D-891BDF85B983}"/>
    <hyperlink ref="F15" r:id="rId11" xr:uid="{825C2640-CEA8-409F-8772-19E1BEA34577}"/>
    <hyperlink ref="F16" r:id="rId12" xr:uid="{BE97B8A6-6292-4958-ADB8-85361968F7F7}"/>
    <hyperlink ref="F17" r:id="rId13" xr:uid="{BE11F6A0-915A-4808-91D4-D5AEADFB3887}"/>
    <hyperlink ref="F18" r:id="rId14" xr:uid="{FCB8DFC3-1CED-4EB9-B2D1-02F4BE8C0459}"/>
    <hyperlink ref="F19" r:id="rId15" xr:uid="{7A02AF81-0C0D-4C69-B8AE-382393F7621B}"/>
    <hyperlink ref="F20" r:id="rId16" xr:uid="{BCCDD753-8D98-4762-888C-BB7C129ACCEC}"/>
    <hyperlink ref="F22" r:id="rId17" xr:uid="{15AE1797-3282-4FD7-A2FD-EFC6115C176F}"/>
    <hyperlink ref="F21" r:id="rId18" xr:uid="{46D7F581-8555-4BD8-92A7-EEA034356CD5}"/>
  </hyperlinks>
  <pageMargins left="0.511811024" right="0.511811024" top="0.78740157499999996" bottom="0.78740157499999996" header="0.31496062000000002" footer="0.31496062000000002"/>
  <drawing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9909A431A79546861D2ECBD766F261" ma:contentTypeVersion="18" ma:contentTypeDescription="Crie um novo documento." ma:contentTypeScope="" ma:versionID="5df555cb7c17ef5d9d5c253025f44d62">
  <xsd:schema xmlns:xsd="http://www.w3.org/2001/XMLSchema" xmlns:xs="http://www.w3.org/2001/XMLSchema" xmlns:p="http://schemas.microsoft.com/office/2006/metadata/properties" xmlns:ns2="05622285-bb8e-4738-8e76-25a88341cb3f" xmlns:ns3="fbb4ab04-21fe-4cd0-b25c-874163ab29df" targetNamespace="http://schemas.microsoft.com/office/2006/metadata/properties" ma:root="true" ma:fieldsID="7ce4f3d27f71d294ceede1addef93b28" ns2:_="" ns3:_="">
    <xsd:import namespace="05622285-bb8e-4738-8e76-25a88341cb3f"/>
    <xsd:import namespace="fbb4ab04-21fe-4cd0-b25c-874163ab2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622285-bb8e-4738-8e76-25a88341cb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49a861f3-f365-4a1a-baba-0a42d3592f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4ab04-21fe-4cd0-b25c-874163ab29d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b107180-2ac9-448d-b685-6df70187426e}" ma:internalName="TaxCatchAll" ma:showField="CatchAllData" ma:web="fbb4ab04-21fe-4cd0-b25c-874163ab2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622285-bb8e-4738-8e76-25a88341cb3f">
      <Terms xmlns="http://schemas.microsoft.com/office/infopath/2007/PartnerControls"/>
    </lcf76f155ced4ddcb4097134ff3c332f>
    <TaxCatchAll xmlns="fbb4ab04-21fe-4cd0-b25c-874163ab29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F7BA46-C9D1-4C04-BEA3-72BAA4BED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622285-bb8e-4738-8e76-25a88341cb3f"/>
    <ds:schemaRef ds:uri="fbb4ab04-21fe-4cd0-b25c-874163ab2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C04A77-68A2-45F5-A100-CA96CFFA5782}">
  <ds:schemaRefs>
    <ds:schemaRef ds:uri="http://purl.org/dc/elements/1.1/"/>
    <ds:schemaRef ds:uri="http://purl.org/dc/terms/"/>
    <ds:schemaRef ds:uri="http://purl.org/dc/dcmitype/"/>
    <ds:schemaRef ds:uri="11ca9c82-652b-49d6-a907-e37ade05b8ce"/>
    <ds:schemaRef ds:uri="be0f7bfb-6623-4c74-9c56-3dea760e6f0e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05622285-bb8e-4738-8e76-25a88341cb3f"/>
    <ds:schemaRef ds:uri="fbb4ab04-21fe-4cd0-b25c-874163ab29df"/>
  </ds:schemaRefs>
</ds:datastoreItem>
</file>

<file path=customXml/itemProps3.xml><?xml version="1.0" encoding="utf-8"?>
<ds:datastoreItem xmlns:ds="http://schemas.openxmlformats.org/officeDocument/2006/customXml" ds:itemID="{26773FAE-6507-445D-8D78-641A5FF536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RESUMO</vt:lpstr>
      <vt:lpstr>QC-R0-</vt:lpstr>
      <vt:lpstr>QC-R1-</vt:lpstr>
      <vt:lpstr>RESUMO FINAL</vt:lpstr>
      <vt:lpstr>QC-R2 PÓS REUNIÃO</vt:lpstr>
      <vt:lpstr>QC- REV 02  PÓS REUNIÃO (2)</vt:lpstr>
      <vt:lpstr>QC- REV 03 FINAL</vt:lpstr>
      <vt:lpstr>CKECK-LIST DO FORNECEDOR (2)</vt:lpstr>
      <vt:lpstr>CKECK-LIST DO FORNECEDOR</vt:lpstr>
      <vt:lpstr>VENDOR LIST</vt:lpstr>
      <vt:lpstr>'QC- REV 02  PÓS REUNIÃO (2)'!Area_de_impressao</vt:lpstr>
      <vt:lpstr>'QC- REV 03 FINAL'!Area_de_impressao</vt:lpstr>
      <vt:lpstr>'QC-R0-'!Area_de_impressao</vt:lpstr>
      <vt:lpstr>'QC-R1-'!Area_de_impressao</vt:lpstr>
      <vt:lpstr>'QC-R2 PÓS REUNIÃO'!Area_de_impressao</vt:lpstr>
      <vt:lpstr>'QC- REV 02  PÓS REUNIÃO (2)'!Titulos_de_impressao</vt:lpstr>
      <vt:lpstr>'QC- REV 03 FINAL'!Titulos_de_impressao</vt:lpstr>
      <vt:lpstr>'QC-R0-'!Titulos_de_impressao</vt:lpstr>
      <vt:lpstr>'QC-R1-'!Titulos_de_impressao</vt:lpstr>
      <vt:lpstr>'QC-R2 PÓS REUNIÃO'!Titulos_de_impressao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Fabíola Kajihara</dc:creator>
  <cp:lastModifiedBy>Matheus Castro Guimaraes</cp:lastModifiedBy>
  <cp:lastPrinted>2024-08-20T11:40:35Z</cp:lastPrinted>
  <dcterms:created xsi:type="dcterms:W3CDTF">2014-04-17T14:39:41Z</dcterms:created>
  <dcterms:modified xsi:type="dcterms:W3CDTF">2025-06-11T23:07:02Z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0x010100029909A431A79546861D2ECBD766F261</vt:lpwstr>
  </property>
  <property fmtid="{D5CDD505-2E9C-101B-9397-08002B2CF9AE}" pid="3" name="MediaServiceImageTags">
    <vt:lpwstr/>
  </property>
</Properties>
</file>